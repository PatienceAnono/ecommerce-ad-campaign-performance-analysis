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Patience\Documents\GITHUB\"/>
    </mc:Choice>
  </mc:AlternateContent>
  <xr:revisionPtr revIDLastSave="0" documentId="13_ncr:1_{892318B6-E80E-4A9E-ADE2-D3C569E3EC3E}" xr6:coauthVersionLast="47" xr6:coauthVersionMax="47" xr10:uidLastSave="{00000000-0000-0000-0000-000000000000}"/>
  <bookViews>
    <workbookView xWindow="-120" yWindow="-120" windowWidth="20730" windowHeight="11040" activeTab="2" xr2:uid="{00000000-000D-0000-FFFF-FFFF00000000}"/>
  </bookViews>
  <sheets>
    <sheet name="CampaignData" sheetId="1" r:id="rId1"/>
    <sheet name="Campaign_Analysis" sheetId="3" r:id="rId2"/>
    <sheet name="Dashboard" sheetId="4" r:id="rId3"/>
  </sheets>
  <definedNames>
    <definedName name="Slicer_Campaign_Name">#N/A</definedName>
    <definedName name="Slicer_Month">#N/A</definedName>
    <definedName name="Slicer_Platform">#N/A</definedName>
  </definedNames>
  <calcPr calcId="191029"/>
  <pivotCaches>
    <pivotCache cacheId="4"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27" i="1" l="1"/>
  <c r="P2" i="1"/>
  <c r="P3" i="1"/>
  <c r="P4" i="1"/>
  <c r="P5" i="1"/>
  <c r="P6" i="1"/>
  <c r="P7" i="1"/>
  <c r="P8" i="1"/>
  <c r="P9" i="1"/>
  <c r="P10" i="1"/>
  <c r="P11" i="1"/>
  <c r="P12" i="1"/>
  <c r="P13" i="1"/>
  <c r="P14" i="1"/>
  <c r="P15" i="1"/>
  <c r="P16" i="1"/>
  <c r="P17" i="1"/>
  <c r="P18" i="1"/>
  <c r="P19" i="1"/>
  <c r="P20" i="1"/>
  <c r="P21" i="1"/>
  <c r="P22" i="1"/>
  <c r="P23" i="1"/>
  <c r="P24" i="1"/>
  <c r="P25" i="1"/>
  <c r="P26"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B25" i="3"/>
  <c r="B24" i="3"/>
  <c r="B23" i="3"/>
  <c r="B22" i="3"/>
</calcChain>
</file>

<file path=xl/sharedStrings.xml><?xml version="1.0" encoding="utf-8"?>
<sst xmlns="http://schemas.openxmlformats.org/spreadsheetml/2006/main" count="6122" uniqueCount="2056">
  <si>
    <t>Campaign_ID</t>
  </si>
  <si>
    <t>Campaign_Name</t>
  </si>
  <si>
    <t>Platform</t>
  </si>
  <si>
    <t>Date</t>
  </si>
  <si>
    <t>Impressions</t>
  </si>
  <si>
    <t>Clicks</t>
  </si>
  <si>
    <t>Conversions</t>
  </si>
  <si>
    <t>Revenue</t>
  </si>
  <si>
    <t>CAMP1000</t>
  </si>
  <si>
    <t>Holiday Deals</t>
  </si>
  <si>
    <t>Google Ads</t>
  </si>
  <si>
    <t>CAMP1001</t>
  </si>
  <si>
    <t>Affiliate</t>
  </si>
  <si>
    <t>CAMP1002</t>
  </si>
  <si>
    <t>New Product Launch</t>
  </si>
  <si>
    <t>CAMP1003</t>
  </si>
  <si>
    <t>Summer Sale</t>
  </si>
  <si>
    <t>Email Marketing</t>
  </si>
  <si>
    <t>CAMP1004</t>
  </si>
  <si>
    <t>TikTok Ads</t>
  </si>
  <si>
    <t>CAMP1005</t>
  </si>
  <si>
    <t>Flash Sale</t>
  </si>
  <si>
    <t>CAMP1006</t>
  </si>
  <si>
    <t>CAMP1007</t>
  </si>
  <si>
    <t>CAMP1008</t>
  </si>
  <si>
    <t>CAMP1009</t>
  </si>
  <si>
    <t>CAMP1010</t>
  </si>
  <si>
    <t>CAMP1011</t>
  </si>
  <si>
    <t>CAMP1012</t>
  </si>
  <si>
    <t>CAMP1013</t>
  </si>
  <si>
    <t>CAMP1014</t>
  </si>
  <si>
    <t>Winter Promo</t>
  </si>
  <si>
    <t>CAMP1015</t>
  </si>
  <si>
    <t>CAMP1016</t>
  </si>
  <si>
    <t>Retargeting Campaign</t>
  </si>
  <si>
    <t>CAMP1017</t>
  </si>
  <si>
    <t>CAMP1018</t>
  </si>
  <si>
    <t>Meta Ads</t>
  </si>
  <si>
    <t>CAMP1019</t>
  </si>
  <si>
    <t>CAMP1020</t>
  </si>
  <si>
    <t>CAMP1021</t>
  </si>
  <si>
    <t>Clearance Event</t>
  </si>
  <si>
    <t>CAMP1022</t>
  </si>
  <si>
    <t>CAMP1023</t>
  </si>
  <si>
    <t>CAMP1024</t>
  </si>
  <si>
    <t>CAMP1025</t>
  </si>
  <si>
    <t>CAMP1026</t>
  </si>
  <si>
    <t>Brand Awareness</t>
  </si>
  <si>
    <t>CAMP1027</t>
  </si>
  <si>
    <t>CAMP1028</t>
  </si>
  <si>
    <t>CAMP1029</t>
  </si>
  <si>
    <t>CAMP1030</t>
  </si>
  <si>
    <t>CAMP1031</t>
  </si>
  <si>
    <t>CAMP1032</t>
  </si>
  <si>
    <t>CAMP1033</t>
  </si>
  <si>
    <t>CAMP1034</t>
  </si>
  <si>
    <t>CAMP1035</t>
  </si>
  <si>
    <t>CAMP1036</t>
  </si>
  <si>
    <t>CAMP1037</t>
  </si>
  <si>
    <t>CAMP1038</t>
  </si>
  <si>
    <t>CAMP1039</t>
  </si>
  <si>
    <t>CAMP1040</t>
  </si>
  <si>
    <t>CAMP1041</t>
  </si>
  <si>
    <t>CAMP1042</t>
  </si>
  <si>
    <t>CAMP1043</t>
  </si>
  <si>
    <t>CAMP1044</t>
  </si>
  <si>
    <t>CAMP1045</t>
  </si>
  <si>
    <t>CAMP1046</t>
  </si>
  <si>
    <t>CAMP1047</t>
  </si>
  <si>
    <t>CAMP1048</t>
  </si>
  <si>
    <t>CAMP1049</t>
  </si>
  <si>
    <t>CAMP1050</t>
  </si>
  <si>
    <t>CAMP1051</t>
  </si>
  <si>
    <t>CAMP1052</t>
  </si>
  <si>
    <t>CAMP1053</t>
  </si>
  <si>
    <t>CAMP1054</t>
  </si>
  <si>
    <t>CAMP1055</t>
  </si>
  <si>
    <t>CAMP1056</t>
  </si>
  <si>
    <t>CAMP1057</t>
  </si>
  <si>
    <t>CAMP1058</t>
  </si>
  <si>
    <t>CAMP1059</t>
  </si>
  <si>
    <t>CAMP1060</t>
  </si>
  <si>
    <t>CAMP1061</t>
  </si>
  <si>
    <t>CAMP1062</t>
  </si>
  <si>
    <t>CAMP1063</t>
  </si>
  <si>
    <t>CAMP1064</t>
  </si>
  <si>
    <t>CAMP1065</t>
  </si>
  <si>
    <t>CAMP1066</t>
  </si>
  <si>
    <t>CAMP1067</t>
  </si>
  <si>
    <t>CAMP1068</t>
  </si>
  <si>
    <t>CAMP1069</t>
  </si>
  <si>
    <t>CAMP1070</t>
  </si>
  <si>
    <t>CAMP1071</t>
  </si>
  <si>
    <t>CAMP1072</t>
  </si>
  <si>
    <t>CAMP1073</t>
  </si>
  <si>
    <t>CAMP1074</t>
  </si>
  <si>
    <t>CAMP1075</t>
  </si>
  <si>
    <t>CAMP1076</t>
  </si>
  <si>
    <t>CAMP1077</t>
  </si>
  <si>
    <t>CAMP1078</t>
  </si>
  <si>
    <t>CAMP1079</t>
  </si>
  <si>
    <t>CAMP1080</t>
  </si>
  <si>
    <t>CAMP1081</t>
  </si>
  <si>
    <t>CAMP1082</t>
  </si>
  <si>
    <t>CAMP1083</t>
  </si>
  <si>
    <t>CAMP1084</t>
  </si>
  <si>
    <t>CAMP1085</t>
  </si>
  <si>
    <t>CAMP1086</t>
  </si>
  <si>
    <t>CAMP1087</t>
  </si>
  <si>
    <t>CAMP1088</t>
  </si>
  <si>
    <t>CAMP1089</t>
  </si>
  <si>
    <t>CAMP1090</t>
  </si>
  <si>
    <t>CAMP1091</t>
  </si>
  <si>
    <t>CAMP1092</t>
  </si>
  <si>
    <t>CAMP1093</t>
  </si>
  <si>
    <t>CAMP1094</t>
  </si>
  <si>
    <t>CAMP1095</t>
  </si>
  <si>
    <t>CAMP1096</t>
  </si>
  <si>
    <t>CAMP1097</t>
  </si>
  <si>
    <t>CAMP1098</t>
  </si>
  <si>
    <t>CAMP1099</t>
  </si>
  <si>
    <t>CAMP1100</t>
  </si>
  <si>
    <t>CAMP1101</t>
  </si>
  <si>
    <t>CAMP1102</t>
  </si>
  <si>
    <t>CAMP1103</t>
  </si>
  <si>
    <t>CAMP1104</t>
  </si>
  <si>
    <t>CAMP1105</t>
  </si>
  <si>
    <t>CAMP1106</t>
  </si>
  <si>
    <t>CAMP1107</t>
  </si>
  <si>
    <t>CAMP1108</t>
  </si>
  <si>
    <t>CAMP1109</t>
  </si>
  <si>
    <t>CAMP1110</t>
  </si>
  <si>
    <t>CAMP1111</t>
  </si>
  <si>
    <t>CAMP1112</t>
  </si>
  <si>
    <t>CAMP1113</t>
  </si>
  <si>
    <t>CAMP1114</t>
  </si>
  <si>
    <t>CAMP1115</t>
  </si>
  <si>
    <t>CAMP1116</t>
  </si>
  <si>
    <t>CAMP1117</t>
  </si>
  <si>
    <t>CAMP1118</t>
  </si>
  <si>
    <t>CAMP1119</t>
  </si>
  <si>
    <t>CAMP1120</t>
  </si>
  <si>
    <t>CAMP1121</t>
  </si>
  <si>
    <t>CAMP1122</t>
  </si>
  <si>
    <t>CAMP1123</t>
  </si>
  <si>
    <t>CAMP1124</t>
  </si>
  <si>
    <t>CAMP1125</t>
  </si>
  <si>
    <t>CAMP1126</t>
  </si>
  <si>
    <t>CAMP1127</t>
  </si>
  <si>
    <t>CAMP1128</t>
  </si>
  <si>
    <t>CAMP1129</t>
  </si>
  <si>
    <t>CAMP1130</t>
  </si>
  <si>
    <t>CAMP1131</t>
  </si>
  <si>
    <t>CAMP1132</t>
  </si>
  <si>
    <t>CAMP1133</t>
  </si>
  <si>
    <t>CAMP1134</t>
  </si>
  <si>
    <t>CAMP1135</t>
  </si>
  <si>
    <t>CAMP1136</t>
  </si>
  <si>
    <t>CAMP1137</t>
  </si>
  <si>
    <t>CAMP1138</t>
  </si>
  <si>
    <t>CAMP1139</t>
  </si>
  <si>
    <t>CAMP1140</t>
  </si>
  <si>
    <t>CAMP1141</t>
  </si>
  <si>
    <t>CAMP1142</t>
  </si>
  <si>
    <t>CAMP1143</t>
  </si>
  <si>
    <t>CAMP1144</t>
  </si>
  <si>
    <t>CAMP1145</t>
  </si>
  <si>
    <t>CAMP1146</t>
  </si>
  <si>
    <t>CAMP1147</t>
  </si>
  <si>
    <t>CAMP1148</t>
  </si>
  <si>
    <t>CAMP1149</t>
  </si>
  <si>
    <t>CAMP1150</t>
  </si>
  <si>
    <t>CAMP1151</t>
  </si>
  <si>
    <t>CAMP1152</t>
  </si>
  <si>
    <t>CAMP1153</t>
  </si>
  <si>
    <t>CAMP1154</t>
  </si>
  <si>
    <t>CAMP1155</t>
  </si>
  <si>
    <t>CAMP1156</t>
  </si>
  <si>
    <t>CAMP1157</t>
  </si>
  <si>
    <t>CAMP1158</t>
  </si>
  <si>
    <t>CAMP1159</t>
  </si>
  <si>
    <t>CAMP1160</t>
  </si>
  <si>
    <t>CAMP1161</t>
  </si>
  <si>
    <t>CAMP1162</t>
  </si>
  <si>
    <t>CAMP1163</t>
  </si>
  <si>
    <t>CAMP1164</t>
  </si>
  <si>
    <t>CAMP1165</t>
  </si>
  <si>
    <t>CAMP1166</t>
  </si>
  <si>
    <t>CAMP1167</t>
  </si>
  <si>
    <t>CAMP1168</t>
  </si>
  <si>
    <t>CAMP1169</t>
  </si>
  <si>
    <t>CAMP1170</t>
  </si>
  <si>
    <t>CAMP1171</t>
  </si>
  <si>
    <t>CAMP1172</t>
  </si>
  <si>
    <t>CAMP1173</t>
  </si>
  <si>
    <t>CAMP1174</t>
  </si>
  <si>
    <t>CAMP1175</t>
  </si>
  <si>
    <t>CAMP1176</t>
  </si>
  <si>
    <t>CAMP1177</t>
  </si>
  <si>
    <t>CAMP1178</t>
  </si>
  <si>
    <t>CAMP1179</t>
  </si>
  <si>
    <t>CAMP1180</t>
  </si>
  <si>
    <t>CAMP1181</t>
  </si>
  <si>
    <t>CAMP1182</t>
  </si>
  <si>
    <t>CAMP1183</t>
  </si>
  <si>
    <t>CAMP1184</t>
  </si>
  <si>
    <t>CAMP1185</t>
  </si>
  <si>
    <t>CAMP1186</t>
  </si>
  <si>
    <t>CAMP1187</t>
  </si>
  <si>
    <t>CAMP1188</t>
  </si>
  <si>
    <t>CAMP1189</t>
  </si>
  <si>
    <t>CAMP1190</t>
  </si>
  <si>
    <t>CAMP1191</t>
  </si>
  <si>
    <t>CAMP1192</t>
  </si>
  <si>
    <t>CAMP1193</t>
  </si>
  <si>
    <t>CAMP1194</t>
  </si>
  <si>
    <t>CAMP1195</t>
  </si>
  <si>
    <t>CAMP1196</t>
  </si>
  <si>
    <t>CAMP1197</t>
  </si>
  <si>
    <t>CAMP1198</t>
  </si>
  <si>
    <t>CAMP1199</t>
  </si>
  <si>
    <t>CAMP1200</t>
  </si>
  <si>
    <t>CAMP1201</t>
  </si>
  <si>
    <t>CAMP1202</t>
  </si>
  <si>
    <t>CAMP1203</t>
  </si>
  <si>
    <t>CAMP1204</t>
  </si>
  <si>
    <t>CAMP1205</t>
  </si>
  <si>
    <t>CAMP1206</t>
  </si>
  <si>
    <t>CAMP1207</t>
  </si>
  <si>
    <t>CAMP1208</t>
  </si>
  <si>
    <t>CAMP1209</t>
  </si>
  <si>
    <t>CAMP1210</t>
  </si>
  <si>
    <t>CAMP1211</t>
  </si>
  <si>
    <t>CAMP1212</t>
  </si>
  <si>
    <t>CAMP1213</t>
  </si>
  <si>
    <t>CAMP1214</t>
  </si>
  <si>
    <t>CAMP1215</t>
  </si>
  <si>
    <t>CAMP1216</t>
  </si>
  <si>
    <t>CAMP1217</t>
  </si>
  <si>
    <t>CAMP1218</t>
  </si>
  <si>
    <t>CAMP1219</t>
  </si>
  <si>
    <t>CAMP1220</t>
  </si>
  <si>
    <t>CAMP1221</t>
  </si>
  <si>
    <t>CAMP1222</t>
  </si>
  <si>
    <t>CAMP1223</t>
  </si>
  <si>
    <t>CAMP1224</t>
  </si>
  <si>
    <t>CAMP1225</t>
  </si>
  <si>
    <t>CAMP1226</t>
  </si>
  <si>
    <t>CAMP1227</t>
  </si>
  <si>
    <t>CAMP1228</t>
  </si>
  <si>
    <t>CAMP1229</t>
  </si>
  <si>
    <t>CAMP1230</t>
  </si>
  <si>
    <t>CAMP1231</t>
  </si>
  <si>
    <t>CAMP1232</t>
  </si>
  <si>
    <t>CAMP1233</t>
  </si>
  <si>
    <t>CAMP1234</t>
  </si>
  <si>
    <t>CAMP1235</t>
  </si>
  <si>
    <t>CAMP1236</t>
  </si>
  <si>
    <t>CAMP1237</t>
  </si>
  <si>
    <t>CAMP1238</t>
  </si>
  <si>
    <t>CAMP1239</t>
  </si>
  <si>
    <t>CAMP1240</t>
  </si>
  <si>
    <t>CAMP1241</t>
  </si>
  <si>
    <t>CAMP1242</t>
  </si>
  <si>
    <t>CAMP1243</t>
  </si>
  <si>
    <t>CAMP1244</t>
  </si>
  <si>
    <t>CAMP1245</t>
  </si>
  <si>
    <t>CAMP1246</t>
  </si>
  <si>
    <t>CAMP1247</t>
  </si>
  <si>
    <t>CAMP1248</t>
  </si>
  <si>
    <t>CAMP1249</t>
  </si>
  <si>
    <t>CAMP1250</t>
  </si>
  <si>
    <t>CAMP1251</t>
  </si>
  <si>
    <t>CAMP1252</t>
  </si>
  <si>
    <t>CAMP1253</t>
  </si>
  <si>
    <t>CAMP1254</t>
  </si>
  <si>
    <t>CAMP1255</t>
  </si>
  <si>
    <t>CAMP1256</t>
  </si>
  <si>
    <t>CAMP1257</t>
  </si>
  <si>
    <t>CAMP1258</t>
  </si>
  <si>
    <t>CAMP1259</t>
  </si>
  <si>
    <t>CAMP1260</t>
  </si>
  <si>
    <t>CAMP1261</t>
  </si>
  <si>
    <t>CAMP1262</t>
  </si>
  <si>
    <t>CAMP1263</t>
  </si>
  <si>
    <t>CAMP1264</t>
  </si>
  <si>
    <t>CAMP1265</t>
  </si>
  <si>
    <t>CAMP1266</t>
  </si>
  <si>
    <t>CAMP1267</t>
  </si>
  <si>
    <t>CAMP1268</t>
  </si>
  <si>
    <t>CAMP1269</t>
  </si>
  <si>
    <t>CAMP1270</t>
  </si>
  <si>
    <t>CAMP1271</t>
  </si>
  <si>
    <t>CAMP1272</t>
  </si>
  <si>
    <t>CAMP1273</t>
  </si>
  <si>
    <t>CAMP1274</t>
  </si>
  <si>
    <t>CAMP1275</t>
  </si>
  <si>
    <t>CAMP1276</t>
  </si>
  <si>
    <t>CAMP1277</t>
  </si>
  <si>
    <t>CAMP1278</t>
  </si>
  <si>
    <t>CAMP1279</t>
  </si>
  <si>
    <t>CAMP1280</t>
  </si>
  <si>
    <t>CAMP1281</t>
  </si>
  <si>
    <t>CAMP1282</t>
  </si>
  <si>
    <t>CAMP1283</t>
  </si>
  <si>
    <t>CAMP1284</t>
  </si>
  <si>
    <t>CAMP1285</t>
  </si>
  <si>
    <t>CAMP1286</t>
  </si>
  <si>
    <t>CAMP1287</t>
  </si>
  <si>
    <t>CAMP1288</t>
  </si>
  <si>
    <t>CAMP1289</t>
  </si>
  <si>
    <t>CAMP1290</t>
  </si>
  <si>
    <t>CAMP1291</t>
  </si>
  <si>
    <t>CAMP1292</t>
  </si>
  <si>
    <t>CAMP1293</t>
  </si>
  <si>
    <t>CAMP1294</t>
  </si>
  <si>
    <t>CAMP1295</t>
  </si>
  <si>
    <t>CAMP1296</t>
  </si>
  <si>
    <t>CAMP1297</t>
  </si>
  <si>
    <t>CAMP1298</t>
  </si>
  <si>
    <t>CAMP1299</t>
  </si>
  <si>
    <t>CAMP1300</t>
  </si>
  <si>
    <t>CAMP1301</t>
  </si>
  <si>
    <t>CAMP1302</t>
  </si>
  <si>
    <t>CAMP1303</t>
  </si>
  <si>
    <t>CAMP1304</t>
  </si>
  <si>
    <t>CAMP1305</t>
  </si>
  <si>
    <t>CAMP1306</t>
  </si>
  <si>
    <t>CAMP1307</t>
  </si>
  <si>
    <t>CAMP1308</t>
  </si>
  <si>
    <t>CAMP1309</t>
  </si>
  <si>
    <t>CAMP1310</t>
  </si>
  <si>
    <t>CAMP1311</t>
  </si>
  <si>
    <t>CAMP1312</t>
  </si>
  <si>
    <t>CAMP1313</t>
  </si>
  <si>
    <t>CAMP1314</t>
  </si>
  <si>
    <t>CAMP1315</t>
  </si>
  <si>
    <t>CAMP1316</t>
  </si>
  <si>
    <t>CAMP1317</t>
  </si>
  <si>
    <t>CAMP1318</t>
  </si>
  <si>
    <t>CAMP1319</t>
  </si>
  <si>
    <t>CAMP1320</t>
  </si>
  <si>
    <t>CAMP1321</t>
  </si>
  <si>
    <t>CAMP1322</t>
  </si>
  <si>
    <t>CAMP1323</t>
  </si>
  <si>
    <t>CAMP1324</t>
  </si>
  <si>
    <t>CAMP1325</t>
  </si>
  <si>
    <t>CAMP1326</t>
  </si>
  <si>
    <t>CAMP1327</t>
  </si>
  <si>
    <t>CAMP1328</t>
  </si>
  <si>
    <t>CAMP1329</t>
  </si>
  <si>
    <t>CAMP1330</t>
  </si>
  <si>
    <t>CAMP1331</t>
  </si>
  <si>
    <t>CAMP1332</t>
  </si>
  <si>
    <t>CAMP1333</t>
  </si>
  <si>
    <t>CAMP1334</t>
  </si>
  <si>
    <t>CAMP1335</t>
  </si>
  <si>
    <t>CAMP1336</t>
  </si>
  <si>
    <t>CAMP1337</t>
  </si>
  <si>
    <t>CAMP1338</t>
  </si>
  <si>
    <t>CAMP1339</t>
  </si>
  <si>
    <t>CAMP1340</t>
  </si>
  <si>
    <t>CAMP1341</t>
  </si>
  <si>
    <t>CAMP1342</t>
  </si>
  <si>
    <t>CAMP1343</t>
  </si>
  <si>
    <t>CAMP1344</t>
  </si>
  <si>
    <t>CAMP1345</t>
  </si>
  <si>
    <t>CAMP1346</t>
  </si>
  <si>
    <t>CAMP1347</t>
  </si>
  <si>
    <t>CAMP1348</t>
  </si>
  <si>
    <t>CAMP1349</t>
  </si>
  <si>
    <t>CAMP1350</t>
  </si>
  <si>
    <t>CAMP1351</t>
  </si>
  <si>
    <t>CAMP1352</t>
  </si>
  <si>
    <t>CAMP1353</t>
  </si>
  <si>
    <t>CAMP1354</t>
  </si>
  <si>
    <t>CAMP1355</t>
  </si>
  <si>
    <t>CAMP1356</t>
  </si>
  <si>
    <t>CAMP1357</t>
  </si>
  <si>
    <t>CAMP1358</t>
  </si>
  <si>
    <t>CAMP1359</t>
  </si>
  <si>
    <t>CAMP1360</t>
  </si>
  <si>
    <t>CAMP1361</t>
  </si>
  <si>
    <t>CAMP1362</t>
  </si>
  <si>
    <t>CAMP1363</t>
  </si>
  <si>
    <t>CAMP1364</t>
  </si>
  <si>
    <t>CAMP1365</t>
  </si>
  <si>
    <t>CAMP1366</t>
  </si>
  <si>
    <t>CAMP1367</t>
  </si>
  <si>
    <t>CAMP1368</t>
  </si>
  <si>
    <t>CAMP1369</t>
  </si>
  <si>
    <t>CAMP1370</t>
  </si>
  <si>
    <t>CAMP1371</t>
  </si>
  <si>
    <t>CAMP1372</t>
  </si>
  <si>
    <t>CAMP1373</t>
  </si>
  <si>
    <t>CAMP1374</t>
  </si>
  <si>
    <t>CAMP1375</t>
  </si>
  <si>
    <t>CAMP1376</t>
  </si>
  <si>
    <t>CAMP1377</t>
  </si>
  <si>
    <t>CAMP1378</t>
  </si>
  <si>
    <t>CAMP1379</t>
  </si>
  <si>
    <t>CAMP1380</t>
  </si>
  <si>
    <t>CAMP1381</t>
  </si>
  <si>
    <t>CAMP1382</t>
  </si>
  <si>
    <t>CAMP1383</t>
  </si>
  <si>
    <t>CAMP1384</t>
  </si>
  <si>
    <t>CAMP1385</t>
  </si>
  <si>
    <t>CAMP1386</t>
  </si>
  <si>
    <t>CAMP1387</t>
  </si>
  <si>
    <t>CAMP1388</t>
  </si>
  <si>
    <t>CAMP1389</t>
  </si>
  <si>
    <t>CAMP1390</t>
  </si>
  <si>
    <t>CAMP1391</t>
  </si>
  <si>
    <t>CAMP1392</t>
  </si>
  <si>
    <t>CAMP1393</t>
  </si>
  <si>
    <t>CAMP1394</t>
  </si>
  <si>
    <t>CAMP1395</t>
  </si>
  <si>
    <t>CAMP1396</t>
  </si>
  <si>
    <t>CAMP1397</t>
  </si>
  <si>
    <t>CAMP1398</t>
  </si>
  <si>
    <t>CAMP1399</t>
  </si>
  <si>
    <t>CAMP1400</t>
  </si>
  <si>
    <t>CAMP1401</t>
  </si>
  <si>
    <t>CAMP1402</t>
  </si>
  <si>
    <t>CAMP1403</t>
  </si>
  <si>
    <t>CAMP1404</t>
  </si>
  <si>
    <t>CAMP1405</t>
  </si>
  <si>
    <t>CAMP1406</t>
  </si>
  <si>
    <t>CAMP1407</t>
  </si>
  <si>
    <t>CAMP1408</t>
  </si>
  <si>
    <t>CAMP1409</t>
  </si>
  <si>
    <t>CAMP1410</t>
  </si>
  <si>
    <t>CAMP1411</t>
  </si>
  <si>
    <t>CAMP1412</t>
  </si>
  <si>
    <t>CAMP1413</t>
  </si>
  <si>
    <t>CAMP1414</t>
  </si>
  <si>
    <t>CAMP1415</t>
  </si>
  <si>
    <t>CAMP1416</t>
  </si>
  <si>
    <t>CAMP1417</t>
  </si>
  <si>
    <t>CAMP1418</t>
  </si>
  <si>
    <t>CAMP1419</t>
  </si>
  <si>
    <t>CAMP1420</t>
  </si>
  <si>
    <t>CAMP1421</t>
  </si>
  <si>
    <t>CAMP1422</t>
  </si>
  <si>
    <t>CAMP1423</t>
  </si>
  <si>
    <t>CAMP1424</t>
  </si>
  <si>
    <t>CAMP1425</t>
  </si>
  <si>
    <t>CAMP1426</t>
  </si>
  <si>
    <t>CAMP1427</t>
  </si>
  <si>
    <t>CAMP1428</t>
  </si>
  <si>
    <t>CAMP1429</t>
  </si>
  <si>
    <t>CAMP1430</t>
  </si>
  <si>
    <t>CAMP1431</t>
  </si>
  <si>
    <t>CAMP1432</t>
  </si>
  <si>
    <t>CAMP1433</t>
  </si>
  <si>
    <t>CAMP1434</t>
  </si>
  <si>
    <t>CAMP1435</t>
  </si>
  <si>
    <t>CAMP1436</t>
  </si>
  <si>
    <t>CAMP1437</t>
  </si>
  <si>
    <t>CAMP1438</t>
  </si>
  <si>
    <t>CAMP1439</t>
  </si>
  <si>
    <t>CAMP1440</t>
  </si>
  <si>
    <t>CAMP1441</t>
  </si>
  <si>
    <t>CAMP1442</t>
  </si>
  <si>
    <t>CAMP1443</t>
  </si>
  <si>
    <t>CAMP1444</t>
  </si>
  <si>
    <t>CAMP1445</t>
  </si>
  <si>
    <t>CAMP1446</t>
  </si>
  <si>
    <t>CAMP1447</t>
  </si>
  <si>
    <t>CAMP1448</t>
  </si>
  <si>
    <t>CAMP1449</t>
  </si>
  <si>
    <t>CAMP1450</t>
  </si>
  <si>
    <t>CAMP1451</t>
  </si>
  <si>
    <t>CAMP1452</t>
  </si>
  <si>
    <t>CAMP1453</t>
  </si>
  <si>
    <t>CAMP1454</t>
  </si>
  <si>
    <t>CAMP1455</t>
  </si>
  <si>
    <t>CAMP1456</t>
  </si>
  <si>
    <t>CAMP1457</t>
  </si>
  <si>
    <t>CAMP1458</t>
  </si>
  <si>
    <t>CAMP1459</t>
  </si>
  <si>
    <t>CAMP1460</t>
  </si>
  <si>
    <t>CAMP1461</t>
  </si>
  <si>
    <t>CAMP1462</t>
  </si>
  <si>
    <t>CAMP1463</t>
  </si>
  <si>
    <t>CAMP1464</t>
  </si>
  <si>
    <t>CAMP1465</t>
  </si>
  <si>
    <t>CAMP1466</t>
  </si>
  <si>
    <t>CAMP1467</t>
  </si>
  <si>
    <t>CAMP1468</t>
  </si>
  <si>
    <t>CAMP1469</t>
  </si>
  <si>
    <t>CAMP1470</t>
  </si>
  <si>
    <t>CAMP1471</t>
  </si>
  <si>
    <t>CAMP1472</t>
  </si>
  <si>
    <t>CAMP1473</t>
  </si>
  <si>
    <t>CAMP1474</t>
  </si>
  <si>
    <t>CAMP1475</t>
  </si>
  <si>
    <t>CAMP1476</t>
  </si>
  <si>
    <t>CAMP1477</t>
  </si>
  <si>
    <t>CAMP1478</t>
  </si>
  <si>
    <t>CAMP1479</t>
  </si>
  <si>
    <t>CAMP1480</t>
  </si>
  <si>
    <t>CAMP1481</t>
  </si>
  <si>
    <t>CAMP1482</t>
  </si>
  <si>
    <t>CAMP1483</t>
  </si>
  <si>
    <t>CAMP1484</t>
  </si>
  <si>
    <t>CAMP1485</t>
  </si>
  <si>
    <t>CAMP1486</t>
  </si>
  <si>
    <t>CAMP1487</t>
  </si>
  <si>
    <t>CAMP1488</t>
  </si>
  <si>
    <t>CAMP1489</t>
  </si>
  <si>
    <t>CAMP1490</t>
  </si>
  <si>
    <t>CAMP1491</t>
  </si>
  <si>
    <t>CAMP1492</t>
  </si>
  <si>
    <t>CAMP1493</t>
  </si>
  <si>
    <t>CAMP1494</t>
  </si>
  <si>
    <t>CAMP1495</t>
  </si>
  <si>
    <t>CAMP1496</t>
  </si>
  <si>
    <t>CAMP1497</t>
  </si>
  <si>
    <t>CAMP1498</t>
  </si>
  <si>
    <t>CAMP1499</t>
  </si>
  <si>
    <t>CAMP1500</t>
  </si>
  <si>
    <t>CAMP1501</t>
  </si>
  <si>
    <t>CAMP1502</t>
  </si>
  <si>
    <t>CAMP1503</t>
  </si>
  <si>
    <t>CAMP1504</t>
  </si>
  <si>
    <t>CAMP1505</t>
  </si>
  <si>
    <t>CAMP1506</t>
  </si>
  <si>
    <t>CAMP1507</t>
  </si>
  <si>
    <t>CAMP1508</t>
  </si>
  <si>
    <t>CAMP1509</t>
  </si>
  <si>
    <t>CAMP1510</t>
  </si>
  <si>
    <t>CAMP1511</t>
  </si>
  <si>
    <t>CAMP1512</t>
  </si>
  <si>
    <t>CAMP1513</t>
  </si>
  <si>
    <t>CAMP1514</t>
  </si>
  <si>
    <t>CAMP1515</t>
  </si>
  <si>
    <t>CAMP1516</t>
  </si>
  <si>
    <t>CAMP1517</t>
  </si>
  <si>
    <t>CAMP1518</t>
  </si>
  <si>
    <t>CAMP1519</t>
  </si>
  <si>
    <t>CAMP1520</t>
  </si>
  <si>
    <t>CAMP1521</t>
  </si>
  <si>
    <t>CAMP1522</t>
  </si>
  <si>
    <t>CAMP1523</t>
  </si>
  <si>
    <t>CAMP1524</t>
  </si>
  <si>
    <t>CAMP1525</t>
  </si>
  <si>
    <t>CAMP1526</t>
  </si>
  <si>
    <t>CAMP1527</t>
  </si>
  <si>
    <t>CAMP1528</t>
  </si>
  <si>
    <t>CAMP1529</t>
  </si>
  <si>
    <t>CAMP1530</t>
  </si>
  <si>
    <t>CAMP1531</t>
  </si>
  <si>
    <t>CAMP1532</t>
  </si>
  <si>
    <t>CAMP1533</t>
  </si>
  <si>
    <t>CAMP1534</t>
  </si>
  <si>
    <t>CAMP1535</t>
  </si>
  <si>
    <t>CAMP1536</t>
  </si>
  <si>
    <t>CAMP1537</t>
  </si>
  <si>
    <t>CAMP1538</t>
  </si>
  <si>
    <t>CAMP1539</t>
  </si>
  <si>
    <t>CAMP1540</t>
  </si>
  <si>
    <t>CAMP1541</t>
  </si>
  <si>
    <t>CAMP1542</t>
  </si>
  <si>
    <t>CAMP1543</t>
  </si>
  <si>
    <t>CAMP1544</t>
  </si>
  <si>
    <t>CAMP1545</t>
  </si>
  <si>
    <t>CAMP1546</t>
  </si>
  <si>
    <t>CAMP1547</t>
  </si>
  <si>
    <t>CAMP1548</t>
  </si>
  <si>
    <t>CAMP1549</t>
  </si>
  <si>
    <t>CAMP1550</t>
  </si>
  <si>
    <t>CAMP1551</t>
  </si>
  <si>
    <t>CAMP1552</t>
  </si>
  <si>
    <t>CAMP1553</t>
  </si>
  <si>
    <t>CAMP1554</t>
  </si>
  <si>
    <t>CAMP1555</t>
  </si>
  <si>
    <t>CAMP1556</t>
  </si>
  <si>
    <t>CAMP1557</t>
  </si>
  <si>
    <t>CAMP1558</t>
  </si>
  <si>
    <t>CAMP1559</t>
  </si>
  <si>
    <t>CAMP1560</t>
  </si>
  <si>
    <t>CAMP1561</t>
  </si>
  <si>
    <t>CAMP1562</t>
  </si>
  <si>
    <t>CAMP1563</t>
  </si>
  <si>
    <t>CAMP1564</t>
  </si>
  <si>
    <t>CAMP1565</t>
  </si>
  <si>
    <t>CAMP1566</t>
  </si>
  <si>
    <t>CAMP1567</t>
  </si>
  <si>
    <t>CAMP1568</t>
  </si>
  <si>
    <t>CAMP1569</t>
  </si>
  <si>
    <t>CAMP1570</t>
  </si>
  <si>
    <t>CAMP1571</t>
  </si>
  <si>
    <t>CAMP1572</t>
  </si>
  <si>
    <t>CAMP1573</t>
  </si>
  <si>
    <t>CAMP1574</t>
  </si>
  <si>
    <t>CAMP1575</t>
  </si>
  <si>
    <t>CAMP1576</t>
  </si>
  <si>
    <t>CAMP1577</t>
  </si>
  <si>
    <t>CAMP1578</t>
  </si>
  <si>
    <t>CAMP1579</t>
  </si>
  <si>
    <t>CAMP1580</t>
  </si>
  <si>
    <t>CAMP1581</t>
  </si>
  <si>
    <t>CAMP1582</t>
  </si>
  <si>
    <t>CAMP1583</t>
  </si>
  <si>
    <t>CAMP1584</t>
  </si>
  <si>
    <t>CAMP1585</t>
  </si>
  <si>
    <t>CAMP1586</t>
  </si>
  <si>
    <t>CAMP1587</t>
  </si>
  <si>
    <t>CAMP1588</t>
  </si>
  <si>
    <t>CAMP1589</t>
  </si>
  <si>
    <t>CAMP1590</t>
  </si>
  <si>
    <t>CAMP1591</t>
  </si>
  <si>
    <t>CAMP1592</t>
  </si>
  <si>
    <t>CAMP1593</t>
  </si>
  <si>
    <t>CAMP1594</t>
  </si>
  <si>
    <t>CAMP1595</t>
  </si>
  <si>
    <t>CAMP1596</t>
  </si>
  <si>
    <t>CAMP1597</t>
  </si>
  <si>
    <t>CAMP1598</t>
  </si>
  <si>
    <t>CAMP1599</t>
  </si>
  <si>
    <t>CAMP1600</t>
  </si>
  <si>
    <t>CAMP1601</t>
  </si>
  <si>
    <t>CAMP1602</t>
  </si>
  <si>
    <t>CAMP1603</t>
  </si>
  <si>
    <t>CAMP1604</t>
  </si>
  <si>
    <t>CAMP1605</t>
  </si>
  <si>
    <t>CAMP1606</t>
  </si>
  <si>
    <t>CAMP1607</t>
  </si>
  <si>
    <t>CAMP1608</t>
  </si>
  <si>
    <t>CAMP1609</t>
  </si>
  <si>
    <t>CAMP1610</t>
  </si>
  <si>
    <t>CAMP1611</t>
  </si>
  <si>
    <t>CAMP1612</t>
  </si>
  <si>
    <t>CAMP1613</t>
  </si>
  <si>
    <t>CAMP1614</t>
  </si>
  <si>
    <t>CAMP1615</t>
  </si>
  <si>
    <t>CAMP1616</t>
  </si>
  <si>
    <t>CAMP1617</t>
  </si>
  <si>
    <t>CAMP1618</t>
  </si>
  <si>
    <t>CAMP1619</t>
  </si>
  <si>
    <t>CAMP1620</t>
  </si>
  <si>
    <t>CAMP1621</t>
  </si>
  <si>
    <t>CAMP1622</t>
  </si>
  <si>
    <t>CAMP1623</t>
  </si>
  <si>
    <t>CAMP1624</t>
  </si>
  <si>
    <t>CAMP1625</t>
  </si>
  <si>
    <t>CAMP1626</t>
  </si>
  <si>
    <t>CAMP1627</t>
  </si>
  <si>
    <t>CAMP1628</t>
  </si>
  <si>
    <t>CAMP1629</t>
  </si>
  <si>
    <t>CAMP1630</t>
  </si>
  <si>
    <t>CAMP1631</t>
  </si>
  <si>
    <t>CAMP1632</t>
  </si>
  <si>
    <t>CAMP1633</t>
  </si>
  <si>
    <t>CAMP1634</t>
  </si>
  <si>
    <t>CAMP1635</t>
  </si>
  <si>
    <t>CAMP1636</t>
  </si>
  <si>
    <t>CAMP1637</t>
  </si>
  <si>
    <t>CAMP1638</t>
  </si>
  <si>
    <t>CAMP1639</t>
  </si>
  <si>
    <t>CAMP1640</t>
  </si>
  <si>
    <t>CAMP1641</t>
  </si>
  <si>
    <t>CAMP1642</t>
  </si>
  <si>
    <t>CAMP1643</t>
  </si>
  <si>
    <t>CAMP1644</t>
  </si>
  <si>
    <t>CAMP1645</t>
  </si>
  <si>
    <t>CAMP1646</t>
  </si>
  <si>
    <t>CAMP1647</t>
  </si>
  <si>
    <t>CAMP1648</t>
  </si>
  <si>
    <t>CAMP1649</t>
  </si>
  <si>
    <t>CAMP1650</t>
  </si>
  <si>
    <t>CAMP1651</t>
  </si>
  <si>
    <t>CAMP1652</t>
  </si>
  <si>
    <t>CAMP1653</t>
  </si>
  <si>
    <t>CAMP1654</t>
  </si>
  <si>
    <t>CAMP1655</t>
  </si>
  <si>
    <t>CAMP1656</t>
  </si>
  <si>
    <t>CAMP1657</t>
  </si>
  <si>
    <t>CAMP1658</t>
  </si>
  <si>
    <t>CAMP1659</t>
  </si>
  <si>
    <t>CAMP1660</t>
  </si>
  <si>
    <t>CAMP1661</t>
  </si>
  <si>
    <t>CAMP1662</t>
  </si>
  <si>
    <t>CAMP1663</t>
  </si>
  <si>
    <t>CAMP1664</t>
  </si>
  <si>
    <t>CAMP1665</t>
  </si>
  <si>
    <t>CAMP1666</t>
  </si>
  <si>
    <t>CAMP1667</t>
  </si>
  <si>
    <t>CAMP1668</t>
  </si>
  <si>
    <t>CAMP1669</t>
  </si>
  <si>
    <t>CAMP1670</t>
  </si>
  <si>
    <t>CAMP1671</t>
  </si>
  <si>
    <t>CAMP1672</t>
  </si>
  <si>
    <t>CAMP1673</t>
  </si>
  <si>
    <t>CAMP1674</t>
  </si>
  <si>
    <t>CAMP1675</t>
  </si>
  <si>
    <t>CAMP1676</t>
  </si>
  <si>
    <t>CAMP1677</t>
  </si>
  <si>
    <t>CAMP1678</t>
  </si>
  <si>
    <t>CAMP1679</t>
  </si>
  <si>
    <t>CAMP1680</t>
  </si>
  <si>
    <t>CAMP1681</t>
  </si>
  <si>
    <t>CAMP1682</t>
  </si>
  <si>
    <t>CAMP1683</t>
  </si>
  <si>
    <t>CAMP1684</t>
  </si>
  <si>
    <t>CAMP1685</t>
  </si>
  <si>
    <t>CAMP1686</t>
  </si>
  <si>
    <t>CAMP1687</t>
  </si>
  <si>
    <t>CAMP1688</t>
  </si>
  <si>
    <t>CAMP1689</t>
  </si>
  <si>
    <t>CAMP1690</t>
  </si>
  <si>
    <t>CAMP1691</t>
  </si>
  <si>
    <t>CAMP1692</t>
  </si>
  <si>
    <t>CAMP1693</t>
  </si>
  <si>
    <t>CAMP1694</t>
  </si>
  <si>
    <t>CAMP1695</t>
  </si>
  <si>
    <t>CAMP1696</t>
  </si>
  <si>
    <t>CAMP1697</t>
  </si>
  <si>
    <t>CAMP1698</t>
  </si>
  <si>
    <t>CAMP1699</t>
  </si>
  <si>
    <t>CAMP1700</t>
  </si>
  <si>
    <t>CAMP1701</t>
  </si>
  <si>
    <t>CAMP1702</t>
  </si>
  <si>
    <t>CAMP1703</t>
  </si>
  <si>
    <t>CAMP1704</t>
  </si>
  <si>
    <t>CAMP1705</t>
  </si>
  <si>
    <t>CAMP1706</t>
  </si>
  <si>
    <t>CAMP1707</t>
  </si>
  <si>
    <t>CAMP1708</t>
  </si>
  <si>
    <t>CAMP1709</t>
  </si>
  <si>
    <t>CAMP1710</t>
  </si>
  <si>
    <t>CAMP1711</t>
  </si>
  <si>
    <t>CAMP1712</t>
  </si>
  <si>
    <t>CAMP1713</t>
  </si>
  <si>
    <t>CAMP1714</t>
  </si>
  <si>
    <t>CAMP1715</t>
  </si>
  <si>
    <t>CAMP1716</t>
  </si>
  <si>
    <t>CAMP1717</t>
  </si>
  <si>
    <t>CAMP1718</t>
  </si>
  <si>
    <t>CAMP1719</t>
  </si>
  <si>
    <t>CAMP1720</t>
  </si>
  <si>
    <t>CAMP1721</t>
  </si>
  <si>
    <t>CAMP1722</t>
  </si>
  <si>
    <t>CAMP1723</t>
  </si>
  <si>
    <t>CAMP1724</t>
  </si>
  <si>
    <t>CAMP1725</t>
  </si>
  <si>
    <t>CAMP1726</t>
  </si>
  <si>
    <t>CAMP1727</t>
  </si>
  <si>
    <t>CAMP1728</t>
  </si>
  <si>
    <t>CAMP1729</t>
  </si>
  <si>
    <t>CAMP1730</t>
  </si>
  <si>
    <t>CAMP1731</t>
  </si>
  <si>
    <t>CAMP1732</t>
  </si>
  <si>
    <t>CAMP1733</t>
  </si>
  <si>
    <t>CAMP1734</t>
  </si>
  <si>
    <t>CAMP1735</t>
  </si>
  <si>
    <t>CAMP1736</t>
  </si>
  <si>
    <t>CAMP1737</t>
  </si>
  <si>
    <t>CAMP1738</t>
  </si>
  <si>
    <t>CAMP1739</t>
  </si>
  <si>
    <t>CAMP1740</t>
  </si>
  <si>
    <t>CAMP1741</t>
  </si>
  <si>
    <t>CAMP1742</t>
  </si>
  <si>
    <t>CAMP1743</t>
  </si>
  <si>
    <t>CAMP1744</t>
  </si>
  <si>
    <t>CAMP1745</t>
  </si>
  <si>
    <t>CAMP1746</t>
  </si>
  <si>
    <t>CAMP1747</t>
  </si>
  <si>
    <t>CAMP1748</t>
  </si>
  <si>
    <t>CAMP1749</t>
  </si>
  <si>
    <t>CAMP1750</t>
  </si>
  <si>
    <t>CAMP1751</t>
  </si>
  <si>
    <t>CAMP1752</t>
  </si>
  <si>
    <t>CAMP1753</t>
  </si>
  <si>
    <t>CAMP1754</t>
  </si>
  <si>
    <t>CAMP1755</t>
  </si>
  <si>
    <t>CAMP1756</t>
  </si>
  <si>
    <t>CAMP1757</t>
  </si>
  <si>
    <t>CAMP1758</t>
  </si>
  <si>
    <t>CAMP1759</t>
  </si>
  <si>
    <t>CAMP1760</t>
  </si>
  <si>
    <t>CAMP1761</t>
  </si>
  <si>
    <t>CAMP1762</t>
  </si>
  <si>
    <t>CAMP1763</t>
  </si>
  <si>
    <t>CAMP1764</t>
  </si>
  <si>
    <t>CAMP1765</t>
  </si>
  <si>
    <t>CAMP1766</t>
  </si>
  <si>
    <t>CAMP1767</t>
  </si>
  <si>
    <t>CAMP1768</t>
  </si>
  <si>
    <t>CAMP1769</t>
  </si>
  <si>
    <t>CAMP1770</t>
  </si>
  <si>
    <t>CAMP1771</t>
  </si>
  <si>
    <t>CAMP1772</t>
  </si>
  <si>
    <t>CAMP1773</t>
  </si>
  <si>
    <t>CAMP1774</t>
  </si>
  <si>
    <t>CAMP1775</t>
  </si>
  <si>
    <t>CAMP1776</t>
  </si>
  <si>
    <t>CAMP1777</t>
  </si>
  <si>
    <t>CAMP1778</t>
  </si>
  <si>
    <t>CAMP1779</t>
  </si>
  <si>
    <t>CAMP1780</t>
  </si>
  <si>
    <t>CAMP1781</t>
  </si>
  <si>
    <t>CAMP1782</t>
  </si>
  <si>
    <t>CAMP1783</t>
  </si>
  <si>
    <t>CAMP1784</t>
  </si>
  <si>
    <t>CAMP1785</t>
  </si>
  <si>
    <t>CAMP1786</t>
  </si>
  <si>
    <t>CAMP1787</t>
  </si>
  <si>
    <t>CAMP1788</t>
  </si>
  <si>
    <t>CAMP1789</t>
  </si>
  <si>
    <t>CAMP1790</t>
  </si>
  <si>
    <t>CAMP1791</t>
  </si>
  <si>
    <t>CAMP1792</t>
  </si>
  <si>
    <t>CAMP1793</t>
  </si>
  <si>
    <t>CAMP1794</t>
  </si>
  <si>
    <t>CAMP1795</t>
  </si>
  <si>
    <t>CAMP1796</t>
  </si>
  <si>
    <t>CAMP1797</t>
  </si>
  <si>
    <t>CAMP1798</t>
  </si>
  <si>
    <t>CAMP1799</t>
  </si>
  <si>
    <t>CAMP1800</t>
  </si>
  <si>
    <t>CAMP1801</t>
  </si>
  <si>
    <t>CAMP1802</t>
  </si>
  <si>
    <t>CAMP1803</t>
  </si>
  <si>
    <t>CAMP1804</t>
  </si>
  <si>
    <t>CAMP1805</t>
  </si>
  <si>
    <t>CAMP1806</t>
  </si>
  <si>
    <t>CAMP1807</t>
  </si>
  <si>
    <t>CAMP1808</t>
  </si>
  <si>
    <t>CAMP1809</t>
  </si>
  <si>
    <t>CAMP1810</t>
  </si>
  <si>
    <t>CAMP1811</t>
  </si>
  <si>
    <t>CAMP1812</t>
  </si>
  <si>
    <t>CAMP1813</t>
  </si>
  <si>
    <t>CAMP1814</t>
  </si>
  <si>
    <t>CAMP1815</t>
  </si>
  <si>
    <t>CAMP1816</t>
  </si>
  <si>
    <t>CAMP1817</t>
  </si>
  <si>
    <t>CAMP1818</t>
  </si>
  <si>
    <t>CAMP1819</t>
  </si>
  <si>
    <t>CAMP1820</t>
  </si>
  <si>
    <t>CAMP1821</t>
  </si>
  <si>
    <t>CAMP1822</t>
  </si>
  <si>
    <t>CAMP1823</t>
  </si>
  <si>
    <t>CAMP1824</t>
  </si>
  <si>
    <t>CAMP1825</t>
  </si>
  <si>
    <t>CAMP1826</t>
  </si>
  <si>
    <t>CAMP1827</t>
  </si>
  <si>
    <t>CAMP1828</t>
  </si>
  <si>
    <t>CAMP1829</t>
  </si>
  <si>
    <t>CAMP1830</t>
  </si>
  <si>
    <t>CAMP1831</t>
  </si>
  <si>
    <t>CAMP1832</t>
  </si>
  <si>
    <t>CAMP1833</t>
  </si>
  <si>
    <t>CAMP1834</t>
  </si>
  <si>
    <t>CAMP1835</t>
  </si>
  <si>
    <t>CAMP1836</t>
  </si>
  <si>
    <t>CAMP1837</t>
  </si>
  <si>
    <t>CAMP1838</t>
  </si>
  <si>
    <t>CAMP1839</t>
  </si>
  <si>
    <t>CAMP1840</t>
  </si>
  <si>
    <t>CAMP1841</t>
  </si>
  <si>
    <t>CAMP1842</t>
  </si>
  <si>
    <t>CAMP1843</t>
  </si>
  <si>
    <t>CAMP1844</t>
  </si>
  <si>
    <t>CAMP1845</t>
  </si>
  <si>
    <t>CAMP1846</t>
  </si>
  <si>
    <t>CAMP1847</t>
  </si>
  <si>
    <t>CAMP1848</t>
  </si>
  <si>
    <t>CAMP1849</t>
  </si>
  <si>
    <t>CAMP1850</t>
  </si>
  <si>
    <t>CAMP1851</t>
  </si>
  <si>
    <t>CAMP1852</t>
  </si>
  <si>
    <t>CAMP1853</t>
  </si>
  <si>
    <t>CAMP1854</t>
  </si>
  <si>
    <t>CAMP1855</t>
  </si>
  <si>
    <t>CAMP1856</t>
  </si>
  <si>
    <t>CAMP1857</t>
  </si>
  <si>
    <t>CAMP1858</t>
  </si>
  <si>
    <t>CAMP1859</t>
  </si>
  <si>
    <t>CAMP1860</t>
  </si>
  <si>
    <t>CAMP1861</t>
  </si>
  <si>
    <t>CAMP1862</t>
  </si>
  <si>
    <t>CAMP1863</t>
  </si>
  <si>
    <t>CAMP1864</t>
  </si>
  <si>
    <t>CAMP1865</t>
  </si>
  <si>
    <t>CAMP1866</t>
  </si>
  <si>
    <t>CAMP1867</t>
  </si>
  <si>
    <t>CAMP1868</t>
  </si>
  <si>
    <t>CAMP1869</t>
  </si>
  <si>
    <t>CAMP1870</t>
  </si>
  <si>
    <t>CAMP1871</t>
  </si>
  <si>
    <t>CAMP1872</t>
  </si>
  <si>
    <t>CAMP1873</t>
  </si>
  <si>
    <t>CAMP1874</t>
  </si>
  <si>
    <t>CAMP1875</t>
  </si>
  <si>
    <t>CAMP1876</t>
  </si>
  <si>
    <t>CAMP1877</t>
  </si>
  <si>
    <t>CAMP1878</t>
  </si>
  <si>
    <t>CAMP1879</t>
  </si>
  <si>
    <t>CAMP1880</t>
  </si>
  <si>
    <t>CAMP1881</t>
  </si>
  <si>
    <t>CAMP1882</t>
  </si>
  <si>
    <t>CAMP1883</t>
  </si>
  <si>
    <t>CAMP1884</t>
  </si>
  <si>
    <t>CAMP1885</t>
  </si>
  <si>
    <t>CAMP1886</t>
  </si>
  <si>
    <t>CAMP1887</t>
  </si>
  <si>
    <t>CAMP1888</t>
  </si>
  <si>
    <t>CAMP1889</t>
  </si>
  <si>
    <t>CAMP1890</t>
  </si>
  <si>
    <t>CAMP1891</t>
  </si>
  <si>
    <t>CAMP1892</t>
  </si>
  <si>
    <t>CAMP1893</t>
  </si>
  <si>
    <t>CAMP1894</t>
  </si>
  <si>
    <t>CAMP1895</t>
  </si>
  <si>
    <t>CAMP1896</t>
  </si>
  <si>
    <t>CAMP1897</t>
  </si>
  <si>
    <t>CAMP1898</t>
  </si>
  <si>
    <t>CAMP1899</t>
  </si>
  <si>
    <t>CAMP1900</t>
  </si>
  <si>
    <t>CAMP1901</t>
  </si>
  <si>
    <t>CAMP1902</t>
  </si>
  <si>
    <t>CAMP1903</t>
  </si>
  <si>
    <t>CAMP1904</t>
  </si>
  <si>
    <t>CAMP1905</t>
  </si>
  <si>
    <t>CAMP1906</t>
  </si>
  <si>
    <t>CAMP1907</t>
  </si>
  <si>
    <t>CAMP1908</t>
  </si>
  <si>
    <t>CAMP1909</t>
  </si>
  <si>
    <t>CAMP1910</t>
  </si>
  <si>
    <t>CAMP1911</t>
  </si>
  <si>
    <t>CAMP1912</t>
  </si>
  <si>
    <t>CAMP1913</t>
  </si>
  <si>
    <t>CAMP1914</t>
  </si>
  <si>
    <t>CAMP1915</t>
  </si>
  <si>
    <t>CAMP1916</t>
  </si>
  <si>
    <t>CAMP1917</t>
  </si>
  <si>
    <t>CAMP1918</t>
  </si>
  <si>
    <t>CAMP1919</t>
  </si>
  <si>
    <t>CAMP1920</t>
  </si>
  <si>
    <t>CAMP1921</t>
  </si>
  <si>
    <t>CAMP1922</t>
  </si>
  <si>
    <t>CAMP1923</t>
  </si>
  <si>
    <t>CAMP1924</t>
  </si>
  <si>
    <t>CAMP1925</t>
  </si>
  <si>
    <t>CAMP1926</t>
  </si>
  <si>
    <t>CAMP1927</t>
  </si>
  <si>
    <t>CAMP1928</t>
  </si>
  <si>
    <t>CAMP1929</t>
  </si>
  <si>
    <t>CAMP1930</t>
  </si>
  <si>
    <t>CAMP1931</t>
  </si>
  <si>
    <t>CAMP1932</t>
  </si>
  <si>
    <t>CAMP1933</t>
  </si>
  <si>
    <t>CAMP1934</t>
  </si>
  <si>
    <t>CAMP1935</t>
  </si>
  <si>
    <t>CAMP1936</t>
  </si>
  <si>
    <t>CAMP1937</t>
  </si>
  <si>
    <t>CAMP1938</t>
  </si>
  <si>
    <t>CAMP1939</t>
  </si>
  <si>
    <t>CAMP1940</t>
  </si>
  <si>
    <t>CAMP1941</t>
  </si>
  <si>
    <t>CAMP1942</t>
  </si>
  <si>
    <t>CAMP1943</t>
  </si>
  <si>
    <t>CAMP1944</t>
  </si>
  <si>
    <t>CAMP1945</t>
  </si>
  <si>
    <t>CAMP1946</t>
  </si>
  <si>
    <t>CAMP1947</t>
  </si>
  <si>
    <t>CAMP1948</t>
  </si>
  <si>
    <t>CAMP1949</t>
  </si>
  <si>
    <t>CAMP1950</t>
  </si>
  <si>
    <t>CAMP1951</t>
  </si>
  <si>
    <t>CAMP1952</t>
  </si>
  <si>
    <t>CAMP1953</t>
  </si>
  <si>
    <t>CAMP1954</t>
  </si>
  <si>
    <t>CAMP1955</t>
  </si>
  <si>
    <t>CAMP1956</t>
  </si>
  <si>
    <t>CAMP1957</t>
  </si>
  <si>
    <t>CAMP1958</t>
  </si>
  <si>
    <t>CAMP1959</t>
  </si>
  <si>
    <t>CAMP1960</t>
  </si>
  <si>
    <t>CAMP1961</t>
  </si>
  <si>
    <t>CAMP1962</t>
  </si>
  <si>
    <t>CAMP1963</t>
  </si>
  <si>
    <t>CAMP1964</t>
  </si>
  <si>
    <t>CAMP1965</t>
  </si>
  <si>
    <t>CAMP1966</t>
  </si>
  <si>
    <t>CAMP1967</t>
  </si>
  <si>
    <t>CAMP1968</t>
  </si>
  <si>
    <t>CAMP1969</t>
  </si>
  <si>
    <t>CAMP1970</t>
  </si>
  <si>
    <t>CAMP1971</t>
  </si>
  <si>
    <t>CAMP1972</t>
  </si>
  <si>
    <t>CAMP1973</t>
  </si>
  <si>
    <t>CAMP1974</t>
  </si>
  <si>
    <t>CAMP1975</t>
  </si>
  <si>
    <t>CAMP1976</t>
  </si>
  <si>
    <t>CAMP1977</t>
  </si>
  <si>
    <t>CAMP1978</t>
  </si>
  <si>
    <t>CAMP1979</t>
  </si>
  <si>
    <t>CAMP1980</t>
  </si>
  <si>
    <t>CAMP1981</t>
  </si>
  <si>
    <t>CAMP1982</t>
  </si>
  <si>
    <t>CAMP1983</t>
  </si>
  <si>
    <t>CAMP1984</t>
  </si>
  <si>
    <t>CAMP1985</t>
  </si>
  <si>
    <t>CAMP1986</t>
  </si>
  <si>
    <t>CAMP1987</t>
  </si>
  <si>
    <t>CAMP1988</t>
  </si>
  <si>
    <t>CAMP1989</t>
  </si>
  <si>
    <t>CAMP1990</t>
  </si>
  <si>
    <t>CAMP1991</t>
  </si>
  <si>
    <t>CAMP1992</t>
  </si>
  <si>
    <t>CAMP1993</t>
  </si>
  <si>
    <t>CAMP1994</t>
  </si>
  <si>
    <t>CAMP1995</t>
  </si>
  <si>
    <t>CAMP1996</t>
  </si>
  <si>
    <t>CAMP1997</t>
  </si>
  <si>
    <t>CAMP1998</t>
  </si>
  <si>
    <t>CAMP1999</t>
  </si>
  <si>
    <t>CAMP2000</t>
  </si>
  <si>
    <t>CAMP2001</t>
  </si>
  <si>
    <t>CAMP2002</t>
  </si>
  <si>
    <t>CAMP2003</t>
  </si>
  <si>
    <t>CAMP2004</t>
  </si>
  <si>
    <t>CAMP2005</t>
  </si>
  <si>
    <t>CAMP2006</t>
  </si>
  <si>
    <t>CAMP2007</t>
  </si>
  <si>
    <t>CAMP2008</t>
  </si>
  <si>
    <t>CAMP2009</t>
  </si>
  <si>
    <t>CAMP2010</t>
  </si>
  <si>
    <t>CAMP2011</t>
  </si>
  <si>
    <t>CAMP2012</t>
  </si>
  <si>
    <t>CAMP2013</t>
  </si>
  <si>
    <t>CAMP2014</t>
  </si>
  <si>
    <t>CAMP2015</t>
  </si>
  <si>
    <t>CAMP2016</t>
  </si>
  <si>
    <t>CAMP2017</t>
  </si>
  <si>
    <t>CAMP2018</t>
  </si>
  <si>
    <t>CAMP2019</t>
  </si>
  <si>
    <t>CAMP2020</t>
  </si>
  <si>
    <t>CAMP2021</t>
  </si>
  <si>
    <t>CAMP2022</t>
  </si>
  <si>
    <t>CAMP2023</t>
  </si>
  <si>
    <t>CAMP2024</t>
  </si>
  <si>
    <t>CAMP2025</t>
  </si>
  <si>
    <t>CAMP2026</t>
  </si>
  <si>
    <t>CAMP2027</t>
  </si>
  <si>
    <t>CAMP2028</t>
  </si>
  <si>
    <t>CAMP2029</t>
  </si>
  <si>
    <t>CAMP2030</t>
  </si>
  <si>
    <t>CAMP2031</t>
  </si>
  <si>
    <t>CAMP2032</t>
  </si>
  <si>
    <t>CAMP2033</t>
  </si>
  <si>
    <t>CAMP2034</t>
  </si>
  <si>
    <t>CAMP2035</t>
  </si>
  <si>
    <t>CAMP2036</t>
  </si>
  <si>
    <t>CAMP2037</t>
  </si>
  <si>
    <t>CAMP2038</t>
  </si>
  <si>
    <t>CAMP2039</t>
  </si>
  <si>
    <t>CAMP2040</t>
  </si>
  <si>
    <t>CAMP2041</t>
  </si>
  <si>
    <t>CAMP2042</t>
  </si>
  <si>
    <t>CAMP2043</t>
  </si>
  <si>
    <t>CAMP2044</t>
  </si>
  <si>
    <t>CAMP2045</t>
  </si>
  <si>
    <t>CAMP2046</t>
  </si>
  <si>
    <t>CAMP2047</t>
  </si>
  <si>
    <t>CAMP2048</t>
  </si>
  <si>
    <t>CAMP2049</t>
  </si>
  <si>
    <t>CAMP2050</t>
  </si>
  <si>
    <t>CAMP2051</t>
  </si>
  <si>
    <t>CAMP2052</t>
  </si>
  <si>
    <t>CAMP2053</t>
  </si>
  <si>
    <t>CAMP2054</t>
  </si>
  <si>
    <t>CAMP2055</t>
  </si>
  <si>
    <t>CAMP2056</t>
  </si>
  <si>
    <t>CAMP2057</t>
  </si>
  <si>
    <t>CAMP2058</t>
  </si>
  <si>
    <t>CAMP2059</t>
  </si>
  <si>
    <t>CAMP2060</t>
  </si>
  <si>
    <t>CAMP2061</t>
  </si>
  <si>
    <t>CAMP2062</t>
  </si>
  <si>
    <t>CAMP2063</t>
  </si>
  <si>
    <t>CAMP2064</t>
  </si>
  <si>
    <t>CAMP2065</t>
  </si>
  <si>
    <t>CAMP2066</t>
  </si>
  <si>
    <t>CAMP2067</t>
  </si>
  <si>
    <t>CAMP2068</t>
  </si>
  <si>
    <t>CAMP2069</t>
  </si>
  <si>
    <t>CAMP2070</t>
  </si>
  <si>
    <t>CAMP2071</t>
  </si>
  <si>
    <t>CAMP2072</t>
  </si>
  <si>
    <t>CAMP2073</t>
  </si>
  <si>
    <t>CAMP2074</t>
  </si>
  <si>
    <t>CAMP2075</t>
  </si>
  <si>
    <t>CAMP2076</t>
  </si>
  <si>
    <t>CAMP2077</t>
  </si>
  <si>
    <t>CAMP2078</t>
  </si>
  <si>
    <t>CAMP2079</t>
  </si>
  <si>
    <t>CAMP2080</t>
  </si>
  <si>
    <t>CAMP2081</t>
  </si>
  <si>
    <t>CAMP2082</t>
  </si>
  <si>
    <t>CAMP2083</t>
  </si>
  <si>
    <t>CAMP2084</t>
  </si>
  <si>
    <t>CAMP2085</t>
  </si>
  <si>
    <t>CAMP2086</t>
  </si>
  <si>
    <t>CAMP2087</t>
  </si>
  <si>
    <t>CAMP2088</t>
  </si>
  <si>
    <t>CAMP2089</t>
  </si>
  <si>
    <t>CAMP2090</t>
  </si>
  <si>
    <t>CAMP2091</t>
  </si>
  <si>
    <t>CAMP2092</t>
  </si>
  <si>
    <t>CAMP2093</t>
  </si>
  <si>
    <t>CAMP2094</t>
  </si>
  <si>
    <t>CAMP2095</t>
  </si>
  <si>
    <t>CAMP2096</t>
  </si>
  <si>
    <t>CAMP2097</t>
  </si>
  <si>
    <t>CAMP2098</t>
  </si>
  <si>
    <t>CAMP2099</t>
  </si>
  <si>
    <t>CAMP2100</t>
  </si>
  <si>
    <t>CAMP2101</t>
  </si>
  <si>
    <t>CAMP2102</t>
  </si>
  <si>
    <t>CAMP2103</t>
  </si>
  <si>
    <t>CAMP2104</t>
  </si>
  <si>
    <t>CAMP2105</t>
  </si>
  <si>
    <t>CAMP2106</t>
  </si>
  <si>
    <t>CAMP2107</t>
  </si>
  <si>
    <t>CAMP2108</t>
  </si>
  <si>
    <t>CAMP2109</t>
  </si>
  <si>
    <t>CAMP2110</t>
  </si>
  <si>
    <t>CAMP2111</t>
  </si>
  <si>
    <t>CAMP2112</t>
  </si>
  <si>
    <t>CAMP2113</t>
  </si>
  <si>
    <t>CAMP2114</t>
  </si>
  <si>
    <t>CAMP2115</t>
  </si>
  <si>
    <t>CAMP2116</t>
  </si>
  <si>
    <t>CAMP2117</t>
  </si>
  <si>
    <t>CAMP2118</t>
  </si>
  <si>
    <t>CAMP2119</t>
  </si>
  <si>
    <t>CAMP2120</t>
  </si>
  <si>
    <t>CAMP2121</t>
  </si>
  <si>
    <t>CAMP2122</t>
  </si>
  <si>
    <t>CAMP2123</t>
  </si>
  <si>
    <t>CAMP2124</t>
  </si>
  <si>
    <t>CAMP2125</t>
  </si>
  <si>
    <t>CAMP2126</t>
  </si>
  <si>
    <t>CAMP2127</t>
  </si>
  <si>
    <t>CAMP2128</t>
  </si>
  <si>
    <t>CAMP2129</t>
  </si>
  <si>
    <t>CAMP2130</t>
  </si>
  <si>
    <t>CAMP2131</t>
  </si>
  <si>
    <t>CAMP2132</t>
  </si>
  <si>
    <t>CAMP2133</t>
  </si>
  <si>
    <t>CAMP2134</t>
  </si>
  <si>
    <t>CAMP2135</t>
  </si>
  <si>
    <t>CAMP2136</t>
  </si>
  <si>
    <t>CAMP2137</t>
  </si>
  <si>
    <t>CAMP2138</t>
  </si>
  <si>
    <t>CAMP2139</t>
  </si>
  <si>
    <t>CAMP2140</t>
  </si>
  <si>
    <t>CAMP2141</t>
  </si>
  <si>
    <t>CAMP2142</t>
  </si>
  <si>
    <t>CAMP2143</t>
  </si>
  <si>
    <t>CAMP2144</t>
  </si>
  <si>
    <t>CAMP2145</t>
  </si>
  <si>
    <t>CAMP2146</t>
  </si>
  <si>
    <t>CAMP2147</t>
  </si>
  <si>
    <t>CAMP2148</t>
  </si>
  <si>
    <t>CAMP2149</t>
  </si>
  <si>
    <t>CAMP2150</t>
  </si>
  <si>
    <t>CAMP2151</t>
  </si>
  <si>
    <t>CAMP2152</t>
  </si>
  <si>
    <t>CAMP2153</t>
  </si>
  <si>
    <t>CAMP2154</t>
  </si>
  <si>
    <t>CAMP2155</t>
  </si>
  <si>
    <t>CAMP2156</t>
  </si>
  <si>
    <t>CAMP2157</t>
  </si>
  <si>
    <t>CAMP2158</t>
  </si>
  <si>
    <t>CAMP2159</t>
  </si>
  <si>
    <t>CAMP2160</t>
  </si>
  <si>
    <t>CAMP2161</t>
  </si>
  <si>
    <t>CAMP2162</t>
  </si>
  <si>
    <t>CAMP2163</t>
  </si>
  <si>
    <t>CAMP2164</t>
  </si>
  <si>
    <t>CAMP2165</t>
  </si>
  <si>
    <t>CAMP2166</t>
  </si>
  <si>
    <t>CAMP2167</t>
  </si>
  <si>
    <t>CAMP2168</t>
  </si>
  <si>
    <t>CAMP2169</t>
  </si>
  <si>
    <t>CAMP2170</t>
  </si>
  <si>
    <t>CAMP2171</t>
  </si>
  <si>
    <t>CAMP2172</t>
  </si>
  <si>
    <t>CAMP2173</t>
  </si>
  <si>
    <t>CAMP2174</t>
  </si>
  <si>
    <t>CAMP2175</t>
  </si>
  <si>
    <t>CAMP2176</t>
  </si>
  <si>
    <t>CAMP2177</t>
  </si>
  <si>
    <t>CAMP2178</t>
  </si>
  <si>
    <t>CAMP2179</t>
  </si>
  <si>
    <t>CAMP2180</t>
  </si>
  <si>
    <t>CAMP2181</t>
  </si>
  <si>
    <t>CAMP2182</t>
  </si>
  <si>
    <t>CAMP2183</t>
  </si>
  <si>
    <t>CAMP2184</t>
  </si>
  <si>
    <t>CAMP2185</t>
  </si>
  <si>
    <t>CAMP2186</t>
  </si>
  <si>
    <t>CAMP2187</t>
  </si>
  <si>
    <t>CAMP2188</t>
  </si>
  <si>
    <t>CAMP2189</t>
  </si>
  <si>
    <t>CAMP2190</t>
  </si>
  <si>
    <t>CAMP2191</t>
  </si>
  <si>
    <t>CAMP2192</t>
  </si>
  <si>
    <t>CAMP2193</t>
  </si>
  <si>
    <t>CAMP2194</t>
  </si>
  <si>
    <t>CAMP2195</t>
  </si>
  <si>
    <t>CAMP2196</t>
  </si>
  <si>
    <t>CAMP2197</t>
  </si>
  <si>
    <t>CAMP2198</t>
  </si>
  <si>
    <t>CAMP2199</t>
  </si>
  <si>
    <t>CAMP2200</t>
  </si>
  <si>
    <t>CAMP2201</t>
  </si>
  <si>
    <t>CAMP2202</t>
  </si>
  <si>
    <t>CAMP2203</t>
  </si>
  <si>
    <t>CAMP2204</t>
  </si>
  <si>
    <t>CAMP2205</t>
  </si>
  <si>
    <t>CAMP2206</t>
  </si>
  <si>
    <t>CAMP2207</t>
  </si>
  <si>
    <t>CAMP2208</t>
  </si>
  <si>
    <t>CAMP2209</t>
  </si>
  <si>
    <t>CAMP2210</t>
  </si>
  <si>
    <t>CAMP2211</t>
  </si>
  <si>
    <t>CAMP2212</t>
  </si>
  <si>
    <t>CAMP2213</t>
  </si>
  <si>
    <t>CAMP2214</t>
  </si>
  <si>
    <t>CAMP2215</t>
  </si>
  <si>
    <t>CAMP2216</t>
  </si>
  <si>
    <t>CAMP2217</t>
  </si>
  <si>
    <t>CAMP2218</t>
  </si>
  <si>
    <t>CAMP2219</t>
  </si>
  <si>
    <t>CAMP2220</t>
  </si>
  <si>
    <t>CAMP2221</t>
  </si>
  <si>
    <t>CAMP2222</t>
  </si>
  <si>
    <t>CAMP2223</t>
  </si>
  <si>
    <t>CAMP2224</t>
  </si>
  <si>
    <t>CAMP2225</t>
  </si>
  <si>
    <t>CAMP2226</t>
  </si>
  <si>
    <t>CAMP2227</t>
  </si>
  <si>
    <t>CAMP2228</t>
  </si>
  <si>
    <t>CAMP2229</t>
  </si>
  <si>
    <t>CAMP2230</t>
  </si>
  <si>
    <t>CAMP2231</t>
  </si>
  <si>
    <t>CAMP2232</t>
  </si>
  <si>
    <t>CAMP2233</t>
  </si>
  <si>
    <t>CAMP2234</t>
  </si>
  <si>
    <t>CAMP2235</t>
  </si>
  <si>
    <t>CAMP2236</t>
  </si>
  <si>
    <t>CAMP2237</t>
  </si>
  <si>
    <t>CAMP2238</t>
  </si>
  <si>
    <t>CAMP2239</t>
  </si>
  <si>
    <t>CAMP2240</t>
  </si>
  <si>
    <t>CAMP2241</t>
  </si>
  <si>
    <t>CAMP2242</t>
  </si>
  <si>
    <t>CAMP2243</t>
  </si>
  <si>
    <t>CAMP2244</t>
  </si>
  <si>
    <t>CAMP2245</t>
  </si>
  <si>
    <t>CAMP2246</t>
  </si>
  <si>
    <t>CAMP2247</t>
  </si>
  <si>
    <t>CAMP2248</t>
  </si>
  <si>
    <t>CAMP2249</t>
  </si>
  <si>
    <t>CAMP2250</t>
  </si>
  <si>
    <t>CAMP2251</t>
  </si>
  <si>
    <t>CAMP2252</t>
  </si>
  <si>
    <t>CAMP2253</t>
  </si>
  <si>
    <t>CAMP2254</t>
  </si>
  <si>
    <t>CAMP2255</t>
  </si>
  <si>
    <t>CAMP2256</t>
  </si>
  <si>
    <t>CAMP2257</t>
  </si>
  <si>
    <t>CAMP2258</t>
  </si>
  <si>
    <t>CAMP2259</t>
  </si>
  <si>
    <t>CAMP2260</t>
  </si>
  <si>
    <t>CAMP2261</t>
  </si>
  <si>
    <t>CAMP2262</t>
  </si>
  <si>
    <t>CAMP2263</t>
  </si>
  <si>
    <t>CAMP2264</t>
  </si>
  <si>
    <t>CAMP2265</t>
  </si>
  <si>
    <t>CAMP2266</t>
  </si>
  <si>
    <t>CAMP2267</t>
  </si>
  <si>
    <t>CAMP2268</t>
  </si>
  <si>
    <t>CAMP2269</t>
  </si>
  <si>
    <t>CAMP2270</t>
  </si>
  <si>
    <t>CAMP2271</t>
  </si>
  <si>
    <t>CAMP2272</t>
  </si>
  <si>
    <t>CAMP2273</t>
  </si>
  <si>
    <t>CAMP2274</t>
  </si>
  <si>
    <t>CAMP2275</t>
  </si>
  <si>
    <t>CAMP2276</t>
  </si>
  <si>
    <t>CAMP2277</t>
  </si>
  <si>
    <t>CAMP2278</t>
  </si>
  <si>
    <t>CAMP2279</t>
  </si>
  <si>
    <t>CAMP2280</t>
  </si>
  <si>
    <t>CAMP2281</t>
  </si>
  <si>
    <t>CAMP2282</t>
  </si>
  <si>
    <t>CAMP2283</t>
  </si>
  <si>
    <t>CAMP2284</t>
  </si>
  <si>
    <t>CAMP2285</t>
  </si>
  <si>
    <t>CAMP2286</t>
  </si>
  <si>
    <t>CAMP2287</t>
  </si>
  <si>
    <t>CAMP2288</t>
  </si>
  <si>
    <t>CAMP2289</t>
  </si>
  <si>
    <t>CAMP2290</t>
  </si>
  <si>
    <t>CAMP2291</t>
  </si>
  <si>
    <t>CAMP2292</t>
  </si>
  <si>
    <t>CAMP2293</t>
  </si>
  <si>
    <t>CAMP2294</t>
  </si>
  <si>
    <t>CAMP2295</t>
  </si>
  <si>
    <t>CAMP2296</t>
  </si>
  <si>
    <t>CAMP2297</t>
  </si>
  <si>
    <t>CAMP2298</t>
  </si>
  <si>
    <t>CAMP2299</t>
  </si>
  <si>
    <t>CAMP2300</t>
  </si>
  <si>
    <t>CAMP2301</t>
  </si>
  <si>
    <t>CAMP2302</t>
  </si>
  <si>
    <t>CAMP2303</t>
  </si>
  <si>
    <t>CAMP2304</t>
  </si>
  <si>
    <t>CAMP2305</t>
  </si>
  <si>
    <t>CAMP2306</t>
  </si>
  <si>
    <t>CAMP2307</t>
  </si>
  <si>
    <t>CAMP2308</t>
  </si>
  <si>
    <t>CAMP2309</t>
  </si>
  <si>
    <t>CAMP2310</t>
  </si>
  <si>
    <t>CAMP2311</t>
  </si>
  <si>
    <t>CAMP2312</t>
  </si>
  <si>
    <t>CAMP2313</t>
  </si>
  <si>
    <t>CAMP2314</t>
  </si>
  <si>
    <t>CAMP2315</t>
  </si>
  <si>
    <t>CAMP2316</t>
  </si>
  <si>
    <t>CAMP2317</t>
  </si>
  <si>
    <t>CAMP2318</t>
  </si>
  <si>
    <t>CAMP2319</t>
  </si>
  <si>
    <t>CAMP2320</t>
  </si>
  <si>
    <t>CAMP2321</t>
  </si>
  <si>
    <t>CAMP2322</t>
  </si>
  <si>
    <t>CAMP2323</t>
  </si>
  <si>
    <t>CAMP2324</t>
  </si>
  <si>
    <t>CAMP2325</t>
  </si>
  <si>
    <t>CAMP2326</t>
  </si>
  <si>
    <t>CAMP2327</t>
  </si>
  <si>
    <t>CAMP2328</t>
  </si>
  <si>
    <t>CAMP2329</t>
  </si>
  <si>
    <t>CAMP2330</t>
  </si>
  <si>
    <t>CAMP2331</t>
  </si>
  <si>
    <t>CAMP2332</t>
  </si>
  <si>
    <t>CAMP2333</t>
  </si>
  <si>
    <t>CAMP2334</t>
  </si>
  <si>
    <t>CAMP2335</t>
  </si>
  <si>
    <t>CAMP2336</t>
  </si>
  <si>
    <t>CAMP2337</t>
  </si>
  <si>
    <t>CAMP2338</t>
  </si>
  <si>
    <t>CAMP2339</t>
  </si>
  <si>
    <t>CAMP2340</t>
  </si>
  <si>
    <t>CAMP2341</t>
  </si>
  <si>
    <t>CAMP2342</t>
  </si>
  <si>
    <t>CAMP2343</t>
  </si>
  <si>
    <t>CAMP2344</t>
  </si>
  <si>
    <t>CAMP2345</t>
  </si>
  <si>
    <t>CAMP2346</t>
  </si>
  <si>
    <t>CAMP2347</t>
  </si>
  <si>
    <t>CAMP2348</t>
  </si>
  <si>
    <t>CAMP2349</t>
  </si>
  <si>
    <t>CAMP2350</t>
  </si>
  <si>
    <t>CAMP2351</t>
  </si>
  <si>
    <t>CAMP2352</t>
  </si>
  <si>
    <t>CAMP2353</t>
  </si>
  <si>
    <t>CAMP2354</t>
  </si>
  <si>
    <t>CAMP2355</t>
  </si>
  <si>
    <t>CAMP2356</t>
  </si>
  <si>
    <t>CAMP2357</t>
  </si>
  <si>
    <t>CAMP2358</t>
  </si>
  <si>
    <t>CAMP2359</t>
  </si>
  <si>
    <t>CAMP2360</t>
  </si>
  <si>
    <t>CAMP2361</t>
  </si>
  <si>
    <t>CAMP2362</t>
  </si>
  <si>
    <t>CAMP2363</t>
  </si>
  <si>
    <t>CAMP2364</t>
  </si>
  <si>
    <t>CAMP2365</t>
  </si>
  <si>
    <t>CAMP2366</t>
  </si>
  <si>
    <t>CAMP2367</t>
  </si>
  <si>
    <t>CAMP2368</t>
  </si>
  <si>
    <t>CAMP2369</t>
  </si>
  <si>
    <t>CAMP2370</t>
  </si>
  <si>
    <t>CAMP2371</t>
  </si>
  <si>
    <t>CAMP2372</t>
  </si>
  <si>
    <t>CAMP2373</t>
  </si>
  <si>
    <t>CAMP2374</t>
  </si>
  <si>
    <t>CAMP2375</t>
  </si>
  <si>
    <t>CAMP2376</t>
  </si>
  <si>
    <t>CAMP2377</t>
  </si>
  <si>
    <t>CAMP2378</t>
  </si>
  <si>
    <t>CAMP2379</t>
  </si>
  <si>
    <t>CAMP2380</t>
  </si>
  <si>
    <t>CAMP2381</t>
  </si>
  <si>
    <t>CAMP2382</t>
  </si>
  <si>
    <t>CAMP2383</t>
  </si>
  <si>
    <t>CAMP2384</t>
  </si>
  <si>
    <t>CAMP2385</t>
  </si>
  <si>
    <t>CAMP2386</t>
  </si>
  <si>
    <t>CAMP2387</t>
  </si>
  <si>
    <t>CAMP2388</t>
  </si>
  <si>
    <t>CAMP2389</t>
  </si>
  <si>
    <t>CAMP2390</t>
  </si>
  <si>
    <t>CAMP2391</t>
  </si>
  <si>
    <t>CAMP2392</t>
  </si>
  <si>
    <t>CAMP2393</t>
  </si>
  <si>
    <t>CAMP2394</t>
  </si>
  <si>
    <t>CAMP2395</t>
  </si>
  <si>
    <t>CAMP2396</t>
  </si>
  <si>
    <t>CAMP2397</t>
  </si>
  <si>
    <t>CAMP2398</t>
  </si>
  <si>
    <t>CAMP2399</t>
  </si>
  <si>
    <t>CAMP2400</t>
  </si>
  <si>
    <t>CAMP2401</t>
  </si>
  <si>
    <t>CAMP2402</t>
  </si>
  <si>
    <t>CAMP2403</t>
  </si>
  <si>
    <t>CAMP2404</t>
  </si>
  <si>
    <t>CAMP2405</t>
  </si>
  <si>
    <t>CAMP2406</t>
  </si>
  <si>
    <t>CAMP2407</t>
  </si>
  <si>
    <t>CAMP2408</t>
  </si>
  <si>
    <t>CAMP2409</t>
  </si>
  <si>
    <t>CAMP2410</t>
  </si>
  <si>
    <t>CAMP2411</t>
  </si>
  <si>
    <t>CAMP2412</t>
  </si>
  <si>
    <t>CAMP2413</t>
  </si>
  <si>
    <t>CAMP2414</t>
  </si>
  <si>
    <t>CAMP2415</t>
  </si>
  <si>
    <t>CAMP2416</t>
  </si>
  <si>
    <t>CAMP2417</t>
  </si>
  <si>
    <t>CAMP2418</t>
  </si>
  <si>
    <t>CAMP2419</t>
  </si>
  <si>
    <t>CAMP2420</t>
  </si>
  <si>
    <t>CAMP2421</t>
  </si>
  <si>
    <t>CAMP2422</t>
  </si>
  <si>
    <t>CAMP2423</t>
  </si>
  <si>
    <t>CAMP2424</t>
  </si>
  <si>
    <t>CAMP2425</t>
  </si>
  <si>
    <t>CAMP2426</t>
  </si>
  <si>
    <t>CAMP2427</t>
  </si>
  <si>
    <t>CAMP2428</t>
  </si>
  <si>
    <t>CAMP2429</t>
  </si>
  <si>
    <t>CAMP2430</t>
  </si>
  <si>
    <t>CAMP2431</t>
  </si>
  <si>
    <t>CAMP2432</t>
  </si>
  <si>
    <t>CAMP2433</t>
  </si>
  <si>
    <t>CAMP2434</t>
  </si>
  <si>
    <t>CAMP2435</t>
  </si>
  <si>
    <t>CAMP2436</t>
  </si>
  <si>
    <t>CAMP2437</t>
  </si>
  <si>
    <t>CAMP2438</t>
  </si>
  <si>
    <t>CAMP2439</t>
  </si>
  <si>
    <t>CAMP2440</t>
  </si>
  <si>
    <t>CAMP2441</t>
  </si>
  <si>
    <t>CAMP2442</t>
  </si>
  <si>
    <t>CAMP2443</t>
  </si>
  <si>
    <t>CAMP2444</t>
  </si>
  <si>
    <t>CAMP2445</t>
  </si>
  <si>
    <t>CAMP2446</t>
  </si>
  <si>
    <t>CAMP2447</t>
  </si>
  <si>
    <t>CAMP2448</t>
  </si>
  <si>
    <t>CAMP2449</t>
  </si>
  <si>
    <t>CAMP2450</t>
  </si>
  <si>
    <t>CAMP2451</t>
  </si>
  <si>
    <t>CAMP2452</t>
  </si>
  <si>
    <t>CAMP2453</t>
  </si>
  <si>
    <t>CAMP2454</t>
  </si>
  <si>
    <t>CAMP2455</t>
  </si>
  <si>
    <t>CAMP2456</t>
  </si>
  <si>
    <t>CAMP2457</t>
  </si>
  <si>
    <t>CAMP2458</t>
  </si>
  <si>
    <t>CAMP2459</t>
  </si>
  <si>
    <t>CAMP2460</t>
  </si>
  <si>
    <t>CAMP2461</t>
  </si>
  <si>
    <t>CAMP2462</t>
  </si>
  <si>
    <t>CAMP2463</t>
  </si>
  <si>
    <t>CAMP2464</t>
  </si>
  <si>
    <t>CAMP2465</t>
  </si>
  <si>
    <t>CAMP2466</t>
  </si>
  <si>
    <t>CAMP2467</t>
  </si>
  <si>
    <t>CAMP2468</t>
  </si>
  <si>
    <t>CAMP2469</t>
  </si>
  <si>
    <t>CAMP2470</t>
  </si>
  <si>
    <t>CAMP2471</t>
  </si>
  <si>
    <t>CAMP2472</t>
  </si>
  <si>
    <t>CAMP2473</t>
  </si>
  <si>
    <t>CAMP2474</t>
  </si>
  <si>
    <t>CAMP2475</t>
  </si>
  <si>
    <t>CAMP2476</t>
  </si>
  <si>
    <t>CAMP2477</t>
  </si>
  <si>
    <t>CAMP2478</t>
  </si>
  <si>
    <t>CAMP2479</t>
  </si>
  <si>
    <t>CAMP2480</t>
  </si>
  <si>
    <t>CAMP2481</t>
  </si>
  <si>
    <t>CAMP2482</t>
  </si>
  <si>
    <t>CAMP2483</t>
  </si>
  <si>
    <t>CAMP2484</t>
  </si>
  <si>
    <t>CAMP2485</t>
  </si>
  <si>
    <t>CAMP2486</t>
  </si>
  <si>
    <t>CAMP2487</t>
  </si>
  <si>
    <t>CAMP2488</t>
  </si>
  <si>
    <t>CAMP2489</t>
  </si>
  <si>
    <t>CAMP2490</t>
  </si>
  <si>
    <t>CAMP2491</t>
  </si>
  <si>
    <t>CAMP2492</t>
  </si>
  <si>
    <t>CAMP2493</t>
  </si>
  <si>
    <t>CAMP2494</t>
  </si>
  <si>
    <t>CAMP2495</t>
  </si>
  <si>
    <t>CAMP2496</t>
  </si>
  <si>
    <t>CAMP2497</t>
  </si>
  <si>
    <t>CAMP2498</t>
  </si>
  <si>
    <t>CAMP2499</t>
  </si>
  <si>
    <t>CAMP2500</t>
  </si>
  <si>
    <t>CAMP2501</t>
  </si>
  <si>
    <t>CAMP2502</t>
  </si>
  <si>
    <t>CAMP2503</t>
  </si>
  <si>
    <t>CAMP2504</t>
  </si>
  <si>
    <t>CAMP2505</t>
  </si>
  <si>
    <t>CAMP2506</t>
  </si>
  <si>
    <t>CAMP2507</t>
  </si>
  <si>
    <t>CAMP2508</t>
  </si>
  <si>
    <t>CAMP2509</t>
  </si>
  <si>
    <t>CAMP2510</t>
  </si>
  <si>
    <t>CAMP2511</t>
  </si>
  <si>
    <t>CAMP2512</t>
  </si>
  <si>
    <t>CAMP2513</t>
  </si>
  <si>
    <t>CAMP2514</t>
  </si>
  <si>
    <t>CAMP2515</t>
  </si>
  <si>
    <t>CAMP2516</t>
  </si>
  <si>
    <t>CAMP2517</t>
  </si>
  <si>
    <t>CAMP2518</t>
  </si>
  <si>
    <t>CAMP2519</t>
  </si>
  <si>
    <t>CAMP2520</t>
  </si>
  <si>
    <t>CAMP2521</t>
  </si>
  <si>
    <t>CAMP2522</t>
  </si>
  <si>
    <t>CAMP2523</t>
  </si>
  <si>
    <t>CAMP2524</t>
  </si>
  <si>
    <t>CAMP2525</t>
  </si>
  <si>
    <t>CAMP2526</t>
  </si>
  <si>
    <t>CAMP2527</t>
  </si>
  <si>
    <t>CAMP2528</t>
  </si>
  <si>
    <t>CAMP2529</t>
  </si>
  <si>
    <t>CAMP2530</t>
  </si>
  <si>
    <t>CAMP2531</t>
  </si>
  <si>
    <t>CAMP2532</t>
  </si>
  <si>
    <t>CAMP2533</t>
  </si>
  <si>
    <t>CAMP2534</t>
  </si>
  <si>
    <t>CAMP2535</t>
  </si>
  <si>
    <t>CAMP2536</t>
  </si>
  <si>
    <t>CAMP2537</t>
  </si>
  <si>
    <t>CAMP2538</t>
  </si>
  <si>
    <t>CAMP2539</t>
  </si>
  <si>
    <t>CAMP2540</t>
  </si>
  <si>
    <t>CAMP2541</t>
  </si>
  <si>
    <t>CAMP2542</t>
  </si>
  <si>
    <t>CAMP2543</t>
  </si>
  <si>
    <t>CAMP2544</t>
  </si>
  <si>
    <t>CAMP2545</t>
  </si>
  <si>
    <t>CAMP2546</t>
  </si>
  <si>
    <t>CAMP2547</t>
  </si>
  <si>
    <t>CAMP2548</t>
  </si>
  <si>
    <t>CAMP2549</t>
  </si>
  <si>
    <t>CAMP2550</t>
  </si>
  <si>
    <t>CAMP2551</t>
  </si>
  <si>
    <t>CAMP2552</t>
  </si>
  <si>
    <t>CAMP2553</t>
  </si>
  <si>
    <t>CAMP2554</t>
  </si>
  <si>
    <t>CAMP2555</t>
  </si>
  <si>
    <t>CAMP2556</t>
  </si>
  <si>
    <t>CAMP2557</t>
  </si>
  <si>
    <t>CAMP2558</t>
  </si>
  <si>
    <t>CAMP2559</t>
  </si>
  <si>
    <t>CAMP2560</t>
  </si>
  <si>
    <t>CAMP2561</t>
  </si>
  <si>
    <t>CAMP2562</t>
  </si>
  <si>
    <t>CAMP2563</t>
  </si>
  <si>
    <t>CAMP2564</t>
  </si>
  <si>
    <t>CAMP2565</t>
  </si>
  <si>
    <t>CAMP2566</t>
  </si>
  <si>
    <t>CAMP2567</t>
  </si>
  <si>
    <t>CAMP2568</t>
  </si>
  <si>
    <t>CAMP2569</t>
  </si>
  <si>
    <t>CAMP2570</t>
  </si>
  <si>
    <t>CAMP2571</t>
  </si>
  <si>
    <t>CAMP2572</t>
  </si>
  <si>
    <t>CAMP2573</t>
  </si>
  <si>
    <t>CAMP2574</t>
  </si>
  <si>
    <t>CAMP2575</t>
  </si>
  <si>
    <t>CAMP2576</t>
  </si>
  <si>
    <t>CAMP2577</t>
  </si>
  <si>
    <t>CAMP2578</t>
  </si>
  <si>
    <t>CAMP2579</t>
  </si>
  <si>
    <t>CAMP2580</t>
  </si>
  <si>
    <t>CAMP2581</t>
  </si>
  <si>
    <t>CAMP2582</t>
  </si>
  <si>
    <t>CAMP2583</t>
  </si>
  <si>
    <t>CAMP2584</t>
  </si>
  <si>
    <t>CAMP2585</t>
  </si>
  <si>
    <t>CAMP2586</t>
  </si>
  <si>
    <t>CAMP2587</t>
  </si>
  <si>
    <t>CAMP2588</t>
  </si>
  <si>
    <t>CAMP2589</t>
  </si>
  <si>
    <t>CAMP2590</t>
  </si>
  <si>
    <t>CAMP2591</t>
  </si>
  <si>
    <t>CAMP2592</t>
  </si>
  <si>
    <t>CAMP2593</t>
  </si>
  <si>
    <t>CAMP2594</t>
  </si>
  <si>
    <t>CAMP2595</t>
  </si>
  <si>
    <t>CAMP2596</t>
  </si>
  <si>
    <t>CAMP2597</t>
  </si>
  <si>
    <t>CAMP2598</t>
  </si>
  <si>
    <t>CAMP2599</t>
  </si>
  <si>
    <t>CAMP2600</t>
  </si>
  <si>
    <t>CAMP2601</t>
  </si>
  <si>
    <t>CAMP2602</t>
  </si>
  <si>
    <t>CAMP2603</t>
  </si>
  <si>
    <t>CAMP2604</t>
  </si>
  <si>
    <t>CAMP2605</t>
  </si>
  <si>
    <t>CAMP2606</t>
  </si>
  <si>
    <t>CAMP2607</t>
  </si>
  <si>
    <t>CAMP2608</t>
  </si>
  <si>
    <t>CAMP2609</t>
  </si>
  <si>
    <t>CAMP2610</t>
  </si>
  <si>
    <t>CAMP2611</t>
  </si>
  <si>
    <t>CAMP2612</t>
  </si>
  <si>
    <t>CAMP2613</t>
  </si>
  <si>
    <t>CAMP2614</t>
  </si>
  <si>
    <t>CAMP2615</t>
  </si>
  <si>
    <t>CAMP2616</t>
  </si>
  <si>
    <t>CAMP2617</t>
  </si>
  <si>
    <t>CAMP2618</t>
  </si>
  <si>
    <t>CAMP2619</t>
  </si>
  <si>
    <t>CAMP2620</t>
  </si>
  <si>
    <t>CAMP2621</t>
  </si>
  <si>
    <t>CAMP2622</t>
  </si>
  <si>
    <t>CAMP2623</t>
  </si>
  <si>
    <t>CAMP2624</t>
  </si>
  <si>
    <t>CAMP2625</t>
  </si>
  <si>
    <t>CAMP2626</t>
  </si>
  <si>
    <t>CAMP2627</t>
  </si>
  <si>
    <t>CAMP2628</t>
  </si>
  <si>
    <t>CAMP2629</t>
  </si>
  <si>
    <t>CAMP2630</t>
  </si>
  <si>
    <t>CAMP2631</t>
  </si>
  <si>
    <t>CAMP2632</t>
  </si>
  <si>
    <t>CAMP2633</t>
  </si>
  <si>
    <t>CAMP2634</t>
  </si>
  <si>
    <t>CAMP2635</t>
  </si>
  <si>
    <t>CAMP2636</t>
  </si>
  <si>
    <t>CAMP2637</t>
  </si>
  <si>
    <t>CAMP2638</t>
  </si>
  <si>
    <t>CAMP2639</t>
  </si>
  <si>
    <t>CAMP2640</t>
  </si>
  <si>
    <t>CAMP2641</t>
  </si>
  <si>
    <t>CAMP2642</t>
  </si>
  <si>
    <t>CAMP2643</t>
  </si>
  <si>
    <t>CAMP2644</t>
  </si>
  <si>
    <t>CAMP2645</t>
  </si>
  <si>
    <t>CAMP2646</t>
  </si>
  <si>
    <t>CAMP2647</t>
  </si>
  <si>
    <t>CAMP2648</t>
  </si>
  <si>
    <t>CAMP2649</t>
  </si>
  <si>
    <t>CAMP2650</t>
  </si>
  <si>
    <t>CAMP2651</t>
  </si>
  <si>
    <t>CAMP2652</t>
  </si>
  <si>
    <t>CAMP2653</t>
  </si>
  <si>
    <t>CAMP2654</t>
  </si>
  <si>
    <t>CAMP2655</t>
  </si>
  <si>
    <t>CAMP2656</t>
  </si>
  <si>
    <t>CAMP2657</t>
  </si>
  <si>
    <t>CAMP2658</t>
  </si>
  <si>
    <t>CAMP2659</t>
  </si>
  <si>
    <t>CAMP2660</t>
  </si>
  <si>
    <t>CAMP2661</t>
  </si>
  <si>
    <t>CAMP2662</t>
  </si>
  <si>
    <t>CAMP2663</t>
  </si>
  <si>
    <t>CAMP2664</t>
  </si>
  <si>
    <t>CAMP2665</t>
  </si>
  <si>
    <t>CAMP2666</t>
  </si>
  <si>
    <t>CAMP2667</t>
  </si>
  <si>
    <t>CAMP2668</t>
  </si>
  <si>
    <t>CAMP2669</t>
  </si>
  <si>
    <t>CAMP2670</t>
  </si>
  <si>
    <t>CAMP2671</t>
  </si>
  <si>
    <t>CAMP2672</t>
  </si>
  <si>
    <t>CAMP2673</t>
  </si>
  <si>
    <t>CAMP2674</t>
  </si>
  <si>
    <t>CAMP2675</t>
  </si>
  <si>
    <t>CAMP2676</t>
  </si>
  <si>
    <t>CAMP2677</t>
  </si>
  <si>
    <t>CAMP2678</t>
  </si>
  <si>
    <t>CAMP2679</t>
  </si>
  <si>
    <t>CAMP2680</t>
  </si>
  <si>
    <t>CAMP2681</t>
  </si>
  <si>
    <t>CAMP2682</t>
  </si>
  <si>
    <t>CAMP2683</t>
  </si>
  <si>
    <t>CAMP2684</t>
  </si>
  <si>
    <t>CAMP2685</t>
  </si>
  <si>
    <t>CAMP2686</t>
  </si>
  <si>
    <t>CAMP2687</t>
  </si>
  <si>
    <t>CAMP2688</t>
  </si>
  <si>
    <t>CAMP2689</t>
  </si>
  <si>
    <t>CAMP2690</t>
  </si>
  <si>
    <t>CAMP2691</t>
  </si>
  <si>
    <t>CAMP2692</t>
  </si>
  <si>
    <t>CAMP2693</t>
  </si>
  <si>
    <t>CAMP2694</t>
  </si>
  <si>
    <t>CAMP2695</t>
  </si>
  <si>
    <t>CAMP2696</t>
  </si>
  <si>
    <t>CAMP2697</t>
  </si>
  <si>
    <t>CAMP2698</t>
  </si>
  <si>
    <t>CAMP2699</t>
  </si>
  <si>
    <t>CAMP2700</t>
  </si>
  <si>
    <t>CAMP2701</t>
  </si>
  <si>
    <t>CAMP2702</t>
  </si>
  <si>
    <t>CAMP2703</t>
  </si>
  <si>
    <t>CAMP2704</t>
  </si>
  <si>
    <t>CAMP2705</t>
  </si>
  <si>
    <t>CAMP2706</t>
  </si>
  <si>
    <t>CAMP2707</t>
  </si>
  <si>
    <t>CAMP2708</t>
  </si>
  <si>
    <t>CAMP2709</t>
  </si>
  <si>
    <t>CAMP2710</t>
  </si>
  <si>
    <t>CAMP2711</t>
  </si>
  <si>
    <t>CAMP2712</t>
  </si>
  <si>
    <t>CAMP2713</t>
  </si>
  <si>
    <t>CAMP2714</t>
  </si>
  <si>
    <t>CAMP2715</t>
  </si>
  <si>
    <t>CAMP2716</t>
  </si>
  <si>
    <t>CAMP2717</t>
  </si>
  <si>
    <t>CAMP2718</t>
  </si>
  <si>
    <t>CAMP2719</t>
  </si>
  <si>
    <t>CAMP2720</t>
  </si>
  <si>
    <t>CAMP2721</t>
  </si>
  <si>
    <t>CAMP2722</t>
  </si>
  <si>
    <t>CAMP2723</t>
  </si>
  <si>
    <t>CAMP2724</t>
  </si>
  <si>
    <t>CAMP2725</t>
  </si>
  <si>
    <t>CAMP2726</t>
  </si>
  <si>
    <t>CAMP2727</t>
  </si>
  <si>
    <t>CAMP2728</t>
  </si>
  <si>
    <t>CAMP2729</t>
  </si>
  <si>
    <t>CAMP2730</t>
  </si>
  <si>
    <t>CAMP2731</t>
  </si>
  <si>
    <t>CAMP2732</t>
  </si>
  <si>
    <t>CAMP2733</t>
  </si>
  <si>
    <t>CAMP2734</t>
  </si>
  <si>
    <t>CAMP2735</t>
  </si>
  <si>
    <t>CAMP2736</t>
  </si>
  <si>
    <t>CAMP2737</t>
  </si>
  <si>
    <t>CAMP2738</t>
  </si>
  <si>
    <t>CAMP2739</t>
  </si>
  <si>
    <t>CAMP2740</t>
  </si>
  <si>
    <t>CAMP2741</t>
  </si>
  <si>
    <t>CAMP2742</t>
  </si>
  <si>
    <t>CAMP2743</t>
  </si>
  <si>
    <t>CAMP2744</t>
  </si>
  <si>
    <t>CAMP2745</t>
  </si>
  <si>
    <t>CAMP2746</t>
  </si>
  <si>
    <t>CAMP2747</t>
  </si>
  <si>
    <t>CAMP2748</t>
  </si>
  <si>
    <t>CAMP2749</t>
  </si>
  <si>
    <t>CAMP2750</t>
  </si>
  <si>
    <t>CAMP2751</t>
  </si>
  <si>
    <t>CAMP2752</t>
  </si>
  <si>
    <t>CAMP2753</t>
  </si>
  <si>
    <t>CAMP2754</t>
  </si>
  <si>
    <t>CAMP2755</t>
  </si>
  <si>
    <t>CAMP2756</t>
  </si>
  <si>
    <t>CAMP2757</t>
  </si>
  <si>
    <t>CAMP2758</t>
  </si>
  <si>
    <t>CAMP2759</t>
  </si>
  <si>
    <t>CAMP2760</t>
  </si>
  <si>
    <t>CAMP2761</t>
  </si>
  <si>
    <t>CAMP2762</t>
  </si>
  <si>
    <t>CAMP2763</t>
  </si>
  <si>
    <t>CAMP2764</t>
  </si>
  <si>
    <t>CAMP2765</t>
  </si>
  <si>
    <t>CAMP2766</t>
  </si>
  <si>
    <t>CAMP2767</t>
  </si>
  <si>
    <t>CAMP2768</t>
  </si>
  <si>
    <t>CAMP2769</t>
  </si>
  <si>
    <t>CAMP2770</t>
  </si>
  <si>
    <t>CAMP2771</t>
  </si>
  <si>
    <t>CAMP2772</t>
  </si>
  <si>
    <t>CAMP2773</t>
  </si>
  <si>
    <t>CAMP2774</t>
  </si>
  <si>
    <t>CAMP2775</t>
  </si>
  <si>
    <t>CAMP2776</t>
  </si>
  <si>
    <t>CAMP2777</t>
  </si>
  <si>
    <t>CAMP2778</t>
  </si>
  <si>
    <t>CAMP2779</t>
  </si>
  <si>
    <t>CAMP2780</t>
  </si>
  <si>
    <t>CAMP2781</t>
  </si>
  <si>
    <t>CAMP2782</t>
  </si>
  <si>
    <t>CAMP2783</t>
  </si>
  <si>
    <t>CAMP2784</t>
  </si>
  <si>
    <t>CAMP2785</t>
  </si>
  <si>
    <t>CAMP2786</t>
  </si>
  <si>
    <t>CAMP2787</t>
  </si>
  <si>
    <t>CAMP2788</t>
  </si>
  <si>
    <t>CAMP2789</t>
  </si>
  <si>
    <t>CAMP2790</t>
  </si>
  <si>
    <t>CAMP2791</t>
  </si>
  <si>
    <t>CAMP2792</t>
  </si>
  <si>
    <t>CAMP2793</t>
  </si>
  <si>
    <t>CAMP2794</t>
  </si>
  <si>
    <t>CAMP2795</t>
  </si>
  <si>
    <t>CAMP2796</t>
  </si>
  <si>
    <t>CAMP2797</t>
  </si>
  <si>
    <t>CAMP2798</t>
  </si>
  <si>
    <t>CAMP2799</t>
  </si>
  <si>
    <t>CAMP2800</t>
  </si>
  <si>
    <t>CAMP2801</t>
  </si>
  <si>
    <t>CAMP2802</t>
  </si>
  <si>
    <t>CAMP2803</t>
  </si>
  <si>
    <t>CAMP2804</t>
  </si>
  <si>
    <t>CAMP2805</t>
  </si>
  <si>
    <t>CAMP2806</t>
  </si>
  <si>
    <t>CAMP2807</t>
  </si>
  <si>
    <t>CAMP2808</t>
  </si>
  <si>
    <t>CAMP2809</t>
  </si>
  <si>
    <t>CAMP2810</t>
  </si>
  <si>
    <t>CAMP2811</t>
  </si>
  <si>
    <t>CAMP2812</t>
  </si>
  <si>
    <t>CAMP2813</t>
  </si>
  <si>
    <t>CAMP2814</t>
  </si>
  <si>
    <t>CAMP2815</t>
  </si>
  <si>
    <t>CAMP2816</t>
  </si>
  <si>
    <t>CAMP2817</t>
  </si>
  <si>
    <t>CAMP2818</t>
  </si>
  <si>
    <t>CAMP2819</t>
  </si>
  <si>
    <t>CAMP2820</t>
  </si>
  <si>
    <t>CAMP2821</t>
  </si>
  <si>
    <t>CAMP2822</t>
  </si>
  <si>
    <t>CAMP2823</t>
  </si>
  <si>
    <t>CAMP2824</t>
  </si>
  <si>
    <t>CAMP2825</t>
  </si>
  <si>
    <t>CAMP2826</t>
  </si>
  <si>
    <t>CAMP2827</t>
  </si>
  <si>
    <t>CAMP2828</t>
  </si>
  <si>
    <t>CAMP2829</t>
  </si>
  <si>
    <t>CAMP2830</t>
  </si>
  <si>
    <t>CAMP2831</t>
  </si>
  <si>
    <t>CAMP2832</t>
  </si>
  <si>
    <t>CAMP2833</t>
  </si>
  <si>
    <t>CAMP2834</t>
  </si>
  <si>
    <t>CAMP2835</t>
  </si>
  <si>
    <t>CAMP2836</t>
  </si>
  <si>
    <t>CAMP2837</t>
  </si>
  <si>
    <t>CAMP2838</t>
  </si>
  <si>
    <t>CAMP2839</t>
  </si>
  <si>
    <t>CAMP2840</t>
  </si>
  <si>
    <t>CAMP2841</t>
  </si>
  <si>
    <t>CAMP2842</t>
  </si>
  <si>
    <t>CAMP2843</t>
  </si>
  <si>
    <t>CAMP2844</t>
  </si>
  <si>
    <t>CAMP2845</t>
  </si>
  <si>
    <t>CAMP2846</t>
  </si>
  <si>
    <t>CAMP2847</t>
  </si>
  <si>
    <t>CAMP2848</t>
  </si>
  <si>
    <t>CAMP2849</t>
  </si>
  <si>
    <t>CAMP2850</t>
  </si>
  <si>
    <t>CAMP2851</t>
  </si>
  <si>
    <t>CAMP2852</t>
  </si>
  <si>
    <t>CAMP2853</t>
  </si>
  <si>
    <t>CAMP2854</t>
  </si>
  <si>
    <t>CAMP2855</t>
  </si>
  <si>
    <t>CAMP2856</t>
  </si>
  <si>
    <t>CAMP2857</t>
  </si>
  <si>
    <t>CAMP2858</t>
  </si>
  <si>
    <t>CAMP2859</t>
  </si>
  <si>
    <t>CAMP2860</t>
  </si>
  <si>
    <t>CAMP2861</t>
  </si>
  <si>
    <t>CAMP2862</t>
  </si>
  <si>
    <t>CAMP2863</t>
  </si>
  <si>
    <t>CAMP2864</t>
  </si>
  <si>
    <t>CAMP2865</t>
  </si>
  <si>
    <t>CAMP2866</t>
  </si>
  <si>
    <t>CAMP2867</t>
  </si>
  <si>
    <t>CAMP2868</t>
  </si>
  <si>
    <t>CAMP2869</t>
  </si>
  <si>
    <t>CAMP2870</t>
  </si>
  <si>
    <t>CAMP2871</t>
  </si>
  <si>
    <t>CAMP2872</t>
  </si>
  <si>
    <t>CAMP2873</t>
  </si>
  <si>
    <t>CAMP2874</t>
  </si>
  <si>
    <t>CAMP2875</t>
  </si>
  <si>
    <t>CAMP2876</t>
  </si>
  <si>
    <t>CAMP2877</t>
  </si>
  <si>
    <t>CAMP2878</t>
  </si>
  <si>
    <t>CAMP2879</t>
  </si>
  <si>
    <t>CAMP2880</t>
  </si>
  <si>
    <t>CAMP2881</t>
  </si>
  <si>
    <t>CAMP2882</t>
  </si>
  <si>
    <t>CAMP2883</t>
  </si>
  <si>
    <t>CAMP2884</t>
  </si>
  <si>
    <t>CAMP2885</t>
  </si>
  <si>
    <t>CAMP2886</t>
  </si>
  <si>
    <t>CAMP2887</t>
  </si>
  <si>
    <t>CAMP2888</t>
  </si>
  <si>
    <t>CAMP2889</t>
  </si>
  <si>
    <t>CAMP2890</t>
  </si>
  <si>
    <t>CAMP2891</t>
  </si>
  <si>
    <t>CAMP2892</t>
  </si>
  <si>
    <t>CAMP2893</t>
  </si>
  <si>
    <t>CAMP2894</t>
  </si>
  <si>
    <t>CAMP2895</t>
  </si>
  <si>
    <t>CAMP2896</t>
  </si>
  <si>
    <t>CAMP2897</t>
  </si>
  <si>
    <t>CAMP2898</t>
  </si>
  <si>
    <t>CAMP2899</t>
  </si>
  <si>
    <t>CAMP2900</t>
  </si>
  <si>
    <t>CAMP2901</t>
  </si>
  <si>
    <t>CAMP2902</t>
  </si>
  <si>
    <t>CAMP2903</t>
  </si>
  <si>
    <t>CAMP2904</t>
  </si>
  <si>
    <t>CAMP2905</t>
  </si>
  <si>
    <t>CAMP2906</t>
  </si>
  <si>
    <t>CAMP2907</t>
  </si>
  <si>
    <t>CAMP2908</t>
  </si>
  <si>
    <t>CAMP2909</t>
  </si>
  <si>
    <t>CAMP2910</t>
  </si>
  <si>
    <t>CAMP2911</t>
  </si>
  <si>
    <t>CAMP2912</t>
  </si>
  <si>
    <t>CAMP2913</t>
  </si>
  <si>
    <t>CAMP2914</t>
  </si>
  <si>
    <t>CAMP2915</t>
  </si>
  <si>
    <t>CAMP2916</t>
  </si>
  <si>
    <t>CAMP2917</t>
  </si>
  <si>
    <t>CAMP2918</t>
  </si>
  <si>
    <t>CAMP2919</t>
  </si>
  <si>
    <t>CAMP2920</t>
  </si>
  <si>
    <t>CAMP2921</t>
  </si>
  <si>
    <t>CAMP2922</t>
  </si>
  <si>
    <t>CAMP2923</t>
  </si>
  <si>
    <t>CAMP2924</t>
  </si>
  <si>
    <t>CAMP2925</t>
  </si>
  <si>
    <t>CAMP2926</t>
  </si>
  <si>
    <t>CAMP2927</t>
  </si>
  <si>
    <t>CAMP2928</t>
  </si>
  <si>
    <t>CAMP2929</t>
  </si>
  <si>
    <t>CAMP2930</t>
  </si>
  <si>
    <t>CAMP2931</t>
  </si>
  <si>
    <t>CAMP2932</t>
  </si>
  <si>
    <t>CAMP2933</t>
  </si>
  <si>
    <t>CAMP2934</t>
  </si>
  <si>
    <t>CAMP2935</t>
  </si>
  <si>
    <t>CAMP2936</t>
  </si>
  <si>
    <t>CAMP2937</t>
  </si>
  <si>
    <t>CAMP2938</t>
  </si>
  <si>
    <t>CAMP2939</t>
  </si>
  <si>
    <t>CAMP2940</t>
  </si>
  <si>
    <t>CAMP2941</t>
  </si>
  <si>
    <t>CAMP2942</t>
  </si>
  <si>
    <t>CAMP2943</t>
  </si>
  <si>
    <t>CAMP2944</t>
  </si>
  <si>
    <t>CAMP2945</t>
  </si>
  <si>
    <t>CAMP2946</t>
  </si>
  <si>
    <t>CAMP2947</t>
  </si>
  <si>
    <t>CAMP2948</t>
  </si>
  <si>
    <t>CAMP2949</t>
  </si>
  <si>
    <t>CAMP2950</t>
  </si>
  <si>
    <t>CAMP2951</t>
  </si>
  <si>
    <t>CAMP2952</t>
  </si>
  <si>
    <t>CAMP2953</t>
  </si>
  <si>
    <t>CAMP2954</t>
  </si>
  <si>
    <t>CAMP2955</t>
  </si>
  <si>
    <t>CAMP2956</t>
  </si>
  <si>
    <t>CAMP2957</t>
  </si>
  <si>
    <t>CAMP2958</t>
  </si>
  <si>
    <t>CAMP2959</t>
  </si>
  <si>
    <t>CAMP2960</t>
  </si>
  <si>
    <t>CAMP2961</t>
  </si>
  <si>
    <t>CAMP2962</t>
  </si>
  <si>
    <t>CAMP2963</t>
  </si>
  <si>
    <t>CAMP2964</t>
  </si>
  <si>
    <t>CAMP2965</t>
  </si>
  <si>
    <t>CAMP2966</t>
  </si>
  <si>
    <t>CAMP2967</t>
  </si>
  <si>
    <t>CAMP2968</t>
  </si>
  <si>
    <t>CAMP2969</t>
  </si>
  <si>
    <t>CAMP2970</t>
  </si>
  <si>
    <t>CAMP2971</t>
  </si>
  <si>
    <t>CAMP2972</t>
  </si>
  <si>
    <t>CAMP2973</t>
  </si>
  <si>
    <t>CAMP2974</t>
  </si>
  <si>
    <t>CAMP2975</t>
  </si>
  <si>
    <t>CAMP2976</t>
  </si>
  <si>
    <t>CAMP2977</t>
  </si>
  <si>
    <t>CAMP2978</t>
  </si>
  <si>
    <t>CAMP2979</t>
  </si>
  <si>
    <t>CAMP2980</t>
  </si>
  <si>
    <t>CAMP2981</t>
  </si>
  <si>
    <t>CAMP2982</t>
  </si>
  <si>
    <t>CAMP2983</t>
  </si>
  <si>
    <t>CAMP2984</t>
  </si>
  <si>
    <t>CAMP2985</t>
  </si>
  <si>
    <t>CAMP2986</t>
  </si>
  <si>
    <t>CAMP2987</t>
  </si>
  <si>
    <t>CAMP2988</t>
  </si>
  <si>
    <t>CAMP2989</t>
  </si>
  <si>
    <t>CAMP2990</t>
  </si>
  <si>
    <t>CAMP2991</t>
  </si>
  <si>
    <t>CAMP2992</t>
  </si>
  <si>
    <t>CAMP2993</t>
  </si>
  <si>
    <t>CAMP2994</t>
  </si>
  <si>
    <t>CAMP2995</t>
  </si>
  <si>
    <t>CAMP2996</t>
  </si>
  <si>
    <t>CAMP2997</t>
  </si>
  <si>
    <t>CAMP2998</t>
  </si>
  <si>
    <t>CAMP2999</t>
  </si>
  <si>
    <t>CTR</t>
  </si>
  <si>
    <t>Conversion_Rate</t>
  </si>
  <si>
    <t>CPA</t>
  </si>
  <si>
    <t>ROAS</t>
  </si>
  <si>
    <t>Ad Spend</t>
  </si>
  <si>
    <t>Year</t>
  </si>
  <si>
    <t>Month</t>
  </si>
  <si>
    <t>Month_Number</t>
  </si>
  <si>
    <t>Row Labels</t>
  </si>
  <si>
    <t>Grand Total</t>
  </si>
  <si>
    <t>Revenue by Platform</t>
  </si>
  <si>
    <t>Total Conversions</t>
  </si>
  <si>
    <t>Total Revenue</t>
  </si>
  <si>
    <t>Total Ad Spend</t>
  </si>
  <si>
    <t>Campaign Performance</t>
  </si>
  <si>
    <t>Average of ROAS</t>
  </si>
  <si>
    <t>Monthly Revenue Trend</t>
  </si>
  <si>
    <t>Jan</t>
  </si>
  <si>
    <t>Feb</t>
  </si>
  <si>
    <t>Mar</t>
  </si>
  <si>
    <t>Apr</t>
  </si>
  <si>
    <t>May</t>
  </si>
  <si>
    <t>Jun</t>
  </si>
  <si>
    <t>Jul</t>
  </si>
  <si>
    <t>Aug</t>
  </si>
  <si>
    <t>Sept</t>
  </si>
  <si>
    <t>Oct</t>
  </si>
  <si>
    <t>Nov</t>
  </si>
  <si>
    <t>Dec</t>
  </si>
  <si>
    <t xml:space="preserve"> Platform Efficiency</t>
  </si>
  <si>
    <t>Average of CTR</t>
  </si>
  <si>
    <t>Average of CPA</t>
  </si>
  <si>
    <t>Average of Conversion_Rate</t>
  </si>
  <si>
    <t>Average ROAS</t>
  </si>
  <si>
    <t>Monthly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</si>
</sst>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Ksh&quot;* #,##0.00_-;\-&quot;Ksh&quot;* #,##0.00_-;_-&quot;Ksh&quot;* &quot;-&quot;??_-;_-@_-"/>
    <numFmt numFmtId="165" formatCode="_-[$$-409]* #,##0.00_ ;_-[$$-409]* \-#,##0.00\ ;_-[$$-409]* &quot;-&quot;??_ ;_-@_ "/>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C0000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50"/>
        <bgColor indexed="64"/>
      </patternFill>
    </fill>
    <fill>
      <patternFill patternType="solid">
        <fgColor theme="6" tint="-0.249977111117893"/>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9">
    <xf numFmtId="0" fontId="0" fillId="0" borderId="0" xfId="0"/>
    <xf numFmtId="14" fontId="0" fillId="0" borderId="0" xfId="0" applyNumberFormat="1"/>
    <xf numFmtId="10" fontId="0" fillId="33" borderId="0" xfId="0" applyNumberFormat="1" applyFill="1"/>
    <xf numFmtId="2" fontId="0" fillId="33" borderId="0" xfId="0" applyNumberFormat="1" applyFill="1"/>
    <xf numFmtId="165" fontId="0" fillId="0" borderId="0" xfId="0" applyNumberFormat="1"/>
    <xf numFmtId="165" fontId="0" fillId="33" borderId="0" xfId="42" applyNumberFormat="1" applyFont="1" applyFill="1"/>
    <xf numFmtId="165" fontId="0" fillId="0" borderId="0" xfId="42" applyNumberFormat="1" applyFont="1"/>
    <xf numFmtId="10" fontId="0" fillId="0" borderId="0" xfId="0" applyNumberFormat="1"/>
    <xf numFmtId="2" fontId="0" fillId="0" borderId="0" xfId="0" applyNumberFormat="1"/>
    <xf numFmtId="0" fontId="0" fillId="33" borderId="0" xfId="0" applyFill="1"/>
    <xf numFmtId="0" fontId="0" fillId="0" borderId="0" xfId="0" pivotButton="1"/>
    <xf numFmtId="0" fontId="0" fillId="0" borderId="0" xfId="0" applyAlignment="1">
      <alignment horizontal="left"/>
    </xf>
    <xf numFmtId="0" fontId="0" fillId="0" borderId="0" xfId="0" applyNumberFormat="1"/>
    <xf numFmtId="0" fontId="18" fillId="0" borderId="0" xfId="0" applyFont="1"/>
    <xf numFmtId="0" fontId="0" fillId="0" borderId="10" xfId="0" applyBorder="1"/>
    <xf numFmtId="0" fontId="0" fillId="34" borderId="10" xfId="0" applyFill="1" applyBorder="1" applyAlignment="1">
      <alignment horizontal="left"/>
    </xf>
    <xf numFmtId="0" fontId="0" fillId="34" borderId="10" xfId="0" applyFill="1" applyBorder="1"/>
    <xf numFmtId="165" fontId="0" fillId="0" borderId="10" xfId="0" applyNumberFormat="1" applyBorder="1"/>
    <xf numFmtId="2" fontId="0" fillId="0" borderId="10" xfId="0" applyNumberFormat="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7">
    <dxf>
      <font>
        <color rgb="FF9C0006"/>
      </font>
      <fill>
        <patternFill>
          <bgColor rgb="FFFFC7CE"/>
        </patternFill>
      </fill>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0" formatCode="General"/>
    </dxf>
    <dxf>
      <numFmt numFmtId="0" formatCode="General"/>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0" formatCode="General"/>
    </dxf>
    <dxf>
      <numFmt numFmtId="0" formatCode="General"/>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0" formatCode="General"/>
    </dxf>
    <dxf>
      <numFmt numFmtId="0" formatCode="General"/>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0" formatCode="General"/>
    </dxf>
    <dxf>
      <numFmt numFmtId="0" formatCode="General"/>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0" formatCode="General"/>
    </dxf>
    <dxf>
      <numFmt numFmtId="0" formatCode="General"/>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0" formatCode="General"/>
    </dxf>
    <dxf>
      <numFmt numFmtId="0" formatCode="General"/>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0" formatCode="General"/>
    </dxf>
    <dxf>
      <numFmt numFmtId="0" formatCode="General"/>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0" formatCode="General"/>
    </dxf>
    <dxf>
      <numFmt numFmtId="0" formatCode="General"/>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0" formatCode="General"/>
    </dxf>
    <dxf>
      <numFmt numFmtId="0" formatCode="General"/>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0" formatCode="General"/>
    </dxf>
    <dxf>
      <numFmt numFmtId="0" formatCode="General"/>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0" formatCode="General"/>
    </dxf>
    <dxf>
      <numFmt numFmtId="0" formatCode="General"/>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0" formatCode="General"/>
    </dxf>
    <dxf>
      <numFmt numFmtId="0" formatCode="General"/>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0" formatCode="General"/>
    </dxf>
    <dxf>
      <numFmt numFmtId="0" formatCode="General"/>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0" formatCode="General"/>
    </dxf>
    <dxf>
      <numFmt numFmtId="0" formatCode="General"/>
    </dxf>
    <dxf>
      <numFmt numFmtId="0" formatCode="General"/>
    </dxf>
    <dxf>
      <numFmt numFmtId="2" formatCode="0.00"/>
    </dxf>
    <dxf>
      <numFmt numFmtId="165" formatCode="_-[$$-409]* #,##0.00_ ;_-[$$-409]* \-#,##0.00\ ;_-[$$-409]* &quot;-&quot;??_ ;_-@_ "/>
    </dxf>
    <dxf>
      <numFmt numFmtId="14" formatCode="0.00%"/>
    </dxf>
    <dxf>
      <numFmt numFmtId="14" formatCode="0.00%"/>
    </dxf>
    <dxf>
      <numFmt numFmtId="165" formatCode="_-[$$-409]* #,##0.00_ ;_-[$$-409]* \-#,##0.00\ ;_-[$$-409]* &quot;-&quot;??_ ;_-@_ "/>
    </dxf>
    <dxf>
      <numFmt numFmtId="165" formatCode="_-[$$-409]* #,##0.00_ ;_-[$$-409]* \-#,##0.00\ ;_-[$$-409]* &quot;-&quot;??_ ;_-@_ "/>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[ecommerce_ad_campaign_dataset.xlsx]Campaign_Analysis!PivotTable6</c:name>
    <c:fmtId val="9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bg1"/>
                </a:solidFill>
              </a:rPr>
              <a:t>Revenue by Advertising Platform</a:t>
            </a:r>
            <a:endParaRPr lang="en-US" b="1">
              <a:solidFill>
                <a:schemeClr val="bg1"/>
              </a:solidFill>
            </a:endParaRPr>
          </a:p>
        </c:rich>
      </c:tx>
      <c:layout>
        <c:manualLayout>
          <c:xMode val="edge"/>
          <c:yMode val="edge"/>
          <c:x val="0.1890212353054151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s>
    <c:plotArea>
      <c:layout>
        <c:manualLayout>
          <c:layoutTarget val="inner"/>
          <c:xMode val="edge"/>
          <c:yMode val="edge"/>
          <c:x val="4.2402888895895982E-2"/>
          <c:y val="0.21703971119133578"/>
          <c:w val="0.89634860701282915"/>
          <c:h val="0.65692752304878854"/>
        </c:manualLayout>
      </c:layout>
      <c:barChart>
        <c:barDir val="col"/>
        <c:grouping val="clustered"/>
        <c:varyColors val="0"/>
        <c:ser>
          <c:idx val="0"/>
          <c:order val="0"/>
          <c:tx>
            <c:strRef>
              <c:f>Campaign_Analysis!$B$30</c:f>
              <c:strCache>
                <c:ptCount val="1"/>
                <c:pt idx="0">
                  <c:v>Total</c:v>
                </c:pt>
              </c:strCache>
            </c:strRef>
          </c:tx>
          <c:spPr>
            <a:solidFill>
              <a:schemeClr val="accent1"/>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Campaign_Analysis!$A$31:$A$36</c:f>
              <c:strCache>
                <c:ptCount val="5"/>
                <c:pt idx="0">
                  <c:v>Google Ads</c:v>
                </c:pt>
                <c:pt idx="1">
                  <c:v>Email Marketing</c:v>
                </c:pt>
                <c:pt idx="2">
                  <c:v>Meta Ads</c:v>
                </c:pt>
                <c:pt idx="3">
                  <c:v>TikTok Ads</c:v>
                </c:pt>
                <c:pt idx="4">
                  <c:v>Affiliate</c:v>
                </c:pt>
              </c:strCache>
            </c:strRef>
          </c:cat>
          <c:val>
            <c:numRef>
              <c:f>Campaign_Analysis!$B$31:$B$36</c:f>
              <c:numCache>
                <c:formatCode>_-[$$-409]* #,##0.00_ ;_-[$$-409]* \-#,##0.00\ ;_-[$$-409]* "-"??_ ;_-@_ </c:formatCode>
                <c:ptCount val="5"/>
                <c:pt idx="0">
                  <c:v>9148694.3600000013</c:v>
                </c:pt>
                <c:pt idx="1">
                  <c:v>8919626.77999999</c:v>
                </c:pt>
                <c:pt idx="2">
                  <c:v>8726840.4000000004</c:v>
                </c:pt>
                <c:pt idx="3">
                  <c:v>8054448.4100000039</c:v>
                </c:pt>
                <c:pt idx="4">
                  <c:v>7767664.7200000072</c:v>
                </c:pt>
              </c:numCache>
            </c:numRef>
          </c:val>
          <c:extLst>
            <c:ext xmlns:c16="http://schemas.microsoft.com/office/drawing/2014/chart" uri="{C3380CC4-5D6E-409C-BE32-E72D297353CC}">
              <c16:uniqueId val="{00000000-4474-49A5-9801-D50247271344}"/>
            </c:ext>
          </c:extLst>
        </c:ser>
        <c:dLbls>
          <c:dLblPos val="outEnd"/>
          <c:showLegendKey val="0"/>
          <c:showVal val="1"/>
          <c:showCatName val="0"/>
          <c:showSerName val="0"/>
          <c:showPercent val="0"/>
          <c:showBubbleSize val="0"/>
        </c:dLbls>
        <c:gapWidth val="40"/>
        <c:overlap val="-27"/>
        <c:axId val="669711320"/>
        <c:axId val="669709024"/>
      </c:barChart>
      <c:catAx>
        <c:axId val="669711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669709024"/>
        <c:crosses val="autoZero"/>
        <c:auto val="1"/>
        <c:lblAlgn val="ctr"/>
        <c:lblOffset val="100"/>
        <c:noMultiLvlLbl val="0"/>
      </c:catAx>
      <c:valAx>
        <c:axId val="669709024"/>
        <c:scaling>
          <c:orientation val="minMax"/>
        </c:scaling>
        <c:delete val="1"/>
        <c:axPos val="l"/>
        <c:numFmt formatCode="_-[$$-409]* #,##0.00_ ;_-[$$-409]* \-#,##0.00\ ;_-[$$-409]* &quot;-&quot;??_ ;_-@_ " sourceLinked="1"/>
        <c:majorTickMark val="none"/>
        <c:minorTickMark val="none"/>
        <c:tickLblPos val="nextTo"/>
        <c:crossAx val="6697113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[ecommerce_ad_campaign_dataset.xlsx]Campaign_Analysis!PivotTable7</c:name>
    <c:fmtId val="10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bg1"/>
                </a:solidFill>
              </a:rPr>
              <a:t>Monthly Revenue Trend</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746921878667605E-3"/>
          <c:y val="0.29560846838252997"/>
          <c:w val="0.96865394874421185"/>
          <c:h val="0.512859434237387"/>
        </c:manualLayout>
      </c:layout>
      <c:lineChart>
        <c:grouping val="standard"/>
        <c:varyColors val="0"/>
        <c:ser>
          <c:idx val="0"/>
          <c:order val="0"/>
          <c:tx>
            <c:strRef>
              <c:f>Campaign_Analysis!$N$22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Campaign_Analysis!$M$23:$M$35</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Campaign_Analysis!$N$23:$N$35</c:f>
              <c:numCache>
                <c:formatCode>_-[$$-409]* #,##0.00_ ;_-[$$-409]* \-#,##0.00\ ;_-[$$-409]* "-"??_ ;_-@_ </c:formatCode>
                <c:ptCount val="12"/>
                <c:pt idx="0">
                  <c:v>5429032.240000003</c:v>
                </c:pt>
                <c:pt idx="1">
                  <c:v>5432642.4099999946</c:v>
                </c:pt>
                <c:pt idx="2">
                  <c:v>3333589.2400000007</c:v>
                </c:pt>
                <c:pt idx="3">
                  <c:v>3339954</c:v>
                </c:pt>
                <c:pt idx="4">
                  <c:v>2885578.7700000009</c:v>
                </c:pt>
                <c:pt idx="5">
                  <c:v>2937007.3099999977</c:v>
                </c:pt>
                <c:pt idx="6">
                  <c:v>3407798.9499999993</c:v>
                </c:pt>
                <c:pt idx="7">
                  <c:v>2886554.1500000004</c:v>
                </c:pt>
                <c:pt idx="8">
                  <c:v>2959273.4000000008</c:v>
                </c:pt>
                <c:pt idx="9">
                  <c:v>3044116.0299999979</c:v>
                </c:pt>
                <c:pt idx="10">
                  <c:v>3130587.6699999995</c:v>
                </c:pt>
                <c:pt idx="11">
                  <c:v>3831140.5000000009</c:v>
                </c:pt>
              </c:numCache>
            </c:numRef>
          </c:val>
          <c:smooth val="0"/>
          <c:extLst>
            <c:ext xmlns:c16="http://schemas.microsoft.com/office/drawing/2014/chart" uri="{C3380CC4-5D6E-409C-BE32-E72D297353CC}">
              <c16:uniqueId val="{00000000-62A9-42A2-94F9-895BC67FF195}"/>
            </c:ext>
          </c:extLst>
        </c:ser>
        <c:dLbls>
          <c:dLblPos val="t"/>
          <c:showLegendKey val="0"/>
          <c:showVal val="1"/>
          <c:showCatName val="0"/>
          <c:showSerName val="0"/>
          <c:showPercent val="0"/>
          <c:showBubbleSize val="0"/>
        </c:dLbls>
        <c:marker val="1"/>
        <c:smooth val="0"/>
        <c:axId val="669706072"/>
        <c:axId val="669710664"/>
      </c:lineChart>
      <c:catAx>
        <c:axId val="669706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669710664"/>
        <c:crosses val="autoZero"/>
        <c:auto val="1"/>
        <c:lblAlgn val="ctr"/>
        <c:lblOffset val="100"/>
        <c:noMultiLvlLbl val="0"/>
      </c:catAx>
      <c:valAx>
        <c:axId val="669710664"/>
        <c:scaling>
          <c:orientation val="minMax"/>
        </c:scaling>
        <c:delete val="1"/>
        <c:axPos val="l"/>
        <c:numFmt formatCode="_-[$$-409]* #,##0.00_ ;_-[$$-409]* \-#,##0.00\ ;_-[$$-409]* &quot;-&quot;??_ ;_-@_ " sourceLinked="1"/>
        <c:majorTickMark val="none"/>
        <c:minorTickMark val="none"/>
        <c:tickLblPos val="nextTo"/>
        <c:crossAx val="6697060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[ecommerce_ad_campaign_dataset.xlsx]Campaign_Analysis!PivotTable8</c:name>
    <c:fmtId val="10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Revenue by Campaign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6350">
            <a:solidFill>
              <a:schemeClr val="accent1">
                <a:shade val="50000"/>
              </a:schemeClr>
            </a:solidFill>
          </a:ln>
          <a:effectLst/>
        </c:spPr>
      </c:pivotFmt>
    </c:pivotFmts>
    <c:plotArea>
      <c:layout>
        <c:manualLayout>
          <c:layoutTarget val="inner"/>
          <c:xMode val="edge"/>
          <c:yMode val="edge"/>
          <c:x val="0.15128252827028316"/>
          <c:y val="0.14175064338136323"/>
          <c:w val="0.82723315981074685"/>
          <c:h val="0.51564717465348409"/>
        </c:manualLayout>
      </c:layout>
      <c:barChart>
        <c:barDir val="col"/>
        <c:grouping val="clustered"/>
        <c:varyColors val="0"/>
        <c:ser>
          <c:idx val="0"/>
          <c:order val="0"/>
          <c:tx>
            <c:strRef>
              <c:f>Campaign_Analysis!$I$30</c:f>
              <c:strCache>
                <c:ptCount val="1"/>
                <c:pt idx="0">
                  <c:v>Total</c:v>
                </c:pt>
              </c:strCache>
            </c:strRef>
          </c:tx>
          <c:spPr>
            <a:solidFill>
              <a:schemeClr val="accent1"/>
            </a:solidFill>
            <a:ln>
              <a:noFill/>
            </a:ln>
            <a:effectLst/>
          </c:spPr>
          <c:invertIfNegative val="0"/>
          <c:dPt>
            <c:idx val="7"/>
            <c:invertIfNegative val="0"/>
            <c:bubble3D val="0"/>
            <c:spPr>
              <a:solidFill>
                <a:schemeClr val="accent1"/>
              </a:solidFill>
              <a:ln w="6350">
                <a:solidFill>
                  <a:schemeClr val="accent1">
                    <a:shade val="50000"/>
                  </a:schemeClr>
                </a:solidFill>
              </a:ln>
              <a:effectLst/>
            </c:spPr>
            <c:extLst>
              <c:ext xmlns:c16="http://schemas.microsoft.com/office/drawing/2014/chart" uri="{C3380CC4-5D6E-409C-BE32-E72D297353CC}">
                <c16:uniqueId val="{00000002-2DA7-4E39-A939-E595DF932FB4}"/>
              </c:ext>
            </c:extLst>
          </c:dPt>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Campaign_Analysis!$H$31:$H$39</c:f>
              <c:strCache>
                <c:ptCount val="8"/>
                <c:pt idx="0">
                  <c:v>Brand Awareness</c:v>
                </c:pt>
                <c:pt idx="1">
                  <c:v>Holiday Deals</c:v>
                </c:pt>
                <c:pt idx="2">
                  <c:v>Winter Promo</c:v>
                </c:pt>
                <c:pt idx="3">
                  <c:v>New Product Launch</c:v>
                </c:pt>
                <c:pt idx="4">
                  <c:v>Flash Sale</c:v>
                </c:pt>
                <c:pt idx="5">
                  <c:v>Retargeting Campaign</c:v>
                </c:pt>
                <c:pt idx="6">
                  <c:v>Clearance Event</c:v>
                </c:pt>
                <c:pt idx="7">
                  <c:v>Summer Sale</c:v>
                </c:pt>
              </c:strCache>
            </c:strRef>
          </c:cat>
          <c:val>
            <c:numRef>
              <c:f>Campaign_Analysis!$I$31:$I$39</c:f>
              <c:numCache>
                <c:formatCode>_-[$$-409]* #,##0.00_ ;_-[$$-409]* \-#,##0.00\ ;_-[$$-409]* "-"??_ ;_-@_ </c:formatCode>
                <c:ptCount val="8"/>
                <c:pt idx="0">
                  <c:v>5876151.7499999991</c:v>
                </c:pt>
                <c:pt idx="1">
                  <c:v>5658537.7599999998</c:v>
                </c:pt>
                <c:pt idx="2">
                  <c:v>5471284.3100000033</c:v>
                </c:pt>
                <c:pt idx="3">
                  <c:v>5427155.1900000013</c:v>
                </c:pt>
                <c:pt idx="4">
                  <c:v>5296928.3900000025</c:v>
                </c:pt>
                <c:pt idx="5">
                  <c:v>5059368.5700000012</c:v>
                </c:pt>
                <c:pt idx="6">
                  <c:v>5001328.719999996</c:v>
                </c:pt>
                <c:pt idx="7">
                  <c:v>4826519.9799999986</c:v>
                </c:pt>
              </c:numCache>
            </c:numRef>
          </c:val>
          <c:extLst>
            <c:ext xmlns:c16="http://schemas.microsoft.com/office/drawing/2014/chart" uri="{C3380CC4-5D6E-409C-BE32-E72D297353CC}">
              <c16:uniqueId val="{00000000-2DA7-4E39-A939-E595DF932FB4}"/>
            </c:ext>
          </c:extLst>
        </c:ser>
        <c:dLbls>
          <c:showLegendKey val="0"/>
          <c:showVal val="0"/>
          <c:showCatName val="0"/>
          <c:showSerName val="0"/>
          <c:showPercent val="0"/>
          <c:showBubbleSize val="0"/>
        </c:dLbls>
        <c:gapWidth val="50"/>
        <c:overlap val="-27"/>
        <c:axId val="661062576"/>
        <c:axId val="661055032"/>
      </c:barChart>
      <c:catAx>
        <c:axId val="6610625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661055032"/>
        <c:crosses val="autoZero"/>
        <c:auto val="1"/>
        <c:lblAlgn val="ctr"/>
        <c:lblOffset val="100"/>
        <c:noMultiLvlLbl val="0"/>
      </c:catAx>
      <c:valAx>
        <c:axId val="661055032"/>
        <c:scaling>
          <c:orientation val="minMax"/>
        </c:scaling>
        <c:delete val="1"/>
        <c:axPos val="l"/>
        <c:numFmt formatCode="_-[$$-409]* #,##0.00_ ;_-[$$-409]* \-#,##0.00\ ;_-[$$-409]* &quot;-&quot;??_ ;_-@_ " sourceLinked="1"/>
        <c:majorTickMark val="out"/>
        <c:minorTickMark val="none"/>
        <c:tickLblPos val="nextTo"/>
        <c:crossAx val="6610625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[ecommerce_ad_campaign_dataset.xlsx]Campaign_Analysis!PivotTable9</c:name>
    <c:fmtId val="4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bg1"/>
                </a:solidFill>
              </a:rPr>
              <a:t>Return on Ad Spend (ROAS) by Platform</a:t>
            </a:r>
            <a:endParaRPr lang="en-US" b="1">
              <a:solidFill>
                <a:schemeClr val="bg1"/>
              </a:solidFill>
            </a:endParaRPr>
          </a:p>
        </c:rich>
      </c:tx>
      <c:layout>
        <c:manualLayout>
          <c:xMode val="edge"/>
          <c:yMode val="edge"/>
          <c:x val="0.12928338303005477"/>
          <c:y val="7.6755092831356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s>
    <c:plotArea>
      <c:layout>
        <c:manualLayout>
          <c:layoutTarget val="inner"/>
          <c:xMode val="edge"/>
          <c:yMode val="edge"/>
          <c:x val="2.3646950235006532E-2"/>
          <c:y val="0.184126939358776"/>
          <c:w val="0.92568101354712229"/>
          <c:h val="0.61009823040226918"/>
        </c:manualLayout>
      </c:layout>
      <c:barChart>
        <c:barDir val="col"/>
        <c:grouping val="clustered"/>
        <c:varyColors val="0"/>
        <c:ser>
          <c:idx val="0"/>
          <c:order val="0"/>
          <c:tx>
            <c:strRef>
              <c:f>Campaign_Analysis!$I$43</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Campaign_Analysis!$H$44:$H$49</c:f>
              <c:strCache>
                <c:ptCount val="5"/>
                <c:pt idx="0">
                  <c:v>Email Marketing</c:v>
                </c:pt>
                <c:pt idx="1">
                  <c:v>Google Ads</c:v>
                </c:pt>
                <c:pt idx="2">
                  <c:v>Affiliate</c:v>
                </c:pt>
                <c:pt idx="3">
                  <c:v>Meta Ads</c:v>
                </c:pt>
                <c:pt idx="4">
                  <c:v>TikTok Ads</c:v>
                </c:pt>
              </c:strCache>
            </c:strRef>
          </c:cat>
          <c:val>
            <c:numRef>
              <c:f>Campaign_Analysis!$I$44:$I$49</c:f>
              <c:numCache>
                <c:formatCode>General</c:formatCode>
                <c:ptCount val="5"/>
                <c:pt idx="0">
                  <c:v>13.887466535073804</c:v>
                </c:pt>
                <c:pt idx="1">
                  <c:v>13.762592360585739</c:v>
                </c:pt>
                <c:pt idx="2">
                  <c:v>13.52347181669368</c:v>
                </c:pt>
                <c:pt idx="3">
                  <c:v>13.407548161809467</c:v>
                </c:pt>
                <c:pt idx="4">
                  <c:v>13.273760857438571</c:v>
                </c:pt>
              </c:numCache>
            </c:numRef>
          </c:val>
          <c:extLst>
            <c:ext xmlns:c16="http://schemas.microsoft.com/office/drawing/2014/chart" uri="{C3380CC4-5D6E-409C-BE32-E72D297353CC}">
              <c16:uniqueId val="{00000000-3D29-4AE5-907C-C437D330F1E7}"/>
            </c:ext>
          </c:extLst>
        </c:ser>
        <c:dLbls>
          <c:dLblPos val="outEnd"/>
          <c:showLegendKey val="0"/>
          <c:showVal val="1"/>
          <c:showCatName val="0"/>
          <c:showSerName val="0"/>
          <c:showPercent val="0"/>
          <c:showBubbleSize val="0"/>
        </c:dLbls>
        <c:gapWidth val="60"/>
        <c:overlap val="-27"/>
        <c:axId val="622702192"/>
        <c:axId val="622698912"/>
      </c:barChart>
      <c:catAx>
        <c:axId val="622702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622698912"/>
        <c:crosses val="autoZero"/>
        <c:auto val="1"/>
        <c:lblAlgn val="ctr"/>
        <c:lblOffset val="100"/>
        <c:noMultiLvlLbl val="0"/>
      </c:catAx>
      <c:valAx>
        <c:axId val="622698912"/>
        <c:scaling>
          <c:orientation val="minMax"/>
        </c:scaling>
        <c:delete val="1"/>
        <c:axPos val="l"/>
        <c:numFmt formatCode="General" sourceLinked="1"/>
        <c:majorTickMark val="none"/>
        <c:minorTickMark val="none"/>
        <c:tickLblPos val="nextTo"/>
        <c:crossAx val="622702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47626</xdr:rowOff>
    </xdr:from>
    <xdr:to>
      <xdr:col>17</xdr:col>
      <xdr:colOff>428626</xdr:colOff>
      <xdr:row>47</xdr:row>
      <xdr:rowOff>95250</xdr:rowOff>
    </xdr:to>
    <xdr:sp macro="" textlink="">
      <xdr:nvSpPr>
        <xdr:cNvPr id="2" name="Rectangle: Rounded Corners 1">
          <a:extLst>
            <a:ext uri="{FF2B5EF4-FFF2-40B4-BE49-F238E27FC236}">
              <a16:creationId xmlns:a16="http://schemas.microsoft.com/office/drawing/2014/main" id="{D4317F1E-59DC-483E-9B3E-35A1F70BE07E}"/>
            </a:ext>
          </a:extLst>
        </xdr:cNvPr>
        <xdr:cNvSpPr/>
      </xdr:nvSpPr>
      <xdr:spPr>
        <a:xfrm>
          <a:off x="1" y="47626"/>
          <a:ext cx="10751344" cy="9001124"/>
        </a:xfrm>
        <a:prstGeom prst="roundRect">
          <a:avLst>
            <a:gd name="adj" fmla="val 3011"/>
          </a:avLst>
        </a:prstGeom>
        <a:noFill/>
        <a:ln w="3175"/>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28575</xdr:colOff>
      <xdr:row>0</xdr:row>
      <xdr:rowOff>76200</xdr:rowOff>
    </xdr:from>
    <xdr:to>
      <xdr:col>2</xdr:col>
      <xdr:colOff>200025</xdr:colOff>
      <xdr:row>4</xdr:row>
      <xdr:rowOff>114300</xdr:rowOff>
    </xdr:to>
    <xdr:sp macro="" textlink="">
      <xdr:nvSpPr>
        <xdr:cNvPr id="3" name="Rectangle: Rounded Corners 2">
          <a:extLst>
            <a:ext uri="{FF2B5EF4-FFF2-40B4-BE49-F238E27FC236}">
              <a16:creationId xmlns:a16="http://schemas.microsoft.com/office/drawing/2014/main" id="{8C4B2927-739D-4E2F-B737-017083C49B3E}"/>
            </a:ext>
          </a:extLst>
        </xdr:cNvPr>
        <xdr:cNvSpPr/>
      </xdr:nvSpPr>
      <xdr:spPr>
        <a:xfrm>
          <a:off x="28575" y="76200"/>
          <a:ext cx="1390650" cy="800100"/>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285750</xdr:colOff>
      <xdr:row>0</xdr:row>
      <xdr:rowOff>76200</xdr:rowOff>
    </xdr:from>
    <xdr:to>
      <xdr:col>14</xdr:col>
      <xdr:colOff>404813</xdr:colOff>
      <xdr:row>4</xdr:row>
      <xdr:rowOff>19050</xdr:rowOff>
    </xdr:to>
    <xdr:sp macro="" textlink="">
      <xdr:nvSpPr>
        <xdr:cNvPr id="4" name="Rectangle: Rounded Corners 3">
          <a:extLst>
            <a:ext uri="{FF2B5EF4-FFF2-40B4-BE49-F238E27FC236}">
              <a16:creationId xmlns:a16="http://schemas.microsoft.com/office/drawing/2014/main" id="{9D259470-D84F-4539-BA85-50EF7FF5EBF2}"/>
            </a:ext>
          </a:extLst>
        </xdr:cNvPr>
        <xdr:cNvSpPr/>
      </xdr:nvSpPr>
      <xdr:spPr>
        <a:xfrm>
          <a:off x="1500188" y="76200"/>
          <a:ext cx="7405688" cy="704850"/>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19050</xdr:colOff>
      <xdr:row>4</xdr:row>
      <xdr:rowOff>142874</xdr:rowOff>
    </xdr:from>
    <xdr:to>
      <xdr:col>2</xdr:col>
      <xdr:colOff>190500</xdr:colOff>
      <xdr:row>46</xdr:row>
      <xdr:rowOff>95249</xdr:rowOff>
    </xdr:to>
    <xdr:sp macro="" textlink="">
      <xdr:nvSpPr>
        <xdr:cNvPr id="5" name="Rectangle: Rounded Corners 4">
          <a:extLst>
            <a:ext uri="{FF2B5EF4-FFF2-40B4-BE49-F238E27FC236}">
              <a16:creationId xmlns:a16="http://schemas.microsoft.com/office/drawing/2014/main" id="{026C5317-49BF-4AEC-B73E-46ACCC8215EC}"/>
            </a:ext>
          </a:extLst>
        </xdr:cNvPr>
        <xdr:cNvSpPr/>
      </xdr:nvSpPr>
      <xdr:spPr>
        <a:xfrm>
          <a:off x="19050" y="904874"/>
          <a:ext cx="1390650" cy="7953375"/>
        </a:xfrm>
        <a:prstGeom prst="roundRect">
          <a:avLst>
            <a:gd name="adj" fmla="val 6393"/>
          </a:avLst>
        </a:prstGeom>
        <a:solidFill>
          <a:srgbClr val="002060"/>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323850</xdr:colOff>
      <xdr:row>4</xdr:row>
      <xdr:rowOff>57151</xdr:rowOff>
    </xdr:from>
    <xdr:to>
      <xdr:col>5</xdr:col>
      <xdr:colOff>247650</xdr:colOff>
      <xdr:row>7</xdr:row>
      <xdr:rowOff>83344</xdr:rowOff>
    </xdr:to>
    <xdr:sp macro="" textlink="">
      <xdr:nvSpPr>
        <xdr:cNvPr id="6" name="Rectangle: Rounded Corners 5">
          <a:extLst>
            <a:ext uri="{FF2B5EF4-FFF2-40B4-BE49-F238E27FC236}">
              <a16:creationId xmlns:a16="http://schemas.microsoft.com/office/drawing/2014/main" id="{C48393F5-CC1D-4FE2-9027-7DE8A20C20FF}"/>
            </a:ext>
          </a:extLst>
        </xdr:cNvPr>
        <xdr:cNvSpPr/>
      </xdr:nvSpPr>
      <xdr:spPr>
        <a:xfrm>
          <a:off x="1538288" y="819151"/>
          <a:ext cx="1745456" cy="597693"/>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304799</xdr:colOff>
      <xdr:row>4</xdr:row>
      <xdr:rowOff>47624</xdr:rowOff>
    </xdr:from>
    <xdr:to>
      <xdr:col>8</xdr:col>
      <xdr:colOff>247650</xdr:colOff>
      <xdr:row>7</xdr:row>
      <xdr:rowOff>59531</xdr:rowOff>
    </xdr:to>
    <xdr:sp macro="" textlink="">
      <xdr:nvSpPr>
        <xdr:cNvPr id="7" name="Rectangle: Rounded Corners 6">
          <a:extLst>
            <a:ext uri="{FF2B5EF4-FFF2-40B4-BE49-F238E27FC236}">
              <a16:creationId xmlns:a16="http://schemas.microsoft.com/office/drawing/2014/main" id="{04DE9CDB-683B-455E-A397-86C964957059}"/>
            </a:ext>
          </a:extLst>
        </xdr:cNvPr>
        <xdr:cNvSpPr/>
      </xdr:nvSpPr>
      <xdr:spPr>
        <a:xfrm>
          <a:off x="3340893" y="809624"/>
          <a:ext cx="1764507" cy="583407"/>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314325</xdr:colOff>
      <xdr:row>4</xdr:row>
      <xdr:rowOff>38101</xdr:rowOff>
    </xdr:from>
    <xdr:to>
      <xdr:col>11</xdr:col>
      <xdr:colOff>371475</xdr:colOff>
      <xdr:row>7</xdr:row>
      <xdr:rowOff>71437</xdr:rowOff>
    </xdr:to>
    <xdr:sp macro="" textlink="">
      <xdr:nvSpPr>
        <xdr:cNvPr id="8" name="Rectangle: Rounded Corners 7">
          <a:extLst>
            <a:ext uri="{FF2B5EF4-FFF2-40B4-BE49-F238E27FC236}">
              <a16:creationId xmlns:a16="http://schemas.microsoft.com/office/drawing/2014/main" id="{704ADE02-3F4F-42C3-98E6-B796697E2909}"/>
            </a:ext>
          </a:extLst>
        </xdr:cNvPr>
        <xdr:cNvSpPr/>
      </xdr:nvSpPr>
      <xdr:spPr>
        <a:xfrm>
          <a:off x="5172075" y="800101"/>
          <a:ext cx="1878806" cy="604836"/>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104776</xdr:colOff>
      <xdr:row>1</xdr:row>
      <xdr:rowOff>47625</xdr:rowOff>
    </xdr:from>
    <xdr:to>
      <xdr:col>2</xdr:col>
      <xdr:colOff>85726</xdr:colOff>
      <xdr:row>3</xdr:row>
      <xdr:rowOff>171450</xdr:rowOff>
    </xdr:to>
    <xdr:sp macro="" textlink="">
      <xdr:nvSpPr>
        <xdr:cNvPr id="9" name="TextBox 8">
          <a:extLst>
            <a:ext uri="{FF2B5EF4-FFF2-40B4-BE49-F238E27FC236}">
              <a16:creationId xmlns:a16="http://schemas.microsoft.com/office/drawing/2014/main" id="{F52E2253-4EA5-432A-9D85-F3623DF79C5A}"/>
            </a:ext>
          </a:extLst>
        </xdr:cNvPr>
        <xdr:cNvSpPr txBox="1"/>
      </xdr:nvSpPr>
      <xdr:spPr>
        <a:xfrm>
          <a:off x="104776" y="238125"/>
          <a:ext cx="1200150"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KE" sz="1100" b="1">
              <a:solidFill>
                <a:schemeClr val="bg1"/>
              </a:solidFill>
            </a:rPr>
            <a:t>By Patience Anono</a:t>
          </a:r>
          <a:endParaRPr lang="en-US" sz="1100" b="1">
            <a:solidFill>
              <a:schemeClr val="bg1"/>
            </a:solidFill>
          </a:endParaRPr>
        </a:p>
      </xdr:txBody>
    </xdr:sp>
    <xdr:clientData/>
  </xdr:twoCellAnchor>
  <xdr:twoCellAnchor>
    <xdr:from>
      <xdr:col>3</xdr:col>
      <xdr:colOff>142876</xdr:colOff>
      <xdr:row>1</xdr:row>
      <xdr:rowOff>66675</xdr:rowOff>
    </xdr:from>
    <xdr:to>
      <xdr:col>14</xdr:col>
      <xdr:colOff>285750</xdr:colOff>
      <xdr:row>3</xdr:row>
      <xdr:rowOff>38100</xdr:rowOff>
    </xdr:to>
    <xdr:sp macro="" textlink="">
      <xdr:nvSpPr>
        <xdr:cNvPr id="10" name="TextBox 9">
          <a:extLst>
            <a:ext uri="{FF2B5EF4-FFF2-40B4-BE49-F238E27FC236}">
              <a16:creationId xmlns:a16="http://schemas.microsoft.com/office/drawing/2014/main" id="{1F7A3D57-9104-433C-82AE-651BB98983A4}"/>
            </a:ext>
          </a:extLst>
        </xdr:cNvPr>
        <xdr:cNvSpPr txBox="1"/>
      </xdr:nvSpPr>
      <xdr:spPr>
        <a:xfrm>
          <a:off x="1971676" y="257175"/>
          <a:ext cx="6848474"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rPr>
            <a:t>E-COMMERCE ADVERTISING CAMPAIGN PERFORMANCE DASHBOARD</a:t>
          </a:r>
          <a:endParaRPr lang="en-US" sz="1800" b="1">
            <a:solidFill>
              <a:schemeClr val="bg1"/>
            </a:solidFill>
            <a:latin typeface="+mn-lt"/>
          </a:endParaRPr>
        </a:p>
      </xdr:txBody>
    </xdr:sp>
    <xdr:clientData/>
  </xdr:twoCellAnchor>
  <xdr:twoCellAnchor>
    <xdr:from>
      <xdr:col>11</xdr:col>
      <xdr:colOff>485775</xdr:colOff>
      <xdr:row>4</xdr:row>
      <xdr:rowOff>38101</xdr:rowOff>
    </xdr:from>
    <xdr:to>
      <xdr:col>14</xdr:col>
      <xdr:colOff>361950</xdr:colOff>
      <xdr:row>7</xdr:row>
      <xdr:rowOff>107156</xdr:rowOff>
    </xdr:to>
    <xdr:sp macro="" textlink="">
      <xdr:nvSpPr>
        <xdr:cNvPr id="11" name="Rectangle: Rounded Corners 10">
          <a:extLst>
            <a:ext uri="{FF2B5EF4-FFF2-40B4-BE49-F238E27FC236}">
              <a16:creationId xmlns:a16="http://schemas.microsoft.com/office/drawing/2014/main" id="{39C17838-2F6A-46F4-9134-2184F3A960FB}"/>
            </a:ext>
          </a:extLst>
        </xdr:cNvPr>
        <xdr:cNvSpPr/>
      </xdr:nvSpPr>
      <xdr:spPr>
        <a:xfrm>
          <a:off x="7165181" y="800101"/>
          <a:ext cx="1697832" cy="640555"/>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581025</xdr:colOff>
      <xdr:row>4</xdr:row>
      <xdr:rowOff>123825</xdr:rowOff>
    </xdr:from>
    <xdr:to>
      <xdr:col>5</xdr:col>
      <xdr:colOff>47625</xdr:colOff>
      <xdr:row>6</xdr:row>
      <xdr:rowOff>47625</xdr:rowOff>
    </xdr:to>
    <xdr:sp macro="" textlink="">
      <xdr:nvSpPr>
        <xdr:cNvPr id="12" name="TextBox 11">
          <a:extLst>
            <a:ext uri="{FF2B5EF4-FFF2-40B4-BE49-F238E27FC236}">
              <a16:creationId xmlns:a16="http://schemas.microsoft.com/office/drawing/2014/main" id="{6ED735A4-F331-457F-A780-68DD2998DE54}"/>
            </a:ext>
          </a:extLst>
        </xdr:cNvPr>
        <xdr:cNvSpPr txBox="1"/>
      </xdr:nvSpPr>
      <xdr:spPr>
        <a:xfrm>
          <a:off x="1800225" y="885825"/>
          <a:ext cx="12954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KE" sz="1200" b="1">
              <a:solidFill>
                <a:schemeClr val="bg1"/>
              </a:solidFill>
            </a:rPr>
            <a:t>TOTAL REVENUE</a:t>
          </a:r>
          <a:endParaRPr lang="en-US" sz="1200" b="1">
            <a:solidFill>
              <a:schemeClr val="bg1"/>
            </a:solidFill>
          </a:endParaRPr>
        </a:p>
      </xdr:txBody>
    </xdr:sp>
    <xdr:clientData/>
  </xdr:twoCellAnchor>
  <xdr:twoCellAnchor>
    <xdr:from>
      <xdr:col>6</xdr:col>
      <xdr:colOff>9524</xdr:colOff>
      <xdr:row>4</xdr:row>
      <xdr:rowOff>95251</xdr:rowOff>
    </xdr:from>
    <xdr:to>
      <xdr:col>8</xdr:col>
      <xdr:colOff>123825</xdr:colOff>
      <xdr:row>6</xdr:row>
      <xdr:rowOff>19051</xdr:rowOff>
    </xdr:to>
    <xdr:sp macro="" textlink="">
      <xdr:nvSpPr>
        <xdr:cNvPr id="13" name="TextBox 12">
          <a:extLst>
            <a:ext uri="{FF2B5EF4-FFF2-40B4-BE49-F238E27FC236}">
              <a16:creationId xmlns:a16="http://schemas.microsoft.com/office/drawing/2014/main" id="{1FD51D4C-9DE4-4B9E-8F0F-081CC733897C}"/>
            </a:ext>
          </a:extLst>
        </xdr:cNvPr>
        <xdr:cNvSpPr txBox="1"/>
      </xdr:nvSpPr>
      <xdr:spPr>
        <a:xfrm>
          <a:off x="3667124" y="857251"/>
          <a:ext cx="1333501"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KE" sz="1200" b="1">
              <a:solidFill>
                <a:schemeClr val="bg1"/>
              </a:solidFill>
            </a:rPr>
            <a:t>TOTAL AD</a:t>
          </a:r>
          <a:r>
            <a:rPr lang="en-KE" sz="1200" b="1" baseline="0">
              <a:solidFill>
                <a:schemeClr val="bg1"/>
              </a:solidFill>
            </a:rPr>
            <a:t> SPEND</a:t>
          </a:r>
          <a:endParaRPr lang="en-US" sz="1200" b="1">
            <a:solidFill>
              <a:schemeClr val="bg1"/>
            </a:solidFill>
          </a:endParaRPr>
        </a:p>
      </xdr:txBody>
    </xdr:sp>
    <xdr:clientData/>
  </xdr:twoCellAnchor>
  <xdr:twoCellAnchor>
    <xdr:from>
      <xdr:col>8</xdr:col>
      <xdr:colOff>476250</xdr:colOff>
      <xdr:row>4</xdr:row>
      <xdr:rowOff>66676</xdr:rowOff>
    </xdr:from>
    <xdr:to>
      <xdr:col>11</xdr:col>
      <xdr:colOff>209550</xdr:colOff>
      <xdr:row>6</xdr:row>
      <xdr:rowOff>19050</xdr:rowOff>
    </xdr:to>
    <xdr:sp macro="" textlink="">
      <xdr:nvSpPr>
        <xdr:cNvPr id="14" name="TextBox 13">
          <a:extLst>
            <a:ext uri="{FF2B5EF4-FFF2-40B4-BE49-F238E27FC236}">
              <a16:creationId xmlns:a16="http://schemas.microsoft.com/office/drawing/2014/main" id="{685C9265-6042-42C9-AB17-146606E8E64F}"/>
            </a:ext>
          </a:extLst>
        </xdr:cNvPr>
        <xdr:cNvSpPr txBox="1"/>
      </xdr:nvSpPr>
      <xdr:spPr>
        <a:xfrm>
          <a:off x="5353050" y="828676"/>
          <a:ext cx="1562100" cy="333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KE" sz="1200" b="1">
              <a:solidFill>
                <a:schemeClr val="bg1"/>
              </a:solidFill>
            </a:rPr>
            <a:t>TOTAL CONVERSIONS</a:t>
          </a:r>
          <a:endParaRPr lang="en-US" sz="1200" b="1">
            <a:solidFill>
              <a:schemeClr val="bg1"/>
            </a:solidFill>
          </a:endParaRPr>
        </a:p>
      </xdr:txBody>
    </xdr:sp>
    <xdr:clientData/>
  </xdr:twoCellAnchor>
  <xdr:twoCellAnchor>
    <xdr:from>
      <xdr:col>12</xdr:col>
      <xdr:colOff>9526</xdr:colOff>
      <xdr:row>4</xdr:row>
      <xdr:rowOff>142876</xdr:rowOff>
    </xdr:from>
    <xdr:to>
      <xdr:col>14</xdr:col>
      <xdr:colOff>123826</xdr:colOff>
      <xdr:row>6</xdr:row>
      <xdr:rowOff>114300</xdr:rowOff>
    </xdr:to>
    <xdr:sp macro="" textlink="">
      <xdr:nvSpPr>
        <xdr:cNvPr id="15" name="TextBox 14">
          <a:extLst>
            <a:ext uri="{FF2B5EF4-FFF2-40B4-BE49-F238E27FC236}">
              <a16:creationId xmlns:a16="http://schemas.microsoft.com/office/drawing/2014/main" id="{4FA9DAFB-C3D2-4F2B-B94F-03A985FA0075}"/>
            </a:ext>
          </a:extLst>
        </xdr:cNvPr>
        <xdr:cNvSpPr txBox="1"/>
      </xdr:nvSpPr>
      <xdr:spPr>
        <a:xfrm>
          <a:off x="7324726" y="904876"/>
          <a:ext cx="1333500" cy="352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KE" sz="1200" b="1">
              <a:solidFill>
                <a:schemeClr val="bg1"/>
              </a:solidFill>
            </a:rPr>
            <a:t>AVERAGE ROAS</a:t>
          </a:r>
          <a:endParaRPr lang="en-US" sz="1200" b="1">
            <a:solidFill>
              <a:schemeClr val="bg1"/>
            </a:solidFill>
          </a:endParaRPr>
        </a:p>
      </xdr:txBody>
    </xdr:sp>
    <xdr:clientData/>
  </xdr:twoCellAnchor>
  <xdr:twoCellAnchor>
    <xdr:from>
      <xdr:col>3</xdr:col>
      <xdr:colOff>142874</xdr:colOff>
      <xdr:row>5</xdr:row>
      <xdr:rowOff>114300</xdr:rowOff>
    </xdr:from>
    <xdr:to>
      <xdr:col>4</xdr:col>
      <xdr:colOff>171450</xdr:colOff>
      <xdr:row>7</xdr:row>
      <xdr:rowOff>47625</xdr:rowOff>
    </xdr:to>
    <xdr:sp macro="" textlink="">
      <xdr:nvSpPr>
        <xdr:cNvPr id="16" name="TextBox 15">
          <a:extLst>
            <a:ext uri="{FF2B5EF4-FFF2-40B4-BE49-F238E27FC236}">
              <a16:creationId xmlns:a16="http://schemas.microsoft.com/office/drawing/2014/main" id="{308B462E-04FA-452F-B8C9-EE931A8147C6}"/>
            </a:ext>
          </a:extLst>
        </xdr:cNvPr>
        <xdr:cNvSpPr txBox="1"/>
      </xdr:nvSpPr>
      <xdr:spPr>
        <a:xfrm>
          <a:off x="1971674" y="1066800"/>
          <a:ext cx="638176"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a:solidFill>
                <a:schemeClr val="bg1"/>
              </a:solidFill>
            </a:rPr>
            <a:t>$42</a:t>
          </a:r>
          <a:r>
            <a:rPr lang="en-KE" sz="1100">
              <a:solidFill>
                <a:schemeClr val="bg1"/>
              </a:solidFill>
            </a:rPr>
            <a:t>.</a:t>
          </a:r>
          <a:r>
            <a:rPr lang="en-US" sz="1100">
              <a:solidFill>
                <a:schemeClr val="bg1"/>
              </a:solidFill>
            </a:rPr>
            <a:t>6</a:t>
          </a:r>
          <a:r>
            <a:rPr lang="en-KE" sz="1100">
              <a:solidFill>
                <a:schemeClr val="bg1"/>
              </a:solidFill>
            </a:rPr>
            <a:t>m</a:t>
          </a:r>
          <a:endParaRPr lang="en-US" sz="1100">
            <a:solidFill>
              <a:schemeClr val="bg1"/>
            </a:solidFill>
          </a:endParaRPr>
        </a:p>
      </xdr:txBody>
    </xdr:sp>
    <xdr:clientData/>
  </xdr:twoCellAnchor>
  <xdr:twoCellAnchor>
    <xdr:from>
      <xdr:col>6</xdr:col>
      <xdr:colOff>180975</xdr:colOff>
      <xdr:row>5</xdr:row>
      <xdr:rowOff>85725</xdr:rowOff>
    </xdr:from>
    <xdr:to>
      <xdr:col>7</xdr:col>
      <xdr:colOff>161925</xdr:colOff>
      <xdr:row>6</xdr:row>
      <xdr:rowOff>180975</xdr:rowOff>
    </xdr:to>
    <xdr:sp macro="" textlink="Campaign_Analysis!B23">
      <xdr:nvSpPr>
        <xdr:cNvPr id="17" name="TextBox 16">
          <a:extLst>
            <a:ext uri="{FF2B5EF4-FFF2-40B4-BE49-F238E27FC236}">
              <a16:creationId xmlns:a16="http://schemas.microsoft.com/office/drawing/2014/main" id="{F3523230-2926-44D4-A3BB-367E80CB1BB2}"/>
            </a:ext>
          </a:extLst>
        </xdr:cNvPr>
        <xdr:cNvSpPr txBox="1"/>
      </xdr:nvSpPr>
      <xdr:spPr>
        <a:xfrm>
          <a:off x="3838575" y="1038225"/>
          <a:ext cx="5905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KE" sz="1100">
              <a:solidFill>
                <a:schemeClr val="bg1"/>
              </a:solidFill>
            </a:rPr>
            <a:t>$5.2m</a:t>
          </a:r>
          <a:endParaRPr lang="en-US" sz="1100">
            <a:solidFill>
              <a:schemeClr val="bg1"/>
            </a:solidFill>
          </a:endParaRPr>
        </a:p>
      </xdr:txBody>
    </xdr:sp>
    <xdr:clientData/>
  </xdr:twoCellAnchor>
  <xdr:twoCellAnchor>
    <xdr:from>
      <xdr:col>9</xdr:col>
      <xdr:colOff>304800</xdr:colOff>
      <xdr:row>5</xdr:row>
      <xdr:rowOff>57150</xdr:rowOff>
    </xdr:from>
    <xdr:to>
      <xdr:col>10</xdr:col>
      <xdr:colOff>428625</xdr:colOff>
      <xdr:row>6</xdr:row>
      <xdr:rowOff>180975</xdr:rowOff>
    </xdr:to>
    <xdr:sp macro="" textlink="Campaign_Analysis!B24">
      <xdr:nvSpPr>
        <xdr:cNvPr id="18" name="TextBox 17">
          <a:extLst>
            <a:ext uri="{FF2B5EF4-FFF2-40B4-BE49-F238E27FC236}">
              <a16:creationId xmlns:a16="http://schemas.microsoft.com/office/drawing/2014/main" id="{E8E824AB-AD46-4741-BA41-91AEB8724858}"/>
            </a:ext>
          </a:extLst>
        </xdr:cNvPr>
        <xdr:cNvSpPr txBox="1"/>
      </xdr:nvSpPr>
      <xdr:spPr>
        <a:xfrm>
          <a:off x="5791200" y="1009650"/>
          <a:ext cx="73342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43D98E4-784A-46BA-AA4F-AE3A2C0CC35F}" type="TxLink">
            <a:rPr lang="en-US" sz="1100" b="0" i="0" u="none" strike="noStrike">
              <a:solidFill>
                <a:schemeClr val="bg1"/>
              </a:solidFill>
              <a:latin typeface="Calibri"/>
              <a:ea typeface="Calibri"/>
              <a:cs typeface="Calibri"/>
            </a:rPr>
            <a:t>598748</a:t>
          </a:fld>
          <a:endParaRPr lang="en-US" sz="1100">
            <a:solidFill>
              <a:schemeClr val="bg1"/>
            </a:solidFill>
          </a:endParaRPr>
        </a:p>
      </xdr:txBody>
    </xdr:sp>
    <xdr:clientData/>
  </xdr:twoCellAnchor>
  <xdr:twoCellAnchor>
    <xdr:from>
      <xdr:col>12</xdr:col>
      <xdr:colOff>200025</xdr:colOff>
      <xdr:row>5</xdr:row>
      <xdr:rowOff>133350</xdr:rowOff>
    </xdr:from>
    <xdr:to>
      <xdr:col>13</xdr:col>
      <xdr:colOff>323851</xdr:colOff>
      <xdr:row>7</xdr:row>
      <xdr:rowOff>66675</xdr:rowOff>
    </xdr:to>
    <xdr:sp macro="" textlink="Campaign_Analysis!B25">
      <xdr:nvSpPr>
        <xdr:cNvPr id="19" name="TextBox 18">
          <a:extLst>
            <a:ext uri="{FF2B5EF4-FFF2-40B4-BE49-F238E27FC236}">
              <a16:creationId xmlns:a16="http://schemas.microsoft.com/office/drawing/2014/main" id="{0C331349-D204-4711-90B0-5A613E43E333}"/>
            </a:ext>
          </a:extLst>
        </xdr:cNvPr>
        <xdr:cNvSpPr txBox="1"/>
      </xdr:nvSpPr>
      <xdr:spPr>
        <a:xfrm>
          <a:off x="7515225" y="1085850"/>
          <a:ext cx="733426"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KE" sz="1100">
              <a:solidFill>
                <a:schemeClr val="bg1"/>
              </a:solidFill>
            </a:rPr>
            <a:t>13.57</a:t>
          </a:r>
          <a:endParaRPr lang="en-US" sz="1100">
            <a:solidFill>
              <a:schemeClr val="bg1"/>
            </a:solidFill>
          </a:endParaRPr>
        </a:p>
      </xdr:txBody>
    </xdr:sp>
    <xdr:clientData/>
  </xdr:twoCellAnchor>
  <xdr:twoCellAnchor>
    <xdr:from>
      <xdr:col>2</xdr:col>
      <xdr:colOff>230980</xdr:colOff>
      <xdr:row>7</xdr:row>
      <xdr:rowOff>109538</xdr:rowOff>
    </xdr:from>
    <xdr:to>
      <xdr:col>6</xdr:col>
      <xdr:colOff>571499</xdr:colOff>
      <xdr:row>21</xdr:row>
      <xdr:rowOff>119063</xdr:rowOff>
    </xdr:to>
    <xdr:sp macro="" textlink="">
      <xdr:nvSpPr>
        <xdr:cNvPr id="20" name="Rectangle: Rounded Corners 19">
          <a:extLst>
            <a:ext uri="{FF2B5EF4-FFF2-40B4-BE49-F238E27FC236}">
              <a16:creationId xmlns:a16="http://schemas.microsoft.com/office/drawing/2014/main" id="{F1AB4641-F871-4DE3-B106-BA8AD2146C3F}"/>
            </a:ext>
          </a:extLst>
        </xdr:cNvPr>
        <xdr:cNvSpPr/>
      </xdr:nvSpPr>
      <xdr:spPr>
        <a:xfrm>
          <a:off x="1445418" y="1443038"/>
          <a:ext cx="2769394" cy="2676525"/>
        </a:xfrm>
        <a:prstGeom prst="roundRect">
          <a:avLst>
            <a:gd name="adj" fmla="val 2788"/>
          </a:avLst>
        </a:prstGeom>
        <a:solidFill>
          <a:srgbClr val="002060"/>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254792</xdr:colOff>
      <xdr:row>21</xdr:row>
      <xdr:rowOff>138113</xdr:rowOff>
    </xdr:from>
    <xdr:to>
      <xdr:col>14</xdr:col>
      <xdr:colOff>514350</xdr:colOff>
      <xdr:row>32</xdr:row>
      <xdr:rowOff>71438</xdr:rowOff>
    </xdr:to>
    <xdr:sp macro="" textlink="">
      <xdr:nvSpPr>
        <xdr:cNvPr id="21" name="Rectangle: Rounded Corners 20">
          <a:extLst>
            <a:ext uri="{FF2B5EF4-FFF2-40B4-BE49-F238E27FC236}">
              <a16:creationId xmlns:a16="http://schemas.microsoft.com/office/drawing/2014/main" id="{F8EAF3B8-10DF-4620-91F0-BDED0177EF28}"/>
            </a:ext>
          </a:extLst>
        </xdr:cNvPr>
        <xdr:cNvSpPr/>
      </xdr:nvSpPr>
      <xdr:spPr>
        <a:xfrm>
          <a:off x="1473992" y="4138613"/>
          <a:ext cx="7574758" cy="2028825"/>
        </a:xfrm>
        <a:prstGeom prst="roundRect">
          <a:avLst>
            <a:gd name="adj" fmla="val 8216"/>
          </a:avLst>
        </a:prstGeom>
        <a:solidFill>
          <a:srgbClr val="002060"/>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245270</xdr:colOff>
      <xdr:row>7</xdr:row>
      <xdr:rowOff>150019</xdr:rowOff>
    </xdr:from>
    <xdr:to>
      <xdr:col>6</xdr:col>
      <xdr:colOff>595312</xdr:colOff>
      <xdr:row>21</xdr:row>
      <xdr:rowOff>11906</xdr:rowOff>
    </xdr:to>
    <xdr:graphicFrame macro="">
      <xdr:nvGraphicFramePr>
        <xdr:cNvPr id="26" name="Chart 25">
          <a:extLst>
            <a:ext uri="{FF2B5EF4-FFF2-40B4-BE49-F238E27FC236}">
              <a16:creationId xmlns:a16="http://schemas.microsoft.com/office/drawing/2014/main" id="{05C1554A-D892-4B18-9B7D-8ED11625AF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323851</xdr:colOff>
      <xdr:row>21</xdr:row>
      <xdr:rowOff>154782</xdr:rowOff>
    </xdr:from>
    <xdr:to>
      <xdr:col>14</xdr:col>
      <xdr:colOff>419100</xdr:colOff>
      <xdr:row>32</xdr:row>
      <xdr:rowOff>23813</xdr:rowOff>
    </xdr:to>
    <xdr:graphicFrame macro="">
      <xdr:nvGraphicFramePr>
        <xdr:cNvPr id="28" name="Chart 27">
          <a:extLst>
            <a:ext uri="{FF2B5EF4-FFF2-40B4-BE49-F238E27FC236}">
              <a16:creationId xmlns:a16="http://schemas.microsoft.com/office/drawing/2014/main" id="{3079BF2F-B58E-4D86-92EF-157DE4608A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235813</xdr:colOff>
      <xdr:row>32</xdr:row>
      <xdr:rowOff>114178</xdr:rowOff>
    </xdr:from>
    <xdr:to>
      <xdr:col>14</xdr:col>
      <xdr:colOff>523875</xdr:colOff>
      <xdr:row>46</xdr:row>
      <xdr:rowOff>57150</xdr:rowOff>
    </xdr:to>
    <xdr:sp macro="" textlink="">
      <xdr:nvSpPr>
        <xdr:cNvPr id="29" name="Rectangle: Rounded Corners 28">
          <a:extLst>
            <a:ext uri="{FF2B5EF4-FFF2-40B4-BE49-F238E27FC236}">
              <a16:creationId xmlns:a16="http://schemas.microsoft.com/office/drawing/2014/main" id="{9DB56D17-B92E-439C-865E-74F0B89936DD}"/>
            </a:ext>
          </a:extLst>
        </xdr:cNvPr>
        <xdr:cNvSpPr/>
      </xdr:nvSpPr>
      <xdr:spPr>
        <a:xfrm>
          <a:off x="1455013" y="6210178"/>
          <a:ext cx="7603262" cy="2609972"/>
        </a:xfrm>
        <a:prstGeom prst="roundRect">
          <a:avLst>
            <a:gd name="adj" fmla="val 4963"/>
          </a:avLst>
        </a:prstGeom>
        <a:solidFill>
          <a:srgbClr val="002060"/>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273844</xdr:colOff>
      <xdr:row>32</xdr:row>
      <xdr:rowOff>104084</xdr:rowOff>
    </xdr:from>
    <xdr:to>
      <xdr:col>13</xdr:col>
      <xdr:colOff>392906</xdr:colOff>
      <xdr:row>46</xdr:row>
      <xdr:rowOff>142876</xdr:rowOff>
    </xdr:to>
    <xdr:graphicFrame macro="">
      <xdr:nvGraphicFramePr>
        <xdr:cNvPr id="30" name="Chart 29">
          <a:extLst>
            <a:ext uri="{FF2B5EF4-FFF2-40B4-BE49-F238E27FC236}">
              <a16:creationId xmlns:a16="http://schemas.microsoft.com/office/drawing/2014/main" id="{262666B8-6628-4222-A7CE-EDC64A1227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41237</xdr:colOff>
      <xdr:row>7</xdr:row>
      <xdr:rowOff>171449</xdr:rowOff>
    </xdr:from>
    <xdr:to>
      <xdr:col>14</xdr:col>
      <xdr:colOff>447675</xdr:colOff>
      <xdr:row>21</xdr:row>
      <xdr:rowOff>0</xdr:rowOff>
    </xdr:to>
    <xdr:sp macro="" textlink="">
      <xdr:nvSpPr>
        <xdr:cNvPr id="31" name="Rectangle: Rounded Corners 30">
          <a:extLst>
            <a:ext uri="{FF2B5EF4-FFF2-40B4-BE49-F238E27FC236}">
              <a16:creationId xmlns:a16="http://schemas.microsoft.com/office/drawing/2014/main" id="{B7B222ED-4EC0-4395-971D-6AD30B42F824}"/>
            </a:ext>
          </a:extLst>
        </xdr:cNvPr>
        <xdr:cNvSpPr/>
      </xdr:nvSpPr>
      <xdr:spPr>
        <a:xfrm>
          <a:off x="4308437" y="1504949"/>
          <a:ext cx="4673638" cy="2495551"/>
        </a:xfrm>
        <a:prstGeom prst="roundRect">
          <a:avLst>
            <a:gd name="adj" fmla="val 3962"/>
          </a:avLst>
        </a:prstGeom>
        <a:solidFill>
          <a:srgbClr val="002060"/>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27588</xdr:colOff>
      <xdr:row>7</xdr:row>
      <xdr:rowOff>166687</xdr:rowOff>
    </xdr:from>
    <xdr:to>
      <xdr:col>13</xdr:col>
      <xdr:colOff>143745</xdr:colOff>
      <xdr:row>21</xdr:row>
      <xdr:rowOff>59531</xdr:rowOff>
    </xdr:to>
    <xdr:graphicFrame macro="">
      <xdr:nvGraphicFramePr>
        <xdr:cNvPr id="34" name="Chart 33">
          <a:extLst>
            <a:ext uri="{FF2B5EF4-FFF2-40B4-BE49-F238E27FC236}">
              <a16:creationId xmlns:a16="http://schemas.microsoft.com/office/drawing/2014/main" id="{AA8F988A-15D7-4840-AF52-93EDFA53E1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85726</xdr:colOff>
      <xdr:row>5</xdr:row>
      <xdr:rowOff>57150</xdr:rowOff>
    </xdr:from>
    <xdr:to>
      <xdr:col>2</xdr:col>
      <xdr:colOff>85726</xdr:colOff>
      <xdr:row>18</xdr:row>
      <xdr:rowOff>104775</xdr:rowOff>
    </xdr:to>
    <mc:AlternateContent xmlns:mc="http://schemas.openxmlformats.org/markup-compatibility/2006">
      <mc:Choice xmlns:a14="http://schemas.microsoft.com/office/drawing/2010/main" Requires="a14">
        <xdr:graphicFrame macro="">
          <xdr:nvGraphicFramePr>
            <xdr:cNvPr id="35" name="Month">
              <a:extLst>
                <a:ext uri="{FF2B5EF4-FFF2-40B4-BE49-F238E27FC236}">
                  <a16:creationId xmlns:a16="http://schemas.microsoft.com/office/drawing/2014/main" id="{444883B5-51EB-411B-A695-8F06D4E83A9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85726" y="1009650"/>
              <a:ext cx="1214438"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23813</xdr:colOff>
      <xdr:row>33</xdr:row>
      <xdr:rowOff>157164</xdr:rowOff>
    </xdr:from>
    <xdr:to>
      <xdr:col>2</xdr:col>
      <xdr:colOff>100013</xdr:colOff>
      <xdr:row>42</xdr:row>
      <xdr:rowOff>185739</xdr:rowOff>
    </xdr:to>
    <mc:AlternateContent xmlns:mc="http://schemas.openxmlformats.org/markup-compatibility/2006">
      <mc:Choice xmlns:a14="http://schemas.microsoft.com/office/drawing/2010/main" Requires="a14">
        <xdr:graphicFrame macro="">
          <xdr:nvGraphicFramePr>
            <xdr:cNvPr id="36" name="Platform">
              <a:extLst>
                <a:ext uri="{FF2B5EF4-FFF2-40B4-BE49-F238E27FC236}">
                  <a16:creationId xmlns:a16="http://schemas.microsoft.com/office/drawing/2014/main" id="{6D8CB4E2-CD8A-4ECD-AC35-2655EF3B57FF}"/>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dr:sp macro="" textlink="">
          <xdr:nvSpPr>
            <xdr:cNvPr id="0" name=""/>
            <xdr:cNvSpPr>
              <a:spLocks noTextEdit="1"/>
            </xdr:cNvSpPr>
          </xdr:nvSpPr>
          <xdr:spPr>
            <a:xfrm>
              <a:off x="23813" y="6443664"/>
              <a:ext cx="1290638" cy="1743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35719</xdr:colOff>
      <xdr:row>19</xdr:row>
      <xdr:rowOff>92868</xdr:rowOff>
    </xdr:from>
    <xdr:to>
      <xdr:col>2</xdr:col>
      <xdr:colOff>83343</xdr:colOff>
      <xdr:row>33</xdr:row>
      <xdr:rowOff>107156</xdr:rowOff>
    </xdr:to>
    <mc:AlternateContent xmlns:mc="http://schemas.openxmlformats.org/markup-compatibility/2006">
      <mc:Choice xmlns:a14="http://schemas.microsoft.com/office/drawing/2010/main" Requires="a14">
        <xdr:graphicFrame macro="">
          <xdr:nvGraphicFramePr>
            <xdr:cNvPr id="39" name="Campaign_Name">
              <a:extLst>
                <a:ext uri="{FF2B5EF4-FFF2-40B4-BE49-F238E27FC236}">
                  <a16:creationId xmlns:a16="http://schemas.microsoft.com/office/drawing/2014/main" id="{4F9821C1-377D-4643-A535-96512DCD5BF3}"/>
                </a:ext>
              </a:extLst>
            </xdr:cNvPr>
            <xdr:cNvGraphicFramePr/>
          </xdr:nvGraphicFramePr>
          <xdr:xfrm>
            <a:off x="0" y="0"/>
            <a:ext cx="0" cy="0"/>
          </xdr:xfrm>
          <a:graphic>
            <a:graphicData uri="http://schemas.microsoft.com/office/drawing/2010/slicer">
              <sle:slicer xmlns:sle="http://schemas.microsoft.com/office/drawing/2010/slicer" name="Campaign_Name"/>
            </a:graphicData>
          </a:graphic>
        </xdr:graphicFrame>
      </mc:Choice>
      <mc:Fallback>
        <xdr:sp macro="" textlink="">
          <xdr:nvSpPr>
            <xdr:cNvPr id="0" name=""/>
            <xdr:cNvSpPr>
              <a:spLocks noTextEdit="1"/>
            </xdr:cNvSpPr>
          </xdr:nvSpPr>
          <xdr:spPr>
            <a:xfrm>
              <a:off x="35719" y="3712368"/>
              <a:ext cx="1262062" cy="26812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tience" refreshedDate="46094.505579398145" createdVersion="7" refreshedVersion="7" minRefreshableVersion="3" recordCount="2000" xr:uid="{4978DE88-23C0-4820-BEEB-CBBF6335AFE0}">
  <cacheSource type="worksheet">
    <worksheetSource name="Table1"/>
  </cacheSource>
  <cacheFields count="16">
    <cacheField name="Campaign_ID" numFmtId="0">
      <sharedItems/>
    </cacheField>
    <cacheField name="Campaign_Name" numFmtId="0">
      <sharedItems count="8">
        <s v="Holiday Deals"/>
        <s v="New Product Launch"/>
        <s v="Summer Sale"/>
        <s v="Flash Sale"/>
        <s v="Winter Promo"/>
        <s v="Retargeting Campaign"/>
        <s v="Clearance Event"/>
        <s v="Brand Awareness"/>
      </sharedItems>
    </cacheField>
    <cacheField name="Platform" numFmtId="0">
      <sharedItems count="5">
        <s v="Google Ads"/>
        <s v="Affiliate"/>
        <s v="Email Marketing"/>
        <s v="TikTok Ads"/>
        <s v="Meta Ads"/>
      </sharedItems>
    </cacheField>
    <cacheField name="Date" numFmtId="14">
      <sharedItems containsSemiMixedTypes="0" containsNonDate="0" containsDate="1" containsString="0" minDate="2024-01-01T00:00:00" maxDate="2025-03-02T00:00:00"/>
    </cacheField>
    <cacheField name="Impressions" numFmtId="0">
      <sharedItems containsSemiMixedTypes="0" containsString="0" containsNumber="1" containsInteger="1" minValue="5055" maxValue="149867"/>
    </cacheField>
    <cacheField name="Clicks" numFmtId="0">
      <sharedItems containsSemiMixedTypes="0" containsString="0" containsNumber="1" containsInteger="1" minValue="62" maxValue="11942"/>
    </cacheField>
    <cacheField name="Conversions" numFmtId="0">
      <sharedItems containsSemiMixedTypes="0" containsString="0" containsNumber="1" containsInteger="1" minValue="1" maxValue="1587"/>
    </cacheField>
    <cacheField name="Ad Spend" numFmtId="165">
      <sharedItems containsSemiMixedTypes="0" containsString="0" containsNumber="1" minValue="200.44" maxValue="4998.1099999999997"/>
    </cacheField>
    <cacheField name="Revenue" numFmtId="165">
      <sharedItems containsSemiMixedTypes="0" containsString="0" containsNumber="1" minValue="77.42" maxValue="150808.99"/>
    </cacheField>
    <cacheField name="CTR" numFmtId="10">
      <sharedItems containsSemiMixedTypes="0" containsString="0" containsNumber="1" minValue="1.0018214936247723E-2" maxValue="7.9905382795823002E-2"/>
    </cacheField>
    <cacheField name="Conversion_Rate" numFmtId="10">
      <sharedItems containsSemiMixedTypes="0" containsString="0" containsNumber="1" minValue="1.6129032258064516E-2" maxValue="0.14985649856498565"/>
    </cacheField>
    <cacheField name="CPA" numFmtId="165">
      <sharedItems containsSemiMixedTypes="0" containsString="0" containsNumber="1" minValue="0.26526806526806523" maxValue="2208.9349999999999"/>
    </cacheField>
    <cacheField name="ROAS" numFmtId="2">
      <sharedItems containsSemiMixedTypes="0" containsString="0" containsNumber="1" minValue="4.077855628284318E-2" maxValue="408.15426186291745"/>
    </cacheField>
    <cacheField name="Year" numFmtId="0">
      <sharedItems containsSemiMixedTypes="0" containsString="0" containsNumber="1" containsInteger="1" minValue="2024" maxValue="2025"/>
    </cacheField>
    <cacheField name="Month" numFmtId="0">
      <sharedItems count="12">
        <s v="Jan"/>
        <s v="Aug"/>
        <s v="Jun"/>
        <s v="Oct"/>
        <s v="Dec"/>
        <s v="Nov"/>
        <s v="Mar"/>
        <s v="Apr"/>
        <s v="May"/>
        <s v="Feb"/>
        <s v="Jul"/>
        <s v="Sept"/>
      </sharedItems>
    </cacheField>
    <cacheField name="Month_Number" numFmtId="0">
      <sharedItems containsSemiMixedTypes="0" containsString="0" containsNumber="1" containsInteger="1" minValue="1" maxValue="12"/>
    </cacheField>
  </cacheFields>
  <extLst>
    <ext xmlns:x14="http://schemas.microsoft.com/office/spreadsheetml/2009/9/main" uri="{725AE2AE-9491-48be-B2B4-4EB974FC3084}">
      <x14:pivotCacheDefinition pivotCacheId="16921060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CAMP1000"/>
    <x v="0"/>
    <x v="0"/>
    <d v="2025-01-14T00:00:00"/>
    <n v="77097"/>
    <n v="2092"/>
    <n v="79"/>
    <n v="691.98"/>
    <n v="7431.28"/>
    <n v="2.713464855960673E-2"/>
    <n v="3.7762906309751432E-2"/>
    <n v="8.7592405063291139"/>
    <n v="10.739154310818231"/>
    <n v="2025"/>
    <x v="0"/>
    <n v="1"/>
  </r>
  <r>
    <s v="CAMP1001"/>
    <x v="0"/>
    <x v="1"/>
    <d v="2024-08-04T00:00:00"/>
    <n v="13331"/>
    <n v="161"/>
    <n v="7"/>
    <n v="2625.71"/>
    <n v="158.58000000000001"/>
    <n v="1.20771134948616E-2"/>
    <n v="4.3478260869565216E-2"/>
    <n v="375.10142857142858"/>
    <n v="6.0395093136713505E-2"/>
    <n v="2024"/>
    <x v="1"/>
    <n v="8"/>
  </r>
  <r>
    <s v="CAMP1002"/>
    <x v="1"/>
    <x v="1"/>
    <d v="2024-08-02T00:00:00"/>
    <n v="62787"/>
    <n v="2602"/>
    <n v="146"/>
    <n v="4372.6400000000003"/>
    <n v="13998.59"/>
    <n v="4.1441699714909137E-2"/>
    <n v="5.6110684089162186E-2"/>
    <n v="29.949589041095894"/>
    <n v="3.2014046434190786"/>
    <n v="2024"/>
    <x v="1"/>
    <n v="8"/>
  </r>
  <r>
    <s v="CAMP1003"/>
    <x v="2"/>
    <x v="2"/>
    <d v="2024-06-23T00:00:00"/>
    <n v="77842"/>
    <n v="1625"/>
    <n v="234"/>
    <n v="1815.65"/>
    <n v="6850.25"/>
    <n v="2.0875619845327716E-2"/>
    <n v="0.14399999999999999"/>
    <n v="7.7591880341880346"/>
    <n v="3.7728912510671107"/>
    <n v="2024"/>
    <x v="2"/>
    <n v="6"/>
  </r>
  <r>
    <s v="CAMP1004"/>
    <x v="0"/>
    <x v="3"/>
    <d v="2024-06-25T00:00:00"/>
    <n v="74342"/>
    <n v="4943"/>
    <n v="567"/>
    <n v="2773.89"/>
    <n v="66515.66"/>
    <n v="6.6490005649565517E-2"/>
    <n v="0.11470766740845641"/>
    <n v="4.8922222222222222"/>
    <n v="23.979198886761914"/>
    <n v="2024"/>
    <x v="2"/>
    <n v="6"/>
  </r>
  <r>
    <s v="CAMP1005"/>
    <x v="3"/>
    <x v="0"/>
    <d v="2024-10-09T00:00:00"/>
    <n v="81854"/>
    <n v="5570"/>
    <n v="559"/>
    <n v="4336.1899999999996"/>
    <n v="43453.98"/>
    <n v="6.8047987880861041E-2"/>
    <n v="0.10035906642728905"/>
    <n v="7.7570483005366722"/>
    <n v="10.021235231851005"/>
    <n v="2024"/>
    <x v="3"/>
    <n v="10"/>
  </r>
  <r>
    <s v="CAMP1006"/>
    <x v="0"/>
    <x v="0"/>
    <d v="2024-12-04T00:00:00"/>
    <n v="64742"/>
    <n v="4150"/>
    <n v="614"/>
    <n v="4305.53"/>
    <n v="65482.1"/>
    <n v="6.4100583855920421E-2"/>
    <n v="0.14795180722891565"/>
    <n v="7.0122638436482081"/>
    <n v="15.208836078252853"/>
    <n v="2024"/>
    <x v="4"/>
    <n v="12"/>
  </r>
  <r>
    <s v="CAMP1007"/>
    <x v="3"/>
    <x v="3"/>
    <d v="2024-08-20T00:00:00"/>
    <n v="100638"/>
    <n v="2152"/>
    <n v="142"/>
    <n v="3416.84"/>
    <n v="12805.85"/>
    <n v="2.1383572805500906E-2"/>
    <n v="6.5985130111524168E-2"/>
    <n v="24.062253521126763"/>
    <n v="3.7478635230212709"/>
    <n v="2024"/>
    <x v="1"/>
    <n v="8"/>
  </r>
  <r>
    <s v="CAMP1008"/>
    <x v="0"/>
    <x v="1"/>
    <d v="2024-11-21T00:00:00"/>
    <n v="49862"/>
    <n v="2362"/>
    <n v="122"/>
    <n v="2418.85"/>
    <n v="5733.36"/>
    <n v="4.737074325137379E-2"/>
    <n v="5.1651143099068583E-2"/>
    <n v="19.826639344262293"/>
    <n v="2.3702833991359529"/>
    <n v="2024"/>
    <x v="5"/>
    <n v="11"/>
  </r>
  <r>
    <s v="CAMP1009"/>
    <x v="1"/>
    <x v="3"/>
    <d v="2025-01-28T00:00:00"/>
    <n v="19663"/>
    <n v="511"/>
    <n v="12"/>
    <n v="1714.17"/>
    <n v="561.29"/>
    <n v="2.5987896048415806E-2"/>
    <n v="2.3483365949119372E-2"/>
    <n v="142.8475"/>
    <n v="0.3274412689523209"/>
    <n v="2025"/>
    <x v="0"/>
    <n v="1"/>
  </r>
  <r>
    <s v="CAMP1010"/>
    <x v="1"/>
    <x v="1"/>
    <d v="2025-01-02T00:00:00"/>
    <n v="87490"/>
    <n v="2177"/>
    <n v="184"/>
    <n v="4446.4799999999996"/>
    <n v="15508.47"/>
    <n v="2.4882843753571835E-2"/>
    <n v="8.4519981626090951E-2"/>
    <n v="24.165652173913042"/>
    <n v="3.4878083337831276"/>
    <n v="2025"/>
    <x v="0"/>
    <n v="1"/>
  </r>
  <r>
    <s v="CAMP1011"/>
    <x v="2"/>
    <x v="3"/>
    <d v="2024-03-12T00:00:00"/>
    <n v="69651"/>
    <n v="4328"/>
    <n v="389"/>
    <n v="3785.67"/>
    <n v="24446.080000000002"/>
    <n v="6.213837561556905E-2"/>
    <n v="8.987985212569316E-2"/>
    <n v="9.7317994858611829"/>
    <n v="6.4575306352640354"/>
    <n v="2024"/>
    <x v="6"/>
    <n v="3"/>
  </r>
  <r>
    <s v="CAMP1012"/>
    <x v="3"/>
    <x v="3"/>
    <d v="2024-04-22T00:00:00"/>
    <n v="41262"/>
    <n v="1884"/>
    <n v="59"/>
    <n v="426.16"/>
    <n v="1826.93"/>
    <n v="4.5659444525229027E-2"/>
    <n v="3.1316348195329087E-2"/>
    <n v="7.2230508474576274"/>
    <n v="4.2869579500657027"/>
    <n v="2024"/>
    <x v="7"/>
    <n v="4"/>
  </r>
  <r>
    <s v="CAMP1013"/>
    <x v="2"/>
    <x v="2"/>
    <d v="2024-11-01T00:00:00"/>
    <n v="21653"/>
    <n v="799"/>
    <n v="77"/>
    <n v="2446.64"/>
    <n v="3475.89"/>
    <n v="3.6900198586800909E-2"/>
    <n v="9.6370463078848556E-2"/>
    <n v="31.774545454545454"/>
    <n v="1.4206789719778963"/>
    <n v="2024"/>
    <x v="5"/>
    <n v="11"/>
  </r>
  <r>
    <s v="CAMP1014"/>
    <x v="4"/>
    <x v="0"/>
    <d v="2024-12-15T00:00:00"/>
    <n v="145763"/>
    <n v="9119"/>
    <n v="1093"/>
    <n v="1832.84"/>
    <n v="53939.56"/>
    <n v="6.2560457729327751E-2"/>
    <n v="0.11985963373176883"/>
    <n v="1.6768892955169259"/>
    <n v="29.429497392025489"/>
    <n v="2024"/>
    <x v="4"/>
    <n v="12"/>
  </r>
  <r>
    <s v="CAMP1015"/>
    <x v="2"/>
    <x v="2"/>
    <d v="2024-01-02T00:00:00"/>
    <n v="74045"/>
    <n v="5777"/>
    <n v="687"/>
    <n v="2636.87"/>
    <n v="21050.42"/>
    <n v="7.8020122898237565E-2"/>
    <n v="0.11891985459581098"/>
    <n v="3.8382387190684133"/>
    <n v="7.983108761524079"/>
    <n v="2024"/>
    <x v="0"/>
    <n v="1"/>
  </r>
  <r>
    <s v="CAMP1016"/>
    <x v="5"/>
    <x v="1"/>
    <d v="2024-11-07T00:00:00"/>
    <n v="57143"/>
    <n v="1182"/>
    <n v="140"/>
    <n v="2789.02"/>
    <n v="13700.77"/>
    <n v="2.068494828762928E-2"/>
    <n v="0.11844331641285956"/>
    <n v="19.921571428571429"/>
    <n v="4.9123957519128583"/>
    <n v="2024"/>
    <x v="5"/>
    <n v="11"/>
  </r>
  <r>
    <s v="CAMP1017"/>
    <x v="4"/>
    <x v="1"/>
    <d v="2024-06-14T00:00:00"/>
    <n v="133085"/>
    <n v="1512"/>
    <n v="212"/>
    <n v="4417.87"/>
    <n v="21871.31"/>
    <n v="1.1361160160799489E-2"/>
    <n v="0.1402116402116402"/>
    <n v="20.839009433962264"/>
    <n v="4.9506458994945532"/>
    <n v="2024"/>
    <x v="2"/>
    <n v="6"/>
  </r>
  <r>
    <s v="CAMP1018"/>
    <x v="5"/>
    <x v="4"/>
    <d v="2024-01-30T00:00:00"/>
    <n v="68143"/>
    <n v="4869"/>
    <n v="696"/>
    <n v="611.14"/>
    <n v="47744.94"/>
    <n v="7.1452680392703583E-2"/>
    <n v="0.14294516327788045"/>
    <n v="0.87807471264367809"/>
    <n v="78.12439048335898"/>
    <n v="2024"/>
    <x v="0"/>
    <n v="1"/>
  </r>
  <r>
    <s v="CAMP1019"/>
    <x v="0"/>
    <x v="1"/>
    <d v="2025-01-27T00:00:00"/>
    <n v="37967"/>
    <n v="720"/>
    <n v="58"/>
    <n v="2839.06"/>
    <n v="2697.33"/>
    <n v="1.8963837016356309E-2"/>
    <n v="8.0555555555555561E-2"/>
    <n v="48.949310344827587"/>
    <n v="0.95007854712475259"/>
    <n v="2025"/>
    <x v="0"/>
    <n v="1"/>
  </r>
  <r>
    <s v="CAMP1020"/>
    <x v="3"/>
    <x v="4"/>
    <d v="2024-10-03T00:00:00"/>
    <n v="57730"/>
    <n v="3458"/>
    <n v="248"/>
    <n v="3424.1"/>
    <n v="14220.83"/>
    <n v="5.9899532305560367E-2"/>
    <n v="7.1717755928282251E-2"/>
    <n v="13.806854838709677"/>
    <n v="4.1531584942028559"/>
    <n v="2024"/>
    <x v="3"/>
    <n v="10"/>
  </r>
  <r>
    <s v="CAMP1021"/>
    <x v="6"/>
    <x v="0"/>
    <d v="2024-05-06T00:00:00"/>
    <n v="63903"/>
    <n v="925"/>
    <n v="21"/>
    <n v="2858.82"/>
    <n v="1655.72"/>
    <n v="1.4475063768524169E-2"/>
    <n v="2.2702702702702703E-2"/>
    <n v="136.13428571428571"/>
    <n v="0.5791620318872821"/>
    <n v="2024"/>
    <x v="8"/>
    <n v="5"/>
  </r>
  <r>
    <s v="CAMP1022"/>
    <x v="4"/>
    <x v="0"/>
    <d v="2024-12-28T00:00:00"/>
    <n v="20433"/>
    <n v="531"/>
    <n v="73"/>
    <n v="4326.25"/>
    <n v="1977.26"/>
    <n v="2.5987373366612831E-2"/>
    <n v="0.13747645951035781"/>
    <n v="59.263698630136986"/>
    <n v="0.4570378503322739"/>
    <n v="2024"/>
    <x v="4"/>
    <n v="12"/>
  </r>
  <r>
    <s v="CAMP1023"/>
    <x v="1"/>
    <x v="3"/>
    <d v="2024-12-08T00:00:00"/>
    <n v="132248"/>
    <n v="3305"/>
    <n v="122"/>
    <n v="4690.47"/>
    <n v="9406.73"/>
    <n v="2.4990926138769583E-2"/>
    <n v="3.6913767019667171E-2"/>
    <n v="38.446475409836069"/>
    <n v="2.0054983828912665"/>
    <n v="2024"/>
    <x v="4"/>
    <n v="12"/>
  </r>
  <r>
    <s v="CAMP1024"/>
    <x v="6"/>
    <x v="4"/>
    <d v="2025-02-05T00:00:00"/>
    <n v="128987"/>
    <n v="8580"/>
    <n v="383"/>
    <n v="665.27"/>
    <n v="24169.26"/>
    <n v="6.6518331304705122E-2"/>
    <n v="4.4638694638694638E-2"/>
    <n v="1.7369973890339425"/>
    <n v="36.330001352834188"/>
    <n v="2025"/>
    <x v="9"/>
    <n v="2"/>
  </r>
  <r>
    <s v="CAMP1025"/>
    <x v="3"/>
    <x v="2"/>
    <d v="2024-08-27T00:00:00"/>
    <n v="19200"/>
    <n v="1097"/>
    <n v="162"/>
    <n v="672.41"/>
    <n v="9762.4599999999991"/>
    <n v="5.7135416666666668E-2"/>
    <n v="0.14767547857793983"/>
    <n v="4.1506790123456785"/>
    <n v="14.518612156273701"/>
    <n v="2024"/>
    <x v="1"/>
    <n v="8"/>
  </r>
  <r>
    <s v="CAMP1026"/>
    <x v="7"/>
    <x v="0"/>
    <d v="2024-05-07T00:00:00"/>
    <n v="55224"/>
    <n v="1287"/>
    <n v="100"/>
    <n v="2225.0300000000002"/>
    <n v="4785.45"/>
    <n v="2.3305084745762712E-2"/>
    <n v="7.7700077700077697E-2"/>
    <n v="22.250300000000003"/>
    <n v="2.1507350462690389"/>
    <n v="2024"/>
    <x v="8"/>
    <n v="5"/>
  </r>
  <r>
    <s v="CAMP1027"/>
    <x v="1"/>
    <x v="0"/>
    <d v="2024-08-14T00:00:00"/>
    <n v="149264"/>
    <n v="2515"/>
    <n v="263"/>
    <n v="2794.82"/>
    <n v="5648.13"/>
    <n v="1.6849340765355342E-2"/>
    <n v="0.10457256461232604"/>
    <n v="10.626692015209127"/>
    <n v="2.0209280025189456"/>
    <n v="2024"/>
    <x v="1"/>
    <n v="8"/>
  </r>
  <r>
    <s v="CAMP1028"/>
    <x v="0"/>
    <x v="4"/>
    <d v="2024-03-26T00:00:00"/>
    <n v="111539"/>
    <n v="4907"/>
    <n v="234"/>
    <n v="2124.9899999999998"/>
    <n v="6052.07"/>
    <n v="4.3993580720644798E-2"/>
    <n v="4.768697778683513E-2"/>
    <n v="9.0811538461538444"/>
    <n v="2.8480463437475003"/>
    <n v="2024"/>
    <x v="6"/>
    <n v="3"/>
  </r>
  <r>
    <s v="CAMP1029"/>
    <x v="3"/>
    <x v="0"/>
    <d v="2024-07-18T00:00:00"/>
    <n v="74521"/>
    <n v="5578"/>
    <n v="680"/>
    <n v="1569.2"/>
    <n v="60968.22"/>
    <n v="7.485138417358865E-2"/>
    <n v="0.12190749372534959"/>
    <n v="2.3076470588235294"/>
    <n v="38.853058883507522"/>
    <n v="2024"/>
    <x v="10"/>
    <n v="7"/>
  </r>
  <r>
    <s v="CAMP1030"/>
    <x v="6"/>
    <x v="4"/>
    <d v="2024-04-07T00:00:00"/>
    <n v="82780"/>
    <n v="2089"/>
    <n v="57"/>
    <n v="3731.54"/>
    <n v="1487.46"/>
    <n v="2.5235564145928969E-2"/>
    <n v="2.7285782671134514E-2"/>
    <n v="65.465614035087725"/>
    <n v="0.3986182648450774"/>
    <n v="2024"/>
    <x v="7"/>
    <n v="4"/>
  </r>
  <r>
    <s v="CAMP1031"/>
    <x v="7"/>
    <x v="0"/>
    <d v="2024-01-26T00:00:00"/>
    <n v="129987"/>
    <n v="5875"/>
    <n v="768"/>
    <n v="955.68"/>
    <n v="89147.82"/>
    <n v="4.5196827375045198E-2"/>
    <n v="0.13072340425531914"/>
    <n v="1.244375"/>
    <n v="93.282081868407843"/>
    <n v="2024"/>
    <x v="0"/>
    <n v="1"/>
  </r>
  <r>
    <s v="CAMP1032"/>
    <x v="0"/>
    <x v="4"/>
    <d v="2024-02-05T00:00:00"/>
    <n v="22815"/>
    <n v="1306"/>
    <n v="66"/>
    <n v="775.46"/>
    <n v="7195.9"/>
    <n v="5.7243041858426477E-2"/>
    <n v="5.0535987748851458E-2"/>
    <n v="11.74939393939394"/>
    <n v="9.2795244113171531"/>
    <n v="2024"/>
    <x v="9"/>
    <n v="2"/>
  </r>
  <r>
    <s v="CAMP1033"/>
    <x v="1"/>
    <x v="1"/>
    <d v="2024-10-31T00:00:00"/>
    <n v="15418"/>
    <n v="822"/>
    <n v="61"/>
    <n v="3001.63"/>
    <n v="4408.97"/>
    <n v="5.3314307951744716E-2"/>
    <n v="7.4209245742092464E-2"/>
    <n v="49.207049180327871"/>
    <n v="1.4688585868344866"/>
    <n v="2024"/>
    <x v="3"/>
    <n v="10"/>
  </r>
  <r>
    <s v="CAMP1034"/>
    <x v="5"/>
    <x v="4"/>
    <d v="2024-12-08T00:00:00"/>
    <n v="87361"/>
    <n v="2333"/>
    <n v="166"/>
    <n v="3424.11"/>
    <n v="8299.9500000000007"/>
    <n v="2.6705280388273942E-2"/>
    <n v="7.1153021860265758E-2"/>
    <n v="20.627168674698797"/>
    <n v="2.4239729447944138"/>
    <n v="2024"/>
    <x v="4"/>
    <n v="12"/>
  </r>
  <r>
    <s v="CAMP1035"/>
    <x v="7"/>
    <x v="0"/>
    <d v="2024-01-05T00:00:00"/>
    <n v="125136"/>
    <n v="6692"/>
    <n v="623"/>
    <n v="679.91"/>
    <n v="45954.62"/>
    <n v="5.3477816136043986E-2"/>
    <n v="9.3096234309623424E-2"/>
    <n v="1.0913483146067415"/>
    <n v="67.589269167978117"/>
    <n v="2024"/>
    <x v="0"/>
    <n v="1"/>
  </r>
  <r>
    <s v="CAMP1036"/>
    <x v="5"/>
    <x v="4"/>
    <d v="2024-06-27T00:00:00"/>
    <n v="23033"/>
    <n v="1647"/>
    <n v="112"/>
    <n v="957.18"/>
    <n v="11577.94"/>
    <n v="7.1506099943559234E-2"/>
    <n v="6.8002428658166358E-2"/>
    <n v="8.5462499999999988"/>
    <n v="12.0958858312961"/>
    <n v="2024"/>
    <x v="2"/>
    <n v="6"/>
  </r>
  <r>
    <s v="CAMP1037"/>
    <x v="5"/>
    <x v="1"/>
    <d v="2025-02-17T00:00:00"/>
    <n v="143658"/>
    <n v="1515"/>
    <n v="191"/>
    <n v="1637.02"/>
    <n v="16490.72"/>
    <n v="1.0545879797853234E-2"/>
    <n v="0.12607260726072608"/>
    <n v="8.5707853403141367"/>
    <n v="10.073621580677084"/>
    <n v="2025"/>
    <x v="9"/>
    <n v="2"/>
  </r>
  <r>
    <s v="CAMP1038"/>
    <x v="2"/>
    <x v="3"/>
    <d v="2024-02-29T00:00:00"/>
    <n v="33058"/>
    <n v="2048"/>
    <n v="82"/>
    <n v="1552.43"/>
    <n v="3367.16"/>
    <n v="6.1951721217254521E-2"/>
    <n v="4.00390625E-2"/>
    <n v="18.932073170731709"/>
    <n v="2.1689609193329167"/>
    <n v="2024"/>
    <x v="9"/>
    <n v="2"/>
  </r>
  <r>
    <s v="CAMP1039"/>
    <x v="7"/>
    <x v="4"/>
    <d v="2024-12-17T00:00:00"/>
    <n v="74201"/>
    <n v="3367"/>
    <n v="177"/>
    <n v="4559.16"/>
    <n v="4439.1400000000003"/>
    <n v="4.5376746944111264E-2"/>
    <n v="5.2569052569052567E-2"/>
    <n v="25.757966101694915"/>
    <n v="0.97367497521473267"/>
    <n v="2024"/>
    <x v="4"/>
    <n v="12"/>
  </r>
  <r>
    <s v="CAMP1040"/>
    <x v="3"/>
    <x v="3"/>
    <d v="2024-01-23T00:00:00"/>
    <n v="5929"/>
    <n v="197"/>
    <n v="7"/>
    <n v="4903.03"/>
    <n v="253.11"/>
    <n v="3.3226513745994266E-2"/>
    <n v="3.553299492385787E-2"/>
    <n v="700.43285714285707"/>
    <n v="5.1623179951988875E-2"/>
    <n v="2024"/>
    <x v="0"/>
    <n v="1"/>
  </r>
  <r>
    <s v="CAMP1041"/>
    <x v="6"/>
    <x v="1"/>
    <d v="2024-12-27T00:00:00"/>
    <n v="117115"/>
    <n v="5769"/>
    <n v="199"/>
    <n v="4736.24"/>
    <n v="17731.29"/>
    <n v="4.9259275071510907E-2"/>
    <n v="3.4494713121858207E-2"/>
    <n v="23.800201005025123"/>
    <n v="3.7437482053274329"/>
    <n v="2024"/>
    <x v="4"/>
    <n v="12"/>
  </r>
  <r>
    <s v="CAMP1042"/>
    <x v="2"/>
    <x v="1"/>
    <d v="2024-01-19T00:00:00"/>
    <n v="101787"/>
    <n v="5168"/>
    <n v="202"/>
    <n v="811.74"/>
    <n v="10266.82"/>
    <n v="5.077269199406604E-2"/>
    <n v="3.9086687306501548E-2"/>
    <n v="4.0185148514851488"/>
    <n v="12.64791682065686"/>
    <n v="2024"/>
    <x v="0"/>
    <n v="1"/>
  </r>
  <r>
    <s v="CAMP1043"/>
    <x v="4"/>
    <x v="3"/>
    <d v="2024-04-17T00:00:00"/>
    <n v="70412"/>
    <n v="3991"/>
    <n v="263"/>
    <n v="2887.44"/>
    <n v="28264.94"/>
    <n v="5.6680679429642673E-2"/>
    <n v="6.5898271109997492E-2"/>
    <n v="10.978859315589354"/>
    <n v="9.7889272158036178"/>
    <n v="2024"/>
    <x v="7"/>
    <n v="4"/>
  </r>
  <r>
    <s v="CAMP1044"/>
    <x v="2"/>
    <x v="4"/>
    <d v="2024-03-24T00:00:00"/>
    <n v="51413"/>
    <n v="3686"/>
    <n v="85"/>
    <n v="3735.51"/>
    <n v="4523.58"/>
    <n v="7.1693929550891794E-2"/>
    <n v="2.3060227889310905E-2"/>
    <n v="43.947176470588239"/>
    <n v="1.2109671771725947"/>
    <n v="2024"/>
    <x v="6"/>
    <n v="3"/>
  </r>
  <r>
    <s v="CAMP1045"/>
    <x v="3"/>
    <x v="4"/>
    <d v="2024-05-16T00:00:00"/>
    <n v="46732"/>
    <n v="3043"/>
    <n v="103"/>
    <n v="4386.3999999999996"/>
    <n v="10903.51"/>
    <n v="6.5115980484464611E-2"/>
    <n v="3.3848176141965163E-2"/>
    <n v="42.586407766990291"/>
    <n v="2.4857536932336313"/>
    <n v="2024"/>
    <x v="8"/>
    <n v="5"/>
  </r>
  <r>
    <s v="CAMP1046"/>
    <x v="1"/>
    <x v="4"/>
    <d v="2025-02-22T00:00:00"/>
    <n v="125665"/>
    <n v="4332"/>
    <n v="548"/>
    <n v="4382.3500000000004"/>
    <n v="23176.21"/>
    <n v="3.4472605737476625E-2"/>
    <n v="0.1265004616805171"/>
    <n v="7.9969890510948911"/>
    <n v="5.2885346902917378"/>
    <n v="2025"/>
    <x v="9"/>
    <n v="2"/>
  </r>
  <r>
    <s v="CAMP1047"/>
    <x v="1"/>
    <x v="2"/>
    <d v="2024-06-17T00:00:00"/>
    <n v="78034"/>
    <n v="5501"/>
    <n v="801"/>
    <n v="1539.8"/>
    <n v="67402.69"/>
    <n v="7.0494912474049778E-2"/>
    <n v="0.1456098891110707"/>
    <n v="1.9223470661672908"/>
    <n v="43.773665411092352"/>
    <n v="2024"/>
    <x v="2"/>
    <n v="6"/>
  </r>
  <r>
    <s v="CAMP1048"/>
    <x v="3"/>
    <x v="1"/>
    <d v="2024-06-18T00:00:00"/>
    <n v="12235"/>
    <n v="221"/>
    <n v="32"/>
    <n v="1057.1300000000001"/>
    <n v="3720.11"/>
    <n v="1.8062934205149161E-2"/>
    <n v="0.14479638009049775"/>
    <n v="33.035312500000003"/>
    <n v="3.5190657724215564"/>
    <n v="2024"/>
    <x v="2"/>
    <n v="6"/>
  </r>
  <r>
    <s v="CAMP1049"/>
    <x v="5"/>
    <x v="0"/>
    <d v="2024-02-25T00:00:00"/>
    <n v="118918"/>
    <n v="4066"/>
    <n v="497"/>
    <n v="2294.69"/>
    <n v="58856.52"/>
    <n v="3.4191627844396978E-2"/>
    <n v="0.12223315297589769"/>
    <n v="4.6170824949698188"/>
    <n v="25.649007055419247"/>
    <n v="2024"/>
    <x v="9"/>
    <n v="2"/>
  </r>
  <r>
    <s v="CAMP1050"/>
    <x v="0"/>
    <x v="2"/>
    <d v="2024-10-22T00:00:00"/>
    <n v="54828"/>
    <n v="1525"/>
    <n v="171"/>
    <n v="208.12"/>
    <n v="19247.34"/>
    <n v="2.7814255489895672E-2"/>
    <n v="0.11213114754098361"/>
    <n v="1.217076023391813"/>
    <n v="92.481933499903903"/>
    <n v="2024"/>
    <x v="3"/>
    <n v="10"/>
  </r>
  <r>
    <s v="CAMP1051"/>
    <x v="1"/>
    <x v="3"/>
    <d v="2024-08-08T00:00:00"/>
    <n v="23343"/>
    <n v="1783"/>
    <n v="249"/>
    <n v="3191.15"/>
    <n v="21498.35"/>
    <n v="7.6382641477102345E-2"/>
    <n v="0.13965227145260797"/>
    <n v="12.815863453815261"/>
    <n v="6.7368660200868016"/>
    <n v="2024"/>
    <x v="1"/>
    <n v="8"/>
  </r>
  <r>
    <s v="CAMP1052"/>
    <x v="0"/>
    <x v="3"/>
    <d v="2024-09-16T00:00:00"/>
    <n v="86077"/>
    <n v="4879"/>
    <n v="304"/>
    <n v="3546.6"/>
    <n v="22934.14"/>
    <n v="5.6681808148518184E-2"/>
    <n v="6.2307849969255993E-2"/>
    <n v="11.666447368421052"/>
    <n v="6.4665144081655672"/>
    <n v="2024"/>
    <x v="11"/>
    <n v="9"/>
  </r>
  <r>
    <s v="CAMP1053"/>
    <x v="1"/>
    <x v="2"/>
    <d v="2024-12-06T00:00:00"/>
    <n v="104390"/>
    <n v="5993"/>
    <n v="823"/>
    <n v="3154.47"/>
    <n v="41228.17"/>
    <n v="5.7409713574097139E-2"/>
    <n v="0.13732688136158852"/>
    <n v="3.8328918590522476"/>
    <n v="13.069761322821266"/>
    <n v="2024"/>
    <x v="4"/>
    <n v="12"/>
  </r>
  <r>
    <s v="CAMP1054"/>
    <x v="4"/>
    <x v="3"/>
    <d v="2024-05-26T00:00:00"/>
    <n v="60098"/>
    <n v="2409"/>
    <n v="229"/>
    <n v="3342.59"/>
    <n v="15228.23"/>
    <n v="4.0084528603281308E-2"/>
    <n v="9.5060190950601905E-2"/>
    <n v="14.59646288209607"/>
    <n v="4.5558174948168935"/>
    <n v="2024"/>
    <x v="8"/>
    <n v="5"/>
  </r>
  <r>
    <s v="CAMP1055"/>
    <x v="6"/>
    <x v="4"/>
    <d v="2024-09-18T00:00:00"/>
    <n v="129042"/>
    <n v="8460"/>
    <n v="1224"/>
    <n v="3732.61"/>
    <n v="105123.33"/>
    <n v="6.5560050216208671E-2"/>
    <n v="0.14468085106382977"/>
    <n v="3.0495179738562093"/>
    <n v="28.163491497906289"/>
    <n v="2024"/>
    <x v="11"/>
    <n v="9"/>
  </r>
  <r>
    <s v="CAMP1056"/>
    <x v="5"/>
    <x v="1"/>
    <d v="2024-12-05T00:00:00"/>
    <n v="92867"/>
    <n v="1535"/>
    <n v="220"/>
    <n v="1327.37"/>
    <n v="11229.23"/>
    <n v="1.6529014612295001E-2"/>
    <n v="0.14332247557003258"/>
    <n v="6.0334999999999992"/>
    <n v="8.4597587711037612"/>
    <n v="2024"/>
    <x v="4"/>
    <n v="12"/>
  </r>
  <r>
    <s v="CAMP1057"/>
    <x v="1"/>
    <x v="4"/>
    <d v="2024-01-13T00:00:00"/>
    <n v="17114"/>
    <n v="464"/>
    <n v="37"/>
    <n v="4278.74"/>
    <n v="1009.46"/>
    <n v="2.711230571461961E-2"/>
    <n v="7.9741379310344834E-2"/>
    <n v="115.64162162162161"/>
    <n v="0.2359245946236509"/>
    <n v="2024"/>
    <x v="0"/>
    <n v="1"/>
  </r>
  <r>
    <s v="CAMP1058"/>
    <x v="3"/>
    <x v="1"/>
    <d v="2024-04-09T00:00:00"/>
    <n v="105657"/>
    <n v="4712"/>
    <n v="243"/>
    <n v="3349.08"/>
    <n v="4994.74"/>
    <n v="4.4597139801432942E-2"/>
    <n v="5.1570458404074704E-2"/>
    <n v="13.782222222222222"/>
    <n v="1.4913767362977295"/>
    <n v="2024"/>
    <x v="7"/>
    <n v="4"/>
  </r>
  <r>
    <s v="CAMP1059"/>
    <x v="0"/>
    <x v="2"/>
    <d v="2024-04-22T00:00:00"/>
    <n v="51107"/>
    <n v="3387"/>
    <n v="374"/>
    <n v="2429.84"/>
    <n v="28326.98"/>
    <n v="6.6272721936329659E-2"/>
    <n v="0.11042220253912016"/>
    <n v="6.4968983957219253"/>
    <n v="11.657961018009415"/>
    <n v="2024"/>
    <x v="7"/>
    <n v="4"/>
  </r>
  <r>
    <s v="CAMP1060"/>
    <x v="0"/>
    <x v="2"/>
    <d v="2024-03-09T00:00:00"/>
    <n v="126803"/>
    <n v="7193"/>
    <n v="1067"/>
    <n v="3058.17"/>
    <n v="122709.23"/>
    <n v="5.6725787244781278E-2"/>
    <n v="0.14833866258862782"/>
    <n v="2.8661387066541706"/>
    <n v="40.125051910129258"/>
    <n v="2024"/>
    <x v="6"/>
    <n v="3"/>
  </r>
  <r>
    <s v="CAMP1061"/>
    <x v="6"/>
    <x v="1"/>
    <d v="2025-02-21T00:00:00"/>
    <n v="137324"/>
    <n v="5475"/>
    <n v="754"/>
    <n v="2340.39"/>
    <n v="27080.51"/>
    <n v="3.9869214412629986E-2"/>
    <n v="0.13771689497716896"/>
    <n v="3.1039655172413791"/>
    <n v="11.570939031528933"/>
    <n v="2025"/>
    <x v="9"/>
    <n v="2"/>
  </r>
  <r>
    <s v="CAMP1062"/>
    <x v="6"/>
    <x v="2"/>
    <d v="2024-05-12T00:00:00"/>
    <n v="69812"/>
    <n v="4802"/>
    <n v="269"/>
    <n v="3932.84"/>
    <n v="18415.66"/>
    <n v="6.8784736148513145E-2"/>
    <n v="5.6018325697625992E-2"/>
    <n v="14.620223048327139"/>
    <n v="4.6825347585968409"/>
    <n v="2024"/>
    <x v="8"/>
    <n v="5"/>
  </r>
  <r>
    <s v="CAMP1063"/>
    <x v="1"/>
    <x v="3"/>
    <d v="2024-08-13T00:00:00"/>
    <n v="25311"/>
    <n v="1517"/>
    <n v="76"/>
    <n v="1812.07"/>
    <n v="8307"/>
    <n v="5.9934415866619253E-2"/>
    <n v="5.0098879367172049E-2"/>
    <n v="23.843026315789473"/>
    <n v="4.5842599899562382"/>
    <n v="2024"/>
    <x v="1"/>
    <n v="8"/>
  </r>
  <r>
    <s v="CAMP1064"/>
    <x v="0"/>
    <x v="4"/>
    <d v="2024-03-18T00:00:00"/>
    <n v="65623"/>
    <n v="2415"/>
    <n v="96"/>
    <n v="1226.97"/>
    <n v="5902.73"/>
    <n v="3.6801121557990341E-2"/>
    <n v="3.9751552795031057E-2"/>
    <n v="12.7809375"/>
    <n v="4.8108185204202218"/>
    <n v="2024"/>
    <x v="6"/>
    <n v="3"/>
  </r>
  <r>
    <s v="CAMP1065"/>
    <x v="7"/>
    <x v="1"/>
    <d v="2024-08-26T00:00:00"/>
    <n v="113992"/>
    <n v="1636"/>
    <n v="209"/>
    <n v="2069.4899999999998"/>
    <n v="20268.73"/>
    <n v="1.4351884342760895E-2"/>
    <n v="0.12775061124694376"/>
    <n v="9.9018660287081328"/>
    <n v="9.7940700365790612"/>
    <n v="2024"/>
    <x v="1"/>
    <n v="8"/>
  </r>
  <r>
    <s v="CAMP1066"/>
    <x v="4"/>
    <x v="1"/>
    <d v="2024-07-13T00:00:00"/>
    <n v="130037"/>
    <n v="1354"/>
    <n v="88"/>
    <n v="3816.68"/>
    <n v="9270.34"/>
    <n v="1.0412421080154111E-2"/>
    <n v="6.4992614475627764E-2"/>
    <n v="43.371363636363633"/>
    <n v="2.4289015584225035"/>
    <n v="2024"/>
    <x v="10"/>
    <n v="7"/>
  </r>
  <r>
    <s v="CAMP1067"/>
    <x v="3"/>
    <x v="1"/>
    <d v="2025-01-17T00:00:00"/>
    <n v="148165"/>
    <n v="9777"/>
    <n v="1336"/>
    <n v="2543.5"/>
    <n v="63184.160000000003"/>
    <n v="6.5987243951000571E-2"/>
    <n v="0.13664723330264908"/>
    <n v="1.903817365269461"/>
    <n v="24.841423235698841"/>
    <n v="2025"/>
    <x v="0"/>
    <n v="1"/>
  </r>
  <r>
    <s v="CAMP1068"/>
    <x v="6"/>
    <x v="0"/>
    <d v="2024-07-18T00:00:00"/>
    <n v="93114"/>
    <n v="5290"/>
    <n v="654"/>
    <n v="3676.07"/>
    <n v="68049.070000000007"/>
    <n v="5.6812079816139359E-2"/>
    <n v="0.12362948960302457"/>
    <n v="5.6209021406727828"/>
    <n v="18.511364038225604"/>
    <n v="2024"/>
    <x v="10"/>
    <n v="7"/>
  </r>
  <r>
    <s v="CAMP1069"/>
    <x v="2"/>
    <x v="1"/>
    <d v="2024-09-30T00:00:00"/>
    <n v="12069"/>
    <n v="886"/>
    <n v="85"/>
    <n v="3382.4"/>
    <n v="2413.5500000000002"/>
    <n v="7.3411218825089067E-2"/>
    <n v="9.5936794582392779E-2"/>
    <n v="39.792941176470592"/>
    <n v="0.71356137653736995"/>
    <n v="2024"/>
    <x v="11"/>
    <n v="9"/>
  </r>
  <r>
    <s v="CAMP1070"/>
    <x v="3"/>
    <x v="4"/>
    <d v="2024-08-24T00:00:00"/>
    <n v="52639"/>
    <n v="711"/>
    <n v="49"/>
    <n v="1215.97"/>
    <n v="2581.54"/>
    <n v="1.3507095499534565E-2"/>
    <n v="6.8917018284106887E-2"/>
    <n v="24.815714285714286"/>
    <n v="2.1230293510530687"/>
    <n v="2024"/>
    <x v="1"/>
    <n v="8"/>
  </r>
  <r>
    <s v="CAMP1071"/>
    <x v="3"/>
    <x v="3"/>
    <d v="2025-01-20T00:00:00"/>
    <n v="115510"/>
    <n v="3194"/>
    <n v="97"/>
    <n v="293.04000000000002"/>
    <n v="7172.36"/>
    <n v="2.7651285602978096E-2"/>
    <n v="3.0369442705072011E-2"/>
    <n v="3.0210309278350516"/>
    <n v="24.475702975702973"/>
    <n v="2025"/>
    <x v="0"/>
    <n v="1"/>
  </r>
  <r>
    <s v="CAMP1072"/>
    <x v="7"/>
    <x v="4"/>
    <d v="2024-11-28T00:00:00"/>
    <n v="22987"/>
    <n v="1486"/>
    <n v="155"/>
    <n v="3820.32"/>
    <n v="17818.98"/>
    <n v="6.4645234262844214E-2"/>
    <n v="0.10430686406460296"/>
    <n v="24.647225806451615"/>
    <n v="4.6642637265988185"/>
    <n v="2024"/>
    <x v="5"/>
    <n v="11"/>
  </r>
  <r>
    <s v="CAMP1073"/>
    <x v="1"/>
    <x v="0"/>
    <d v="2024-11-14T00:00:00"/>
    <n v="44946"/>
    <n v="1199"/>
    <n v="97"/>
    <n v="749.07"/>
    <n v="11133.24"/>
    <n v="2.6676456191874694E-2"/>
    <n v="8.0900750625521267E-2"/>
    <n v="7.7223711340206194"/>
    <n v="14.862749809764106"/>
    <n v="2024"/>
    <x v="5"/>
    <n v="11"/>
  </r>
  <r>
    <s v="CAMP1074"/>
    <x v="6"/>
    <x v="3"/>
    <d v="2025-01-27T00:00:00"/>
    <n v="101703"/>
    <n v="2211"/>
    <n v="218"/>
    <n v="3790.04"/>
    <n v="6856.82"/>
    <n v="2.1739771688150791E-2"/>
    <n v="9.8597919493441877E-2"/>
    <n v="17.385504587155964"/>
    <n v="1.8091682409684331"/>
    <n v="2025"/>
    <x v="0"/>
    <n v="1"/>
  </r>
  <r>
    <s v="CAMP1075"/>
    <x v="2"/>
    <x v="3"/>
    <d v="2024-02-25T00:00:00"/>
    <n v="11731"/>
    <n v="880"/>
    <n v="83"/>
    <n v="4558.53"/>
    <n v="4775.05"/>
    <n v="7.5014917739323159E-2"/>
    <n v="9.4318181818181815E-2"/>
    <n v="54.922048192771079"/>
    <n v="1.0474977679207991"/>
    <n v="2024"/>
    <x v="9"/>
    <n v="2"/>
  </r>
  <r>
    <s v="CAMP1076"/>
    <x v="1"/>
    <x v="0"/>
    <d v="2024-10-30T00:00:00"/>
    <n v="68661"/>
    <n v="1176"/>
    <n v="141"/>
    <n v="4281.41"/>
    <n v="11285.8"/>
    <n v="1.712762703718268E-2"/>
    <n v="0.11989795918367346"/>
    <n v="30.364609929078014"/>
    <n v="2.6360007567600392"/>
    <n v="2024"/>
    <x v="3"/>
    <n v="10"/>
  </r>
  <r>
    <s v="CAMP1077"/>
    <x v="0"/>
    <x v="1"/>
    <d v="2025-02-04T00:00:00"/>
    <n v="15766"/>
    <n v="540"/>
    <n v="40"/>
    <n v="1978.74"/>
    <n v="2823.84"/>
    <n v="3.4250919700621593E-2"/>
    <n v="7.407407407407407E-2"/>
    <n v="49.468499999999999"/>
    <n v="1.4270899663422179"/>
    <n v="2025"/>
    <x v="9"/>
    <n v="2"/>
  </r>
  <r>
    <s v="CAMP1078"/>
    <x v="7"/>
    <x v="0"/>
    <d v="2024-08-03T00:00:00"/>
    <n v="133503"/>
    <n v="2321"/>
    <n v="336"/>
    <n v="3250.81"/>
    <n v="34564.57"/>
    <n v="1.738537710763054E-2"/>
    <n v="0.14476518741921585"/>
    <n v="9.6750297619047618"/>
    <n v="10.632602336033173"/>
    <n v="2024"/>
    <x v="1"/>
    <n v="8"/>
  </r>
  <r>
    <s v="CAMP1079"/>
    <x v="2"/>
    <x v="2"/>
    <d v="2024-03-31T00:00:00"/>
    <n v="141772"/>
    <n v="10999"/>
    <n v="606"/>
    <n v="4079.36"/>
    <n v="44733.279999999999"/>
    <n v="7.7582315266766358E-2"/>
    <n v="5.5095917810710063E-2"/>
    <n v="6.731617161716172"/>
    <n v="10.965759334797614"/>
    <n v="2024"/>
    <x v="6"/>
    <n v="3"/>
  </r>
  <r>
    <s v="CAMP1080"/>
    <x v="6"/>
    <x v="2"/>
    <d v="2024-08-11T00:00:00"/>
    <n v="75358"/>
    <n v="2453"/>
    <n v="127"/>
    <n v="4686.1899999999996"/>
    <n v="6082.39"/>
    <n v="3.2551288516149579E-2"/>
    <n v="5.1773338768854461E-2"/>
    <n v="36.89913385826771"/>
    <n v="1.2979392640930054"/>
    <n v="2024"/>
    <x v="1"/>
    <n v="8"/>
  </r>
  <r>
    <s v="CAMP1081"/>
    <x v="6"/>
    <x v="4"/>
    <d v="2025-01-19T00:00:00"/>
    <n v="126820"/>
    <n v="6326"/>
    <n v="676"/>
    <n v="1814.7"/>
    <n v="46935.12"/>
    <n v="4.9881722125847655E-2"/>
    <n v="0.10686057540309832"/>
    <n v="2.6844674556213017"/>
    <n v="25.863845263679949"/>
    <n v="2025"/>
    <x v="0"/>
    <n v="1"/>
  </r>
  <r>
    <s v="CAMP1082"/>
    <x v="7"/>
    <x v="4"/>
    <d v="2024-09-06T00:00:00"/>
    <n v="60605"/>
    <n v="2111"/>
    <n v="113"/>
    <n v="1542.36"/>
    <n v="8996.5499999999993"/>
    <n v="3.4832109561917332E-2"/>
    <n v="5.3529133112269069E-2"/>
    <n v="13.649203539823008"/>
    <n v="5.8329767369485719"/>
    <n v="2024"/>
    <x v="11"/>
    <n v="9"/>
  </r>
  <r>
    <s v="CAMP1083"/>
    <x v="5"/>
    <x v="1"/>
    <d v="2024-01-06T00:00:00"/>
    <n v="140430"/>
    <n v="10723"/>
    <n v="333"/>
    <n v="3656.36"/>
    <n v="22929.64"/>
    <n v="7.6358327992594177E-2"/>
    <n v="3.1054742143056979E-2"/>
    <n v="10.98006006006006"/>
    <n v="6.2711658589416794"/>
    <n v="2024"/>
    <x v="0"/>
    <n v="1"/>
  </r>
  <r>
    <s v="CAMP1084"/>
    <x v="1"/>
    <x v="2"/>
    <d v="2024-11-26T00:00:00"/>
    <n v="133665"/>
    <n v="5530"/>
    <n v="122"/>
    <n v="1612.33"/>
    <n v="7373.69"/>
    <n v="4.1372086933752293E-2"/>
    <n v="2.2061482820976492E-2"/>
    <n v="13.215819672131147"/>
    <n v="4.5733131554954634"/>
    <n v="2024"/>
    <x v="5"/>
    <n v="11"/>
  </r>
  <r>
    <s v="CAMP1085"/>
    <x v="1"/>
    <x v="3"/>
    <d v="2024-12-05T00:00:00"/>
    <n v="101736"/>
    <n v="4387"/>
    <n v="390"/>
    <n v="2242.42"/>
    <n v="36891.480000000003"/>
    <n v="4.3121412282771096E-2"/>
    <n v="8.8899019831319814E-2"/>
    <n v="5.7497948717948724"/>
    <n v="16.451637070664731"/>
    <n v="2024"/>
    <x v="4"/>
    <n v="12"/>
  </r>
  <r>
    <s v="CAMP1086"/>
    <x v="7"/>
    <x v="3"/>
    <d v="2024-12-25T00:00:00"/>
    <n v="123946"/>
    <n v="3589"/>
    <n v="189"/>
    <n v="779.15"/>
    <n v="7419.84"/>
    <n v="2.8956158327013377E-2"/>
    <n v="5.2660908331011426E-2"/>
    <n v="4.1224867724867726"/>
    <n v="9.5229930051979732"/>
    <n v="2024"/>
    <x v="4"/>
    <n v="12"/>
  </r>
  <r>
    <s v="CAMP1087"/>
    <x v="0"/>
    <x v="1"/>
    <d v="2025-01-25T00:00:00"/>
    <n v="53535"/>
    <n v="1253"/>
    <n v="145"/>
    <n v="1527.2"/>
    <n v="11449.01"/>
    <n v="2.3405248902587092E-2"/>
    <n v="0.11572226656025539"/>
    <n v="10.532413793103448"/>
    <n v="7.4967325825039284"/>
    <n v="2025"/>
    <x v="0"/>
    <n v="1"/>
  </r>
  <r>
    <s v="CAMP1088"/>
    <x v="5"/>
    <x v="0"/>
    <d v="2024-04-09T00:00:00"/>
    <n v="82659"/>
    <n v="2142"/>
    <n v="92"/>
    <n v="267.91000000000003"/>
    <n v="6754.04"/>
    <n v="2.5913693608681451E-2"/>
    <n v="4.2950513538748833E-2"/>
    <n v="2.9120652173913046"/>
    <n v="25.210107872046581"/>
    <n v="2024"/>
    <x v="7"/>
    <n v="4"/>
  </r>
  <r>
    <s v="CAMP1089"/>
    <x v="5"/>
    <x v="0"/>
    <d v="2024-01-28T00:00:00"/>
    <n v="81581"/>
    <n v="4798"/>
    <n v="174"/>
    <n v="4368.6099999999997"/>
    <n v="12021.29"/>
    <n v="5.8812713744621908E-2"/>
    <n v="3.626511046269279E-2"/>
    <n v="25.106954022988504"/>
    <n v="2.7517425451116035"/>
    <n v="2024"/>
    <x v="0"/>
    <n v="1"/>
  </r>
  <r>
    <s v="CAMP1090"/>
    <x v="4"/>
    <x v="1"/>
    <d v="2024-05-25T00:00:00"/>
    <n v="128049"/>
    <n v="5571"/>
    <n v="358"/>
    <n v="4834.3900000000003"/>
    <n v="16198.73"/>
    <n v="4.3506782559801324E-2"/>
    <n v="6.4261353437443908E-2"/>
    <n v="13.503882681564246"/>
    <n v="3.3507288406603517"/>
    <n v="2024"/>
    <x v="8"/>
    <n v="5"/>
  </r>
  <r>
    <s v="CAMP1091"/>
    <x v="6"/>
    <x v="0"/>
    <d v="2025-02-24T00:00:00"/>
    <n v="22129"/>
    <n v="841"/>
    <n v="24"/>
    <n v="3221.34"/>
    <n v="608.66"/>
    <n v="3.8004428577884226E-2"/>
    <n v="2.8537455410225922E-2"/>
    <n v="134.2225"/>
    <n v="0.18894621492919095"/>
    <n v="2025"/>
    <x v="9"/>
    <n v="2"/>
  </r>
  <r>
    <s v="CAMP1092"/>
    <x v="2"/>
    <x v="1"/>
    <d v="2024-06-04T00:00:00"/>
    <n v="27329"/>
    <n v="2174"/>
    <n v="76"/>
    <n v="3869.33"/>
    <n v="6128.01"/>
    <n v="7.9549196823886711E-2"/>
    <n v="3.4958601655933765E-2"/>
    <n v="50.912236842105266"/>
    <n v="1.5837393037037422"/>
    <n v="2024"/>
    <x v="2"/>
    <n v="6"/>
  </r>
  <r>
    <s v="CAMP1093"/>
    <x v="1"/>
    <x v="1"/>
    <d v="2024-07-13T00:00:00"/>
    <n v="123099"/>
    <n v="9059"/>
    <n v="531"/>
    <n v="3024.92"/>
    <n v="33390.86"/>
    <n v="7.3591174583059166E-2"/>
    <n v="5.8615741251793793E-2"/>
    <n v="5.6966478342749527"/>
    <n v="11.038592756172063"/>
    <n v="2024"/>
    <x v="10"/>
    <n v="7"/>
  </r>
  <r>
    <s v="CAMP1094"/>
    <x v="4"/>
    <x v="1"/>
    <d v="2025-01-13T00:00:00"/>
    <n v="31013"/>
    <n v="2367"/>
    <n v="111"/>
    <n v="1212.92"/>
    <n v="9550.75"/>
    <n v="7.6322832360622969E-2"/>
    <n v="4.6894803548795945E-2"/>
    <n v="10.927207207207207"/>
    <n v="7.8741796656003693"/>
    <n v="2025"/>
    <x v="0"/>
    <n v="1"/>
  </r>
  <r>
    <s v="CAMP1095"/>
    <x v="2"/>
    <x v="4"/>
    <d v="2024-03-29T00:00:00"/>
    <n v="149701"/>
    <n v="2283"/>
    <n v="46"/>
    <n v="2362.42"/>
    <n v="3651.53"/>
    <n v="1.5250399128930335E-2"/>
    <n v="2.0148926850635129E-2"/>
    <n v="51.356956521739129"/>
    <n v="1.5456735042879759"/>
    <n v="2024"/>
    <x v="6"/>
    <n v="3"/>
  </r>
  <r>
    <s v="CAMP1096"/>
    <x v="5"/>
    <x v="0"/>
    <d v="2024-04-28T00:00:00"/>
    <n v="80524"/>
    <n v="4790"/>
    <n v="533"/>
    <n v="2379.35"/>
    <n v="47297.62"/>
    <n v="5.9485370821121653E-2"/>
    <n v="0.11127348643006263"/>
    <n v="4.4640712945590995"/>
    <n v="19.878378548763319"/>
    <n v="2024"/>
    <x v="7"/>
    <n v="4"/>
  </r>
  <r>
    <s v="CAMP1097"/>
    <x v="5"/>
    <x v="1"/>
    <d v="2024-12-04T00:00:00"/>
    <n v="56857"/>
    <n v="2260"/>
    <n v="205"/>
    <n v="3308.65"/>
    <n v="22722.43"/>
    <n v="3.9748843590059271E-2"/>
    <n v="9.0707964601769914E-2"/>
    <n v="16.139756097560976"/>
    <n v="6.8675834554878881"/>
    <n v="2024"/>
    <x v="4"/>
    <n v="12"/>
  </r>
  <r>
    <s v="CAMP1098"/>
    <x v="2"/>
    <x v="0"/>
    <d v="2024-01-31T00:00:00"/>
    <n v="48495"/>
    <n v="3175"/>
    <n v="309"/>
    <n v="4156.3500000000004"/>
    <n v="34644.85"/>
    <n v="6.5470667079080322E-2"/>
    <n v="9.7322834645669293E-2"/>
    <n v="13.450970873786408"/>
    <n v="8.3354024564822495"/>
    <n v="2024"/>
    <x v="0"/>
    <n v="1"/>
  </r>
  <r>
    <s v="CAMP1099"/>
    <x v="6"/>
    <x v="0"/>
    <d v="2024-08-27T00:00:00"/>
    <n v="84715"/>
    <n v="4996"/>
    <n v="712"/>
    <n v="2602.27"/>
    <n v="49398.22"/>
    <n v="5.8974207637372364E-2"/>
    <n v="0.14251401120896717"/>
    <n v="3.654873595505618"/>
    <n v="18.982741990646627"/>
    <n v="2024"/>
    <x v="1"/>
    <n v="8"/>
  </r>
  <r>
    <s v="CAMP1100"/>
    <x v="0"/>
    <x v="1"/>
    <d v="2024-01-21T00:00:00"/>
    <n v="118253"/>
    <n v="7262"/>
    <n v="715"/>
    <n v="324.14999999999998"/>
    <n v="30668.1"/>
    <n v="6.1410704168181778E-2"/>
    <n v="9.8457725144588268E-2"/>
    <n v="0.45335664335664333"/>
    <n v="94.610828320222126"/>
    <n v="2024"/>
    <x v="0"/>
    <n v="1"/>
  </r>
  <r>
    <s v="CAMP1101"/>
    <x v="4"/>
    <x v="3"/>
    <d v="2024-10-22T00:00:00"/>
    <n v="15546"/>
    <n v="985"/>
    <n v="42"/>
    <n v="2691.03"/>
    <n v="2697.36"/>
    <n v="6.3360349929242249E-2"/>
    <n v="4.2639593908629439E-2"/>
    <n v="64.072142857142865"/>
    <n v="1.0023522591721385"/>
    <n v="2024"/>
    <x v="3"/>
    <n v="10"/>
  </r>
  <r>
    <s v="CAMP1102"/>
    <x v="5"/>
    <x v="4"/>
    <d v="2024-10-26T00:00:00"/>
    <n v="119264"/>
    <n v="6492"/>
    <n v="544"/>
    <n v="637.96"/>
    <n v="29809.08"/>
    <n v="5.4433861014220555E-2"/>
    <n v="8.3795440542205793E-2"/>
    <n v="1.1727205882352942"/>
    <n v="46.725625431061509"/>
    <n v="2024"/>
    <x v="3"/>
    <n v="10"/>
  </r>
  <r>
    <s v="CAMP1103"/>
    <x v="7"/>
    <x v="3"/>
    <d v="2024-12-09T00:00:00"/>
    <n v="32420"/>
    <n v="2270"/>
    <n v="142"/>
    <n v="3529.63"/>
    <n v="6932.69"/>
    <n v="7.0018507094386187E-2"/>
    <n v="6.255506607929516E-2"/>
    <n v="24.856549295774649"/>
    <n v="1.9641407172989802"/>
    <n v="2024"/>
    <x v="4"/>
    <n v="12"/>
  </r>
  <r>
    <s v="CAMP1104"/>
    <x v="3"/>
    <x v="1"/>
    <d v="2024-01-19T00:00:00"/>
    <n v="124229"/>
    <n v="2008"/>
    <n v="106"/>
    <n v="756.42"/>
    <n v="10309.01"/>
    <n v="1.6163697687335485E-2"/>
    <n v="5.2788844621513946E-2"/>
    <n v="7.1360377358490563"/>
    <n v="13.628685122022159"/>
    <n v="2024"/>
    <x v="0"/>
    <n v="1"/>
  </r>
  <r>
    <s v="CAMP1105"/>
    <x v="4"/>
    <x v="1"/>
    <d v="2024-08-24T00:00:00"/>
    <n v="113330"/>
    <n v="1563"/>
    <n v="136"/>
    <n v="3188.64"/>
    <n v="9499.51"/>
    <n v="1.379158210535604E-2"/>
    <n v="8.7012156110044786E-2"/>
    <n v="23.445882352941176"/>
    <n v="2.9791729389332131"/>
    <n v="2024"/>
    <x v="1"/>
    <n v="8"/>
  </r>
  <r>
    <s v="CAMP1106"/>
    <x v="6"/>
    <x v="0"/>
    <d v="2024-04-14T00:00:00"/>
    <n v="75007"/>
    <n v="3633"/>
    <n v="510"/>
    <n v="2302.96"/>
    <n v="45810.75"/>
    <n v="4.8435479355260179E-2"/>
    <n v="0.14037985136251033"/>
    <n v="4.5156078431372553"/>
    <n v="19.892117101469413"/>
    <n v="2024"/>
    <x v="7"/>
    <n v="4"/>
  </r>
  <r>
    <s v="CAMP1107"/>
    <x v="0"/>
    <x v="0"/>
    <d v="2024-11-18T00:00:00"/>
    <n v="67730"/>
    <n v="4042"/>
    <n v="244"/>
    <n v="265.64"/>
    <n v="14834.97"/>
    <n v="5.9678133766425515E-2"/>
    <n v="6.0366155368629389E-2"/>
    <n v="1.0886885245901639"/>
    <n v="55.846145158861617"/>
    <n v="2024"/>
    <x v="5"/>
    <n v="11"/>
  </r>
  <r>
    <s v="CAMP1108"/>
    <x v="1"/>
    <x v="0"/>
    <d v="2024-08-24T00:00:00"/>
    <n v="35793"/>
    <n v="1980"/>
    <n v="79"/>
    <n v="4676.7299999999996"/>
    <n v="3885.71"/>
    <n v="5.5318078953985418E-2"/>
    <n v="3.9898989898989899E-2"/>
    <n v="59.199113924050629"/>
    <n v="0.8308604516403556"/>
    <n v="2024"/>
    <x v="1"/>
    <n v="8"/>
  </r>
  <r>
    <s v="CAMP1109"/>
    <x v="5"/>
    <x v="2"/>
    <d v="2024-09-04T00:00:00"/>
    <n v="128789"/>
    <n v="3485"/>
    <n v="319"/>
    <n v="2041.21"/>
    <n v="35787.589999999997"/>
    <n v="2.7059764420874453E-2"/>
    <n v="9.1535150645624105E-2"/>
    <n v="6.3987774294670849"/>
    <n v="17.532537073598501"/>
    <n v="2024"/>
    <x v="11"/>
    <n v="9"/>
  </r>
  <r>
    <s v="CAMP1110"/>
    <x v="2"/>
    <x v="0"/>
    <d v="2024-05-21T00:00:00"/>
    <n v="113774"/>
    <n v="3844"/>
    <n v="470"/>
    <n v="1482.43"/>
    <n v="9520.57"/>
    <n v="3.3786278060013712E-2"/>
    <n v="0.1222684703433923"/>
    <n v="3.1541063829787235"/>
    <n v="6.4222728897823167"/>
    <n v="2024"/>
    <x v="8"/>
    <n v="5"/>
  </r>
  <r>
    <s v="CAMP1111"/>
    <x v="5"/>
    <x v="1"/>
    <d v="2024-10-23T00:00:00"/>
    <n v="133356"/>
    <n v="9410"/>
    <n v="734"/>
    <n v="2524.84"/>
    <n v="39081.089999999997"/>
    <n v="7.0563004289270828E-2"/>
    <n v="7.8002125398512215E-2"/>
    <n v="3.4398365122615804"/>
    <n v="15.478640230668079"/>
    <n v="2024"/>
    <x v="3"/>
    <n v="10"/>
  </r>
  <r>
    <s v="CAMP1112"/>
    <x v="3"/>
    <x v="2"/>
    <d v="2024-06-13T00:00:00"/>
    <n v="54454"/>
    <n v="4283"/>
    <n v="218"/>
    <n v="2038.26"/>
    <n v="23021.08"/>
    <n v="7.8653542439490215E-2"/>
    <n v="5.0898902638337615E-2"/>
    <n v="9.3498165137614677"/>
    <n v="11.294476661466154"/>
    <n v="2024"/>
    <x v="2"/>
    <n v="6"/>
  </r>
  <r>
    <s v="CAMP1113"/>
    <x v="3"/>
    <x v="0"/>
    <d v="2024-06-11T00:00:00"/>
    <n v="128987"/>
    <n v="7657"/>
    <n v="960"/>
    <n v="2053.1799999999998"/>
    <n v="82914.13"/>
    <n v="5.936257142192624E-2"/>
    <n v="0.12537547342301161"/>
    <n v="2.1387291666666663"/>
    <n v="40.383273750961926"/>
    <n v="2024"/>
    <x v="2"/>
    <n v="6"/>
  </r>
  <r>
    <s v="CAMP1114"/>
    <x v="2"/>
    <x v="2"/>
    <d v="2024-01-19T00:00:00"/>
    <n v="38094"/>
    <n v="1720"/>
    <n v="166"/>
    <n v="4374.5600000000004"/>
    <n v="17831.560000000001"/>
    <n v="4.5151467422691237E-2"/>
    <n v="9.6511627906976746E-2"/>
    <n v="26.352771084337352"/>
    <n v="4.0761950916206429"/>
    <n v="2024"/>
    <x v="0"/>
    <n v="1"/>
  </r>
  <r>
    <s v="CAMP1115"/>
    <x v="6"/>
    <x v="0"/>
    <d v="2024-09-26T00:00:00"/>
    <n v="124780"/>
    <n v="1381"/>
    <n v="53"/>
    <n v="4380.4799999999996"/>
    <n v="6200.77"/>
    <n v="1.1067478762622216E-2"/>
    <n v="3.8377986965966691E-2"/>
    <n v="82.650566037735842"/>
    <n v="1.4155457849368107"/>
    <n v="2024"/>
    <x v="11"/>
    <n v="9"/>
  </r>
  <r>
    <s v="CAMP1116"/>
    <x v="0"/>
    <x v="2"/>
    <d v="2025-02-04T00:00:00"/>
    <n v="74474"/>
    <n v="2509"/>
    <n v="276"/>
    <n v="3319.22"/>
    <n v="29028.720000000001"/>
    <n v="3.3689609796707577E-2"/>
    <n v="0.11000398565165405"/>
    <n v="12.026159420289854"/>
    <n v="8.7456450611890748"/>
    <n v="2025"/>
    <x v="9"/>
    <n v="2"/>
  </r>
  <r>
    <s v="CAMP1117"/>
    <x v="3"/>
    <x v="3"/>
    <d v="2024-11-16T00:00:00"/>
    <n v="132912"/>
    <n v="9445"/>
    <n v="232"/>
    <n v="528.41999999999996"/>
    <n v="19282.939999999999"/>
    <n v="7.1062056097267359E-2"/>
    <n v="2.456326098464796E-2"/>
    <n v="2.2776724137931033"/>
    <n v="36.491692214526324"/>
    <n v="2024"/>
    <x v="5"/>
    <n v="11"/>
  </r>
  <r>
    <s v="CAMP1118"/>
    <x v="5"/>
    <x v="4"/>
    <d v="2025-01-17T00:00:00"/>
    <n v="28692"/>
    <n v="1158"/>
    <n v="37"/>
    <n v="3241.99"/>
    <n v="3968.54"/>
    <n v="4.035968214136345E-2"/>
    <n v="3.1951640759930913E-2"/>
    <n v="87.62135135135135"/>
    <n v="1.2241061816970442"/>
    <n v="2025"/>
    <x v="0"/>
    <n v="1"/>
  </r>
  <r>
    <s v="CAMP1119"/>
    <x v="6"/>
    <x v="4"/>
    <d v="2024-12-21T00:00:00"/>
    <n v="83503"/>
    <n v="6115"/>
    <n v="158"/>
    <n v="4021.49"/>
    <n v="7795.21"/>
    <n v="7.323090188376466E-2"/>
    <n v="2.5838103025347506E-2"/>
    <n v="25.45246835443038"/>
    <n v="1.9383885077421554"/>
    <n v="2024"/>
    <x v="4"/>
    <n v="12"/>
  </r>
  <r>
    <s v="CAMP1120"/>
    <x v="7"/>
    <x v="2"/>
    <d v="2024-03-15T00:00:00"/>
    <n v="69014"/>
    <n v="3256"/>
    <n v="304"/>
    <n v="4004.09"/>
    <n v="11247.5"/>
    <n v="4.7178833280204016E-2"/>
    <n v="9.3366093366093361E-2"/>
    <n v="13.171348684210527"/>
    <n v="2.809002794642478"/>
    <n v="2024"/>
    <x v="6"/>
    <n v="3"/>
  </r>
  <r>
    <s v="CAMP1121"/>
    <x v="0"/>
    <x v="1"/>
    <d v="2024-07-14T00:00:00"/>
    <n v="68132"/>
    <n v="3054"/>
    <n v="292"/>
    <n v="1314.5"/>
    <n v="24466.82"/>
    <n v="4.4824751952092998E-2"/>
    <n v="9.5612311722331367E-2"/>
    <n v="4.5017123287671232"/>
    <n v="18.613023963484213"/>
    <n v="2024"/>
    <x v="10"/>
    <n v="7"/>
  </r>
  <r>
    <s v="CAMP1122"/>
    <x v="6"/>
    <x v="3"/>
    <d v="2024-12-07T00:00:00"/>
    <n v="7463"/>
    <n v="544"/>
    <n v="43"/>
    <n v="1580.63"/>
    <n v="3210.37"/>
    <n v="7.289293849658314E-2"/>
    <n v="7.904411764705882E-2"/>
    <n v="36.758837209302328"/>
    <n v="2.0310698898540451"/>
    <n v="2024"/>
    <x v="4"/>
    <n v="12"/>
  </r>
  <r>
    <s v="CAMP1123"/>
    <x v="0"/>
    <x v="2"/>
    <d v="2024-06-25T00:00:00"/>
    <n v="83421"/>
    <n v="4565"/>
    <n v="343"/>
    <n v="1400.47"/>
    <n v="35853.919999999998"/>
    <n v="5.4722432001534385E-2"/>
    <n v="7.5136911281489596E-2"/>
    <n v="4.0830029154518952"/>
    <n v="25.601348118845813"/>
    <n v="2024"/>
    <x v="2"/>
    <n v="6"/>
  </r>
  <r>
    <s v="CAMP1124"/>
    <x v="1"/>
    <x v="2"/>
    <d v="2024-09-04T00:00:00"/>
    <n v="32958"/>
    <n v="876"/>
    <n v="82"/>
    <n v="2959.1"/>
    <n v="9780.07"/>
    <n v="2.6579282723466231E-2"/>
    <n v="9.3607305936073054E-2"/>
    <n v="36.086585365853658"/>
    <n v="3.3050826264742659"/>
    <n v="2024"/>
    <x v="11"/>
    <n v="9"/>
  </r>
  <r>
    <s v="CAMP1125"/>
    <x v="5"/>
    <x v="0"/>
    <d v="2025-02-28T00:00:00"/>
    <n v="108758"/>
    <n v="3177"/>
    <n v="297"/>
    <n v="3491.84"/>
    <n v="28056.66"/>
    <n v="2.9211644200886372E-2"/>
    <n v="9.3484419263456089E-2"/>
    <n v="11.757037037037037"/>
    <n v="8.0349214167888565"/>
    <n v="2025"/>
    <x v="9"/>
    <n v="2"/>
  </r>
  <r>
    <s v="CAMP1126"/>
    <x v="4"/>
    <x v="1"/>
    <d v="2025-01-16T00:00:00"/>
    <n v="135214"/>
    <n v="9234"/>
    <n v="1268"/>
    <n v="3923.56"/>
    <n v="54539.01"/>
    <n v="6.8291744937654386E-2"/>
    <n v="0.13731860515486247"/>
    <n v="3.0942902208201892"/>
    <n v="13.900388932500077"/>
    <n v="2025"/>
    <x v="0"/>
    <n v="1"/>
  </r>
  <r>
    <s v="CAMP1127"/>
    <x v="7"/>
    <x v="4"/>
    <d v="2024-11-21T00:00:00"/>
    <n v="54841"/>
    <n v="2931"/>
    <n v="316"/>
    <n v="3660.46"/>
    <n v="27150.14"/>
    <n v="5.3445414926788351E-2"/>
    <n v="0.10781303309450699"/>
    <n v="11.58373417721519"/>
    <n v="7.4171388295460128"/>
    <n v="2024"/>
    <x v="5"/>
    <n v="11"/>
  </r>
  <r>
    <s v="CAMP1128"/>
    <x v="2"/>
    <x v="0"/>
    <d v="2024-11-17T00:00:00"/>
    <n v="15334"/>
    <n v="484"/>
    <n v="37"/>
    <n v="2981.95"/>
    <n v="3449.73"/>
    <n v="3.1563845050215207E-2"/>
    <n v="7.6446280991735532E-2"/>
    <n v="80.593243243243236"/>
    <n v="1.1568705042002718"/>
    <n v="2024"/>
    <x v="5"/>
    <n v="11"/>
  </r>
  <r>
    <s v="CAMP1129"/>
    <x v="0"/>
    <x v="3"/>
    <d v="2024-06-16T00:00:00"/>
    <n v="113921"/>
    <n v="2539"/>
    <n v="94"/>
    <n v="2789.16"/>
    <n v="11012"/>
    <n v="2.2287374584141643E-2"/>
    <n v="3.7022449783379284E-2"/>
    <n v="29.671914893617021"/>
    <n v="3.9481420929598876"/>
    <n v="2024"/>
    <x v="2"/>
    <n v="6"/>
  </r>
  <r>
    <s v="CAMP1130"/>
    <x v="5"/>
    <x v="4"/>
    <d v="2024-05-11T00:00:00"/>
    <n v="131313"/>
    <n v="10205"/>
    <n v="595"/>
    <n v="4377.91"/>
    <n v="59751.839999999997"/>
    <n v="7.7715077715077713E-2"/>
    <n v="5.8304752572268498E-2"/>
    <n v="7.3578319327731094"/>
    <n v="13.648485236105813"/>
    <n v="2024"/>
    <x v="8"/>
    <n v="5"/>
  </r>
  <r>
    <s v="CAMP1131"/>
    <x v="6"/>
    <x v="0"/>
    <d v="2024-03-13T00:00:00"/>
    <n v="64143"/>
    <n v="4503"/>
    <n v="514"/>
    <n v="4903.72"/>
    <n v="59997.67"/>
    <n v="7.0202516252747774E-2"/>
    <n v="0.1141461248056851"/>
    <n v="9.5403112840466928"/>
    <n v="12.235133735205109"/>
    <n v="2024"/>
    <x v="6"/>
    <n v="3"/>
  </r>
  <r>
    <s v="CAMP1132"/>
    <x v="7"/>
    <x v="0"/>
    <d v="2025-02-08T00:00:00"/>
    <n v="108435"/>
    <n v="1189"/>
    <n v="106"/>
    <n v="2382.9699999999998"/>
    <n v="9251.98"/>
    <n v="1.0965094296122101E-2"/>
    <n v="8.9150546677880568E-2"/>
    <n v="22.480849056603773"/>
    <n v="3.8825415343038312"/>
    <n v="2025"/>
    <x v="9"/>
    <n v="2"/>
  </r>
  <r>
    <s v="CAMP1133"/>
    <x v="5"/>
    <x v="1"/>
    <d v="2024-07-14T00:00:00"/>
    <n v="102379"/>
    <n v="1800"/>
    <n v="90"/>
    <n v="320.12"/>
    <n v="9758.11"/>
    <n v="1.7581730628351517E-2"/>
    <n v="0.05"/>
    <n v="3.556888888888889"/>
    <n v="30.482662751468201"/>
    <n v="2024"/>
    <x v="10"/>
    <n v="7"/>
  </r>
  <r>
    <s v="CAMP1134"/>
    <x v="7"/>
    <x v="1"/>
    <d v="2024-04-23T00:00:00"/>
    <n v="21571"/>
    <n v="1175"/>
    <n v="94"/>
    <n v="3565.17"/>
    <n v="7982.85"/>
    <n v="5.4471280886375227E-2"/>
    <n v="0.08"/>
    <n v="37.927340425531916"/>
    <n v="2.2391218371073469"/>
    <n v="2024"/>
    <x v="7"/>
    <n v="4"/>
  </r>
  <r>
    <s v="CAMP1135"/>
    <x v="0"/>
    <x v="4"/>
    <d v="2024-01-24T00:00:00"/>
    <n v="14754"/>
    <n v="461"/>
    <n v="38"/>
    <n v="666.52"/>
    <n v="4131.59"/>
    <n v="3.1245763860647958E-2"/>
    <n v="8.2429501084598705E-2"/>
    <n v="17.54"/>
    <n v="6.1987487247194384"/>
    <n v="2024"/>
    <x v="0"/>
    <n v="1"/>
  </r>
  <r>
    <s v="CAMP1136"/>
    <x v="2"/>
    <x v="2"/>
    <d v="2024-08-20T00:00:00"/>
    <n v="102258"/>
    <n v="5821"/>
    <n v="678"/>
    <n v="4740.68"/>
    <n v="41976.79"/>
    <n v="5.6924641592833815E-2"/>
    <n v="0.11647483250300636"/>
    <n v="6.9921533923303842"/>
    <n v="8.8545925900925599"/>
    <n v="2024"/>
    <x v="1"/>
    <n v="8"/>
  </r>
  <r>
    <s v="CAMP1137"/>
    <x v="2"/>
    <x v="2"/>
    <d v="2024-12-01T00:00:00"/>
    <n v="30957"/>
    <n v="2116"/>
    <n v="211"/>
    <n v="4707.45"/>
    <n v="10122.52"/>
    <n v="6.8352876570727139E-2"/>
    <n v="9.97164461247637E-2"/>
    <n v="22.310189573459716"/>
    <n v="2.1503191749248534"/>
    <n v="2024"/>
    <x v="4"/>
    <n v="12"/>
  </r>
  <r>
    <s v="CAMP1138"/>
    <x v="7"/>
    <x v="4"/>
    <d v="2024-08-15T00:00:00"/>
    <n v="121574"/>
    <n v="9305"/>
    <n v="1220"/>
    <n v="676.9"/>
    <n v="108052.99"/>
    <n v="7.6537746557652123E-2"/>
    <n v="0.13111230521225148"/>
    <n v="0.55483606557377052"/>
    <n v="159.62917713103857"/>
    <n v="2024"/>
    <x v="1"/>
    <n v="8"/>
  </r>
  <r>
    <s v="CAMP1139"/>
    <x v="7"/>
    <x v="0"/>
    <d v="2024-07-22T00:00:00"/>
    <n v="77320"/>
    <n v="1800"/>
    <n v="64"/>
    <n v="4270.5600000000004"/>
    <n v="4190.1899999999996"/>
    <n v="2.3279875840662184E-2"/>
    <n v="3.5555555555555556E-2"/>
    <n v="66.727500000000006"/>
    <n v="0.98118045408564669"/>
    <n v="2024"/>
    <x v="10"/>
    <n v="7"/>
  </r>
  <r>
    <s v="CAMP1140"/>
    <x v="1"/>
    <x v="1"/>
    <d v="2024-01-11T00:00:00"/>
    <n v="18258"/>
    <n v="1188"/>
    <n v="61"/>
    <n v="804.43"/>
    <n v="4663.93"/>
    <n v="6.5067367729214592E-2"/>
    <n v="5.1346801346801349E-2"/>
    <n v="13.187377049180327"/>
    <n v="5.7978071429459375"/>
    <n v="2024"/>
    <x v="0"/>
    <n v="1"/>
  </r>
  <r>
    <s v="CAMP1141"/>
    <x v="0"/>
    <x v="1"/>
    <d v="2024-04-16T00:00:00"/>
    <n v="61610"/>
    <n v="4122"/>
    <n v="207"/>
    <n v="3916.97"/>
    <n v="20464.93"/>
    <n v="6.6904723259211166E-2"/>
    <n v="5.0218340611353711E-2"/>
    <n v="18.922560386473428"/>
    <n v="5.2246838755466598"/>
    <n v="2024"/>
    <x v="7"/>
    <n v="4"/>
  </r>
  <r>
    <s v="CAMP1142"/>
    <x v="4"/>
    <x v="3"/>
    <d v="2024-03-15T00:00:00"/>
    <n v="39076"/>
    <n v="1868"/>
    <n v="231"/>
    <n v="727.65"/>
    <n v="24634.95"/>
    <n v="4.7804278841232471E-2"/>
    <n v="0.12366167023554604"/>
    <n v="3.15"/>
    <n v="33.855493712636573"/>
    <n v="2024"/>
    <x v="6"/>
    <n v="3"/>
  </r>
  <r>
    <s v="CAMP1143"/>
    <x v="2"/>
    <x v="0"/>
    <d v="2024-07-02T00:00:00"/>
    <n v="67372"/>
    <n v="3450"/>
    <n v="76"/>
    <n v="1473.76"/>
    <n v="2483.36"/>
    <n v="5.1208217063468502E-2"/>
    <n v="2.2028985507246378E-2"/>
    <n v="19.391578947368419"/>
    <n v="1.6850504831180111"/>
    <n v="2024"/>
    <x v="10"/>
    <n v="7"/>
  </r>
  <r>
    <s v="CAMP1144"/>
    <x v="3"/>
    <x v="1"/>
    <d v="2024-02-28T00:00:00"/>
    <n v="21661"/>
    <n v="938"/>
    <n v="113"/>
    <n v="2663.54"/>
    <n v="3492.31"/>
    <n v="4.3303633257928999E-2"/>
    <n v="0.12046908315565032"/>
    <n v="23.571150442477876"/>
    <n v="1.3111535775697005"/>
    <n v="2024"/>
    <x v="9"/>
    <n v="2"/>
  </r>
  <r>
    <s v="CAMP1145"/>
    <x v="1"/>
    <x v="1"/>
    <d v="2024-01-23T00:00:00"/>
    <n v="141695"/>
    <n v="4408"/>
    <n v="456"/>
    <n v="349.52"/>
    <n v="54655.56"/>
    <n v="3.1109072303186422E-2"/>
    <n v="0.10344827586206896"/>
    <n v="0.76649122807017545"/>
    <n v="156.37319752803845"/>
    <n v="2024"/>
    <x v="0"/>
    <n v="1"/>
  </r>
  <r>
    <s v="CAMP1146"/>
    <x v="3"/>
    <x v="2"/>
    <d v="2024-12-17T00:00:00"/>
    <n v="33301"/>
    <n v="1475"/>
    <n v="203"/>
    <n v="552.76"/>
    <n v="5700.05"/>
    <n v="4.4292964175249992E-2"/>
    <n v="0.13762711864406779"/>
    <n v="2.7229556650246307"/>
    <n v="10.3119798827701"/>
    <n v="2024"/>
    <x v="4"/>
    <n v="12"/>
  </r>
  <r>
    <s v="CAMP1147"/>
    <x v="2"/>
    <x v="0"/>
    <d v="2024-03-05T00:00:00"/>
    <n v="77093"/>
    <n v="4140"/>
    <n v="397"/>
    <n v="3618.33"/>
    <n v="23061.9"/>
    <n v="5.3701373665572746E-2"/>
    <n v="9.5893719806763283E-2"/>
    <n v="9.1141813602015116"/>
    <n v="6.3736309291855644"/>
    <n v="2024"/>
    <x v="6"/>
    <n v="3"/>
  </r>
  <r>
    <s v="CAMP1148"/>
    <x v="5"/>
    <x v="2"/>
    <d v="2024-09-15T00:00:00"/>
    <n v="117774"/>
    <n v="1995"/>
    <n v="221"/>
    <n v="4293.41"/>
    <n v="18805.259999999998"/>
    <n v="1.6939222578837433E-2"/>
    <n v="0.11077694235588972"/>
    <n v="19.427194570135747"/>
    <n v="4.3800289280548563"/>
    <n v="2024"/>
    <x v="11"/>
    <n v="9"/>
  </r>
  <r>
    <s v="CAMP1149"/>
    <x v="1"/>
    <x v="2"/>
    <d v="2024-08-19T00:00:00"/>
    <n v="64898"/>
    <n v="2528"/>
    <n v="322"/>
    <n v="2113.9"/>
    <n v="29933.52"/>
    <n v="3.895343462048137E-2"/>
    <n v="0.127373417721519"/>
    <n v="6.5649068322981368"/>
    <n v="14.16032924925493"/>
    <n v="2024"/>
    <x v="1"/>
    <n v="8"/>
  </r>
  <r>
    <s v="CAMP1150"/>
    <x v="7"/>
    <x v="2"/>
    <d v="2024-06-09T00:00:00"/>
    <n v="71817"/>
    <n v="2599"/>
    <n v="103"/>
    <n v="4630.33"/>
    <n v="2751.47"/>
    <n v="3.6189203113468953E-2"/>
    <n v="3.9630627164293962E-2"/>
    <n v="44.954660194174757"/>
    <n v="0.59422762524485295"/>
    <n v="2024"/>
    <x v="2"/>
    <n v="6"/>
  </r>
  <r>
    <s v="CAMP1151"/>
    <x v="0"/>
    <x v="0"/>
    <d v="2024-08-09T00:00:00"/>
    <n v="30313"/>
    <n v="1883"/>
    <n v="128"/>
    <n v="824.55"/>
    <n v="3327.76"/>
    <n v="6.2118562992775378E-2"/>
    <n v="6.7976633032395109E-2"/>
    <n v="6.4417968749999996"/>
    <n v="4.0358498574980297"/>
    <n v="2024"/>
    <x v="1"/>
    <n v="8"/>
  </r>
  <r>
    <s v="CAMP1152"/>
    <x v="7"/>
    <x v="0"/>
    <d v="2024-07-29T00:00:00"/>
    <n v="97693"/>
    <n v="6951"/>
    <n v="989"/>
    <n v="2230.1"/>
    <n v="110356.94"/>
    <n v="7.1151464280961793E-2"/>
    <n v="0.14228168608833261"/>
    <n v="2.2549039433771485"/>
    <n v="49.485197973185059"/>
    <n v="2024"/>
    <x v="10"/>
    <n v="7"/>
  </r>
  <r>
    <s v="CAMP1153"/>
    <x v="4"/>
    <x v="3"/>
    <d v="2024-11-03T00:00:00"/>
    <n v="86906"/>
    <n v="3008"/>
    <n v="286"/>
    <n v="1221.1500000000001"/>
    <n v="24502.66"/>
    <n v="3.4612109635698343E-2"/>
    <n v="9.5079787234042548E-2"/>
    <n v="4.2697552447552454"/>
    <n v="20.065233591286901"/>
    <n v="2024"/>
    <x v="5"/>
    <n v="11"/>
  </r>
  <r>
    <s v="CAMP1154"/>
    <x v="1"/>
    <x v="0"/>
    <d v="2024-06-28T00:00:00"/>
    <n v="101353"/>
    <n v="1828"/>
    <n v="102"/>
    <n v="1285.56"/>
    <n v="6416.95"/>
    <n v="1.8035973281501288E-2"/>
    <n v="5.5798687089715533E-2"/>
    <n v="12.603529411764706"/>
    <n v="4.9915600983229096"/>
    <n v="2024"/>
    <x v="2"/>
    <n v="6"/>
  </r>
  <r>
    <s v="CAMP1155"/>
    <x v="4"/>
    <x v="1"/>
    <d v="2024-12-02T00:00:00"/>
    <n v="75109"/>
    <n v="903"/>
    <n v="50"/>
    <n v="3859.57"/>
    <n v="5607.69"/>
    <n v="1.2022527260381579E-2"/>
    <n v="5.537098560354374E-2"/>
    <n v="77.191400000000002"/>
    <n v="1.4529312850913443"/>
    <n v="2024"/>
    <x v="4"/>
    <n v="12"/>
  </r>
  <r>
    <s v="CAMP1156"/>
    <x v="7"/>
    <x v="0"/>
    <d v="2024-04-02T00:00:00"/>
    <n v="42552"/>
    <n v="2112"/>
    <n v="152"/>
    <n v="881"/>
    <n v="12664.21"/>
    <n v="4.9633389734912575E-2"/>
    <n v="7.1969696969696975E-2"/>
    <n v="5.7960526315789478"/>
    <n v="14.374812712826333"/>
    <n v="2024"/>
    <x v="7"/>
    <n v="4"/>
  </r>
  <r>
    <s v="CAMP1157"/>
    <x v="4"/>
    <x v="0"/>
    <d v="2025-01-17T00:00:00"/>
    <n v="144062"/>
    <n v="3610"/>
    <n v="269"/>
    <n v="1836.3"/>
    <n v="15334.43"/>
    <n v="2.5058655301189767E-2"/>
    <n v="7.4515235457063705E-2"/>
    <n v="6.8263940520446091"/>
    <n v="8.3507215596580089"/>
    <n v="2025"/>
    <x v="0"/>
    <n v="1"/>
  </r>
  <r>
    <s v="CAMP1158"/>
    <x v="7"/>
    <x v="1"/>
    <d v="2024-11-01T00:00:00"/>
    <n v="27270"/>
    <n v="1958"/>
    <n v="78"/>
    <n v="3821.29"/>
    <n v="1948.15"/>
    <n v="7.1800513384671805E-2"/>
    <n v="3.9836567926455568E-2"/>
    <n v="48.990897435897438"/>
    <n v="0.50981474842265306"/>
    <n v="2024"/>
    <x v="5"/>
    <n v="11"/>
  </r>
  <r>
    <s v="CAMP1159"/>
    <x v="0"/>
    <x v="3"/>
    <d v="2024-08-14T00:00:00"/>
    <n v="116152"/>
    <n v="5110"/>
    <n v="395"/>
    <n v="1511.2"/>
    <n v="37720.25"/>
    <n v="4.3994076727047318E-2"/>
    <n v="7.7299412915851268E-2"/>
    <n v="3.8258227848101267"/>
    <n v="24.960461884595023"/>
    <n v="2024"/>
    <x v="1"/>
    <n v="8"/>
  </r>
  <r>
    <s v="CAMP1160"/>
    <x v="0"/>
    <x v="3"/>
    <d v="2024-08-08T00:00:00"/>
    <n v="34069"/>
    <n v="1016"/>
    <n v="109"/>
    <n v="2535.84"/>
    <n v="9451.74"/>
    <n v="2.9821832164137484E-2"/>
    <n v="0.10728346456692914"/>
    <n v="23.264587155963305"/>
    <n v="3.7272619723641869"/>
    <n v="2024"/>
    <x v="1"/>
    <n v="8"/>
  </r>
  <r>
    <s v="CAMP1161"/>
    <x v="4"/>
    <x v="4"/>
    <d v="2024-07-21T00:00:00"/>
    <n v="19360"/>
    <n v="204"/>
    <n v="12"/>
    <n v="1213.92"/>
    <n v="404.68"/>
    <n v="1.0537190082644627E-2"/>
    <n v="5.8823529411764705E-2"/>
    <n v="101.16000000000001"/>
    <n v="0.3333662844339001"/>
    <n v="2024"/>
    <x v="10"/>
    <n v="7"/>
  </r>
  <r>
    <s v="CAMP1162"/>
    <x v="5"/>
    <x v="3"/>
    <d v="2024-06-16T00:00:00"/>
    <n v="36453"/>
    <n v="384"/>
    <n v="44"/>
    <n v="1043.3399999999999"/>
    <n v="2552.91"/>
    <n v="1.0534112418730968E-2"/>
    <n v="0.11458333333333333"/>
    <n v="23.712272727272726"/>
    <n v="2.4468629593421127"/>
    <n v="2024"/>
    <x v="2"/>
    <n v="6"/>
  </r>
  <r>
    <s v="CAMP1163"/>
    <x v="1"/>
    <x v="1"/>
    <d v="2024-10-13T00:00:00"/>
    <n v="97842"/>
    <n v="1472"/>
    <n v="194"/>
    <n v="403.05"/>
    <n v="4243.59"/>
    <n v="1.5044663845792195E-2"/>
    <n v="0.13179347826086957"/>
    <n v="2.077577319587629"/>
    <n v="10.528693710457759"/>
    <n v="2024"/>
    <x v="3"/>
    <n v="10"/>
  </r>
  <r>
    <s v="CAMP1164"/>
    <x v="0"/>
    <x v="3"/>
    <d v="2024-10-21T00:00:00"/>
    <n v="117534"/>
    <n v="5892"/>
    <n v="661"/>
    <n v="2204.9299999999998"/>
    <n v="20832.96"/>
    <n v="5.013017509826944E-2"/>
    <n v="0.11218601493550577"/>
    <n v="3.3357488653555216"/>
    <n v="9.44835436952647"/>
    <n v="2024"/>
    <x v="3"/>
    <n v="10"/>
  </r>
  <r>
    <s v="CAMP1165"/>
    <x v="4"/>
    <x v="3"/>
    <d v="2024-03-28T00:00:00"/>
    <n v="125611"/>
    <n v="8571"/>
    <n v="1196"/>
    <n v="623.02"/>
    <n v="124920.33"/>
    <n v="6.8234469911074666E-2"/>
    <n v="0.13954031034885078"/>
    <n v="0.52091973244147161"/>
    <n v="200.50773650926135"/>
    <n v="2024"/>
    <x v="6"/>
    <n v="3"/>
  </r>
  <r>
    <s v="CAMP1166"/>
    <x v="1"/>
    <x v="2"/>
    <d v="2024-10-28T00:00:00"/>
    <n v="109975"/>
    <n v="5133"/>
    <n v="366"/>
    <n v="1689.32"/>
    <n v="19746.189999999999"/>
    <n v="4.6674244146396905E-2"/>
    <n v="7.1303331385154878E-2"/>
    <n v="4.615628415300546"/>
    <n v="11.688839296284895"/>
    <n v="2024"/>
    <x v="3"/>
    <n v="10"/>
  </r>
  <r>
    <s v="CAMP1167"/>
    <x v="7"/>
    <x v="4"/>
    <d v="2024-02-09T00:00:00"/>
    <n v="138820"/>
    <n v="7541"/>
    <n v="670"/>
    <n v="1130.74"/>
    <n v="65407.29"/>
    <n v="5.4322143783316526E-2"/>
    <n v="8.8847632939928395E-2"/>
    <n v="1.6876716417910449"/>
    <n v="57.84467693722695"/>
    <n v="2024"/>
    <x v="9"/>
    <n v="2"/>
  </r>
  <r>
    <s v="CAMP1168"/>
    <x v="7"/>
    <x v="4"/>
    <d v="2024-04-30T00:00:00"/>
    <n v="31949"/>
    <n v="647"/>
    <n v="29"/>
    <n v="3091.52"/>
    <n v="2784.62"/>
    <n v="2.0251025071207237E-2"/>
    <n v="4.482225656877898E-2"/>
    <n v="106.60413793103449"/>
    <n v="0.90072844426042853"/>
    <n v="2024"/>
    <x v="7"/>
    <n v="4"/>
  </r>
  <r>
    <s v="CAMP1169"/>
    <x v="0"/>
    <x v="4"/>
    <d v="2025-01-30T00:00:00"/>
    <n v="134529"/>
    <n v="5714"/>
    <n v="533"/>
    <n v="2981.45"/>
    <n v="46964.41"/>
    <n v="4.2474113388191397E-2"/>
    <n v="9.327966398319916E-2"/>
    <n v="5.5937148217636024"/>
    <n v="15.752204464270744"/>
    <n v="2025"/>
    <x v="0"/>
    <n v="1"/>
  </r>
  <r>
    <s v="CAMP1170"/>
    <x v="7"/>
    <x v="3"/>
    <d v="2024-03-18T00:00:00"/>
    <n v="120281"/>
    <n v="1777"/>
    <n v="137"/>
    <n v="1653.54"/>
    <n v="6503.03"/>
    <n v="1.477373816313466E-2"/>
    <n v="7.7096229600450192E-2"/>
    <n v="12.069635036496351"/>
    <n v="3.9327926751091598"/>
    <n v="2024"/>
    <x v="6"/>
    <n v="3"/>
  </r>
  <r>
    <s v="CAMP1171"/>
    <x v="4"/>
    <x v="3"/>
    <d v="2024-09-16T00:00:00"/>
    <n v="24448"/>
    <n v="775"/>
    <n v="61"/>
    <n v="473.07"/>
    <n v="6293.35"/>
    <n v="3.1699934554973823E-2"/>
    <n v="7.8709677419354834E-2"/>
    <n v="7.755245901639344"/>
    <n v="13.303210941298328"/>
    <n v="2024"/>
    <x v="11"/>
    <n v="9"/>
  </r>
  <r>
    <s v="CAMP1172"/>
    <x v="0"/>
    <x v="0"/>
    <d v="2024-11-10T00:00:00"/>
    <n v="137924"/>
    <n v="5091"/>
    <n v="485"/>
    <n v="4780.3100000000004"/>
    <n v="45537.67"/>
    <n v="3.6911632493257157E-2"/>
    <n v="9.526615596150069E-2"/>
    <n v="9.8563092783505155"/>
    <n v="9.5260914041139575"/>
    <n v="2024"/>
    <x v="5"/>
    <n v="11"/>
  </r>
  <r>
    <s v="CAMP1173"/>
    <x v="4"/>
    <x v="2"/>
    <d v="2025-02-18T00:00:00"/>
    <n v="54345"/>
    <n v="1766"/>
    <n v="144"/>
    <n v="924.13"/>
    <n v="3770.98"/>
    <n v="3.2496089796669424E-2"/>
    <n v="8.1540203850509627E-2"/>
    <n v="6.4175694444444442"/>
    <n v="4.0805730795450854"/>
    <n v="2025"/>
    <x v="9"/>
    <n v="2"/>
  </r>
  <r>
    <s v="CAMP1174"/>
    <x v="0"/>
    <x v="3"/>
    <d v="2024-12-31T00:00:00"/>
    <n v="27106"/>
    <n v="1228"/>
    <n v="52"/>
    <n v="1389.17"/>
    <n v="3316.34"/>
    <n v="4.5303622814137093E-2"/>
    <n v="4.2345276872964167E-2"/>
    <n v="26.714807692307694"/>
    <n v="2.3872816142012856"/>
    <n v="2024"/>
    <x v="4"/>
    <n v="12"/>
  </r>
  <r>
    <s v="CAMP1175"/>
    <x v="6"/>
    <x v="1"/>
    <d v="2024-09-24T00:00:00"/>
    <n v="46614"/>
    <n v="1653"/>
    <n v="230"/>
    <n v="2059.6"/>
    <n v="22412.69"/>
    <n v="3.5461449349980689E-2"/>
    <n v="0.13914095583787053"/>
    <n v="8.9547826086956519"/>
    <n v="10.882059623227811"/>
    <n v="2024"/>
    <x v="11"/>
    <n v="9"/>
  </r>
  <r>
    <s v="CAMP1176"/>
    <x v="4"/>
    <x v="3"/>
    <d v="2024-02-03T00:00:00"/>
    <n v="91426"/>
    <n v="1519"/>
    <n v="164"/>
    <n v="1563.91"/>
    <n v="15149.23"/>
    <n v="1.6614529783650165E-2"/>
    <n v="0.10796576695194207"/>
    <n v="9.5360365853658546"/>
    <n v="9.6867658624856929"/>
    <n v="2024"/>
    <x v="9"/>
    <n v="2"/>
  </r>
  <r>
    <s v="CAMP1177"/>
    <x v="2"/>
    <x v="3"/>
    <d v="2024-02-11T00:00:00"/>
    <n v="42074"/>
    <n v="3120"/>
    <n v="188"/>
    <n v="3349.06"/>
    <n v="16208.14"/>
    <n v="7.4155060132148121E-2"/>
    <n v="6.0256410256410257E-2"/>
    <n v="17.814148936170213"/>
    <n v="4.8396087260305878"/>
    <n v="2024"/>
    <x v="9"/>
    <n v="2"/>
  </r>
  <r>
    <s v="CAMP1178"/>
    <x v="2"/>
    <x v="1"/>
    <d v="2024-12-28T00:00:00"/>
    <n v="27208"/>
    <n v="861"/>
    <n v="59"/>
    <n v="3999.98"/>
    <n v="5977.79"/>
    <n v="3.1645104381064396E-2"/>
    <n v="6.852497096399536E-2"/>
    <n v="67.796271186440677"/>
    <n v="1.4944549722748615"/>
    <n v="2024"/>
    <x v="4"/>
    <n v="12"/>
  </r>
  <r>
    <s v="CAMP1179"/>
    <x v="0"/>
    <x v="2"/>
    <d v="2024-09-17T00:00:00"/>
    <n v="99851"/>
    <n v="1125"/>
    <n v="67"/>
    <n v="4765.6099999999997"/>
    <n v="3629.61"/>
    <n v="1.1266787513394959E-2"/>
    <n v="5.9555555555555556E-2"/>
    <n v="71.128507462686557"/>
    <n v="0.7616254792146232"/>
    <n v="2024"/>
    <x v="11"/>
    <n v="9"/>
  </r>
  <r>
    <s v="CAMP1180"/>
    <x v="6"/>
    <x v="4"/>
    <d v="2024-04-25T00:00:00"/>
    <n v="41061"/>
    <n v="855"/>
    <n v="49"/>
    <n v="3982.98"/>
    <n v="3467.68"/>
    <n v="2.0822678454007454E-2"/>
    <n v="5.7309941520467839E-2"/>
    <n v="81.285306122448986"/>
    <n v="0.87062450727846985"/>
    <n v="2024"/>
    <x v="7"/>
    <n v="4"/>
  </r>
  <r>
    <s v="CAMP1181"/>
    <x v="4"/>
    <x v="3"/>
    <d v="2025-01-27T00:00:00"/>
    <n v="39353"/>
    <n v="2038"/>
    <n v="81"/>
    <n v="1068.06"/>
    <n v="7232.05"/>
    <n v="5.1787665489289252E-2"/>
    <n v="3.9744847890088322E-2"/>
    <n v="13.185925925925925"/>
    <n v="6.7712019923974314"/>
    <n v="2025"/>
    <x v="0"/>
    <n v="1"/>
  </r>
  <r>
    <s v="CAMP1182"/>
    <x v="2"/>
    <x v="2"/>
    <d v="2024-01-23T00:00:00"/>
    <n v="112704"/>
    <n v="4001"/>
    <n v="454"/>
    <n v="4854.03"/>
    <n v="36801.03"/>
    <n v="3.5500070982396367E-2"/>
    <n v="0.11347163209197701"/>
    <n v="10.691696035242289"/>
    <n v="7.5815415232291521"/>
    <n v="2024"/>
    <x v="0"/>
    <n v="1"/>
  </r>
  <r>
    <s v="CAMP1183"/>
    <x v="6"/>
    <x v="4"/>
    <d v="2024-09-30T00:00:00"/>
    <n v="67696"/>
    <n v="2143"/>
    <n v="268"/>
    <n v="2451.27"/>
    <n v="27741.040000000001"/>
    <n v="3.1656227842117704E-2"/>
    <n v="0.12505832944470369"/>
    <n v="9.1465298507462691"/>
    <n v="11.317007102440776"/>
    <n v="2024"/>
    <x v="11"/>
    <n v="9"/>
  </r>
  <r>
    <s v="CAMP1184"/>
    <x v="7"/>
    <x v="1"/>
    <d v="2024-08-13T00:00:00"/>
    <n v="126026"/>
    <n v="8048"/>
    <n v="975"/>
    <n v="2613.9499999999998"/>
    <n v="60319.43"/>
    <n v="6.3859838446034947E-2"/>
    <n v="0.12114811133200795"/>
    <n v="2.6809743589743587"/>
    <n v="23.075969318464395"/>
    <n v="2024"/>
    <x v="1"/>
    <n v="8"/>
  </r>
  <r>
    <s v="CAMP1185"/>
    <x v="2"/>
    <x v="4"/>
    <d v="2025-02-14T00:00:00"/>
    <n v="41280"/>
    <n v="2935"/>
    <n v="78"/>
    <n v="2506.84"/>
    <n v="4455.45"/>
    <n v="7.1099806201550389E-2"/>
    <n v="2.6575809199318567E-2"/>
    <n v="32.138974358974359"/>
    <n v="1.7773172599767035"/>
    <n v="2025"/>
    <x v="9"/>
    <n v="2"/>
  </r>
  <r>
    <s v="CAMP1186"/>
    <x v="0"/>
    <x v="1"/>
    <d v="2024-03-04T00:00:00"/>
    <n v="79727"/>
    <n v="1265"/>
    <n v="51"/>
    <n v="2356.73"/>
    <n v="3638.1"/>
    <n v="1.5866644925809324E-2"/>
    <n v="4.0316205533596841E-2"/>
    <n v="46.210392156862746"/>
    <n v="1.5437067462119123"/>
    <n v="2024"/>
    <x v="6"/>
    <n v="3"/>
  </r>
  <r>
    <s v="CAMP1187"/>
    <x v="3"/>
    <x v="0"/>
    <d v="2024-04-23T00:00:00"/>
    <n v="123260"/>
    <n v="8865"/>
    <n v="1249"/>
    <n v="2191.5100000000002"/>
    <n v="74497.100000000006"/>
    <n v="7.1921142300827523E-2"/>
    <n v="0.14089114495205865"/>
    <n v="1.7546116893514814"/>
    <n v="33.993502197115234"/>
    <n v="2024"/>
    <x v="7"/>
    <n v="4"/>
  </r>
  <r>
    <s v="CAMP1188"/>
    <x v="7"/>
    <x v="4"/>
    <d v="2024-07-16T00:00:00"/>
    <n v="26392"/>
    <n v="956"/>
    <n v="22"/>
    <n v="4667.96"/>
    <n v="2286.19"/>
    <n v="3.6223097908457111E-2"/>
    <n v="2.3012552301255231E-2"/>
    <n v="212.18"/>
    <n v="0.4897621230687495"/>
    <n v="2024"/>
    <x v="10"/>
    <n v="7"/>
  </r>
  <r>
    <s v="CAMP1189"/>
    <x v="7"/>
    <x v="4"/>
    <d v="2024-03-11T00:00:00"/>
    <n v="15040"/>
    <n v="452"/>
    <n v="57"/>
    <n v="3541.15"/>
    <n v="1931.12"/>
    <n v="3.00531914893617E-2"/>
    <n v="0.12610619469026549"/>
    <n v="62.125438596491229"/>
    <n v="0.54533696680456911"/>
    <n v="2024"/>
    <x v="6"/>
    <n v="3"/>
  </r>
  <r>
    <s v="CAMP1190"/>
    <x v="6"/>
    <x v="2"/>
    <d v="2024-11-11T00:00:00"/>
    <n v="6376"/>
    <n v="468"/>
    <n v="10"/>
    <n v="1235.1400000000001"/>
    <n v="349.52"/>
    <n v="7.3400250941028852E-2"/>
    <n v="2.1367521367521368E-2"/>
    <n v="123.51400000000001"/>
    <n v="0.28298006703693507"/>
    <n v="2024"/>
    <x v="5"/>
    <n v="11"/>
  </r>
  <r>
    <s v="CAMP1191"/>
    <x v="3"/>
    <x v="0"/>
    <d v="2025-02-01T00:00:00"/>
    <n v="80524"/>
    <n v="2144"/>
    <n v="76"/>
    <n v="1344.51"/>
    <n v="6376.03"/>
    <n v="2.6625602304902886E-2"/>
    <n v="3.5447761194029849E-2"/>
    <n v="17.69092105263158"/>
    <n v="4.7422704182192765"/>
    <n v="2025"/>
    <x v="9"/>
    <n v="2"/>
  </r>
  <r>
    <s v="CAMP1192"/>
    <x v="6"/>
    <x v="0"/>
    <d v="2024-02-26T00:00:00"/>
    <n v="136027"/>
    <n v="7042"/>
    <n v="155"/>
    <n v="2673.8"/>
    <n v="6850.04"/>
    <n v="5.1769134068971601E-2"/>
    <n v="2.2010792388525987E-2"/>
    <n v="17.250322580645161"/>
    <n v="2.561911885705737"/>
    <n v="2024"/>
    <x v="9"/>
    <n v="2"/>
  </r>
  <r>
    <s v="CAMP1193"/>
    <x v="2"/>
    <x v="3"/>
    <d v="2024-08-07T00:00:00"/>
    <n v="5410"/>
    <n v="286"/>
    <n v="14"/>
    <n v="2199.52"/>
    <n v="1210.1199999999999"/>
    <n v="5.2865064695009241E-2"/>
    <n v="4.8951048951048952E-2"/>
    <n v="157.10857142857142"/>
    <n v="0.55017458354550075"/>
    <n v="2024"/>
    <x v="1"/>
    <n v="8"/>
  </r>
  <r>
    <s v="CAMP1194"/>
    <x v="0"/>
    <x v="1"/>
    <d v="2024-07-03T00:00:00"/>
    <n v="22741"/>
    <n v="1745"/>
    <n v="158"/>
    <n v="3974.78"/>
    <n v="11180.44"/>
    <n v="7.6733652873664307E-2"/>
    <n v="9.0544412607449859E-2"/>
    <n v="25.156835443037977"/>
    <n v="2.8128449876471149"/>
    <n v="2024"/>
    <x v="10"/>
    <n v="7"/>
  </r>
  <r>
    <s v="CAMP1195"/>
    <x v="4"/>
    <x v="2"/>
    <d v="2024-08-28T00:00:00"/>
    <n v="16412"/>
    <n v="894"/>
    <n v="131"/>
    <n v="1417.52"/>
    <n v="2832.77"/>
    <n v="5.4472337314160367E-2"/>
    <n v="0.1465324384787472"/>
    <n v="10.820763358778626"/>
    <n v="1.9983986116598003"/>
    <n v="2024"/>
    <x v="1"/>
    <n v="8"/>
  </r>
  <r>
    <s v="CAMP1196"/>
    <x v="0"/>
    <x v="3"/>
    <d v="2024-05-03T00:00:00"/>
    <n v="32174"/>
    <n v="2059"/>
    <n v="237"/>
    <n v="1796.09"/>
    <n v="5790.76"/>
    <n v="6.3995772984397334E-2"/>
    <n v="0.11510441962117533"/>
    <n v="7.5784388185654006"/>
    <n v="3.2240923339030898"/>
    <n v="2024"/>
    <x v="8"/>
    <n v="5"/>
  </r>
  <r>
    <s v="CAMP1197"/>
    <x v="7"/>
    <x v="4"/>
    <d v="2025-03-01T00:00:00"/>
    <n v="126798"/>
    <n v="9973"/>
    <n v="819"/>
    <n v="1074.93"/>
    <n v="27424.43"/>
    <n v="7.865266013659522E-2"/>
    <n v="8.2121728667401986E-2"/>
    <n v="1.3124908424908426"/>
    <n v="25.512758970351555"/>
    <n v="2025"/>
    <x v="6"/>
    <n v="3"/>
  </r>
  <r>
    <s v="CAMP1198"/>
    <x v="6"/>
    <x v="0"/>
    <d v="2024-05-30T00:00:00"/>
    <n v="57845"/>
    <n v="755"/>
    <n v="34"/>
    <n v="401.15"/>
    <n v="3853.46"/>
    <n v="1.3052122050306855E-2"/>
    <n v="4.5033112582781455E-2"/>
    <n v="11.798529411764704"/>
    <n v="9.6060326561136744"/>
    <n v="2024"/>
    <x v="8"/>
    <n v="5"/>
  </r>
  <r>
    <s v="CAMP1199"/>
    <x v="3"/>
    <x v="1"/>
    <d v="2024-08-30T00:00:00"/>
    <n v="71404"/>
    <n v="897"/>
    <n v="93"/>
    <n v="1573.33"/>
    <n v="9877.89"/>
    <n v="1.256232143857487E-2"/>
    <n v="0.10367892976588629"/>
    <n v="16.917526881720431"/>
    <n v="6.2783332168076624"/>
    <n v="2024"/>
    <x v="1"/>
    <n v="8"/>
  </r>
  <r>
    <s v="CAMP1200"/>
    <x v="4"/>
    <x v="3"/>
    <d v="2024-05-19T00:00:00"/>
    <n v="37630"/>
    <n v="2481"/>
    <n v="190"/>
    <n v="2120.1"/>
    <n v="12155"/>
    <n v="6.5931437682699975E-2"/>
    <n v="7.6582023377670297E-2"/>
    <n v="11.158421052631578"/>
    <n v="5.7332201311258908"/>
    <n v="2024"/>
    <x v="8"/>
    <n v="5"/>
  </r>
  <r>
    <s v="CAMP1201"/>
    <x v="3"/>
    <x v="3"/>
    <d v="2024-04-05T00:00:00"/>
    <n v="135076"/>
    <n v="7894"/>
    <n v="534"/>
    <n v="4027"/>
    <n v="24922.89"/>
    <n v="5.844117385768012E-2"/>
    <n v="6.7646313655941218E-2"/>
    <n v="7.5411985018726595"/>
    <n v="6.1889471070275635"/>
    <n v="2024"/>
    <x v="7"/>
    <n v="4"/>
  </r>
  <r>
    <s v="CAMP1202"/>
    <x v="0"/>
    <x v="2"/>
    <d v="2024-02-10T00:00:00"/>
    <n v="117881"/>
    <n v="6150"/>
    <n v="780"/>
    <n v="2818.28"/>
    <n v="40654.49"/>
    <n v="5.2171257454551624E-2"/>
    <n v="0.12682926829268293"/>
    <n v="3.6131794871794876"/>
    <n v="14.425284215904734"/>
    <n v="2024"/>
    <x v="9"/>
    <n v="2"/>
  </r>
  <r>
    <s v="CAMP1203"/>
    <x v="0"/>
    <x v="3"/>
    <d v="2024-12-04T00:00:00"/>
    <n v="82500"/>
    <n v="2595"/>
    <n v="255"/>
    <n v="2245.36"/>
    <n v="22689"/>
    <n v="3.1454545454545457E-2"/>
    <n v="9.8265895953757232E-2"/>
    <n v="8.8053333333333335"/>
    <n v="10.104838422346527"/>
    <n v="2024"/>
    <x v="4"/>
    <n v="12"/>
  </r>
  <r>
    <s v="CAMP1204"/>
    <x v="7"/>
    <x v="2"/>
    <d v="2024-01-22T00:00:00"/>
    <n v="97421"/>
    <n v="5167"/>
    <n v="395"/>
    <n v="3269.45"/>
    <n v="39163.370000000003"/>
    <n v="5.303784604961969E-2"/>
    <n v="7.6446680859299398E-2"/>
    <n v="8.277088607594937"/>
    <n v="11.978580495190323"/>
    <n v="2024"/>
    <x v="0"/>
    <n v="1"/>
  </r>
  <r>
    <s v="CAMP1205"/>
    <x v="4"/>
    <x v="0"/>
    <d v="2024-12-09T00:00:00"/>
    <n v="111485"/>
    <n v="3950"/>
    <n v="490"/>
    <n v="3461.17"/>
    <n v="56486.68"/>
    <n v="3.5430775440642236E-2"/>
    <n v="0.1240506329113924"/>
    <n v="7.0636122448979597"/>
    <n v="16.320111407414256"/>
    <n v="2024"/>
    <x v="4"/>
    <n v="12"/>
  </r>
  <r>
    <s v="CAMP1206"/>
    <x v="2"/>
    <x v="1"/>
    <d v="2024-12-13T00:00:00"/>
    <n v="119864"/>
    <n v="1490"/>
    <n v="42"/>
    <n v="3936.87"/>
    <n v="2378.58"/>
    <n v="1.2430754855502903E-2"/>
    <n v="2.8187919463087248E-2"/>
    <n v="93.734999999999999"/>
    <n v="0.6041804784003536"/>
    <n v="2024"/>
    <x v="4"/>
    <n v="12"/>
  </r>
  <r>
    <s v="CAMP1207"/>
    <x v="3"/>
    <x v="1"/>
    <d v="2024-01-17T00:00:00"/>
    <n v="45222"/>
    <n v="2601"/>
    <n v="372"/>
    <n v="1985.66"/>
    <n v="35826.74"/>
    <n v="5.7516253151121133E-2"/>
    <n v="0.14302191464821223"/>
    <n v="5.3377956989247313"/>
    <n v="18.042736420132346"/>
    <n v="2024"/>
    <x v="0"/>
    <n v="1"/>
  </r>
  <r>
    <s v="CAMP1208"/>
    <x v="2"/>
    <x v="1"/>
    <d v="2024-07-06T00:00:00"/>
    <n v="109342"/>
    <n v="3499"/>
    <n v="196"/>
    <n v="4810.5"/>
    <n v="4427.8999999999996"/>
    <n v="3.200051215452434E-2"/>
    <n v="5.6016004572735069E-2"/>
    <n v="24.543367346938776"/>
    <n v="0.92046564806153197"/>
    <n v="2024"/>
    <x v="10"/>
    <n v="7"/>
  </r>
  <r>
    <s v="CAMP1209"/>
    <x v="2"/>
    <x v="2"/>
    <d v="2024-09-22T00:00:00"/>
    <n v="106446"/>
    <n v="7871"/>
    <n v="277"/>
    <n v="3919.83"/>
    <n v="25041.85"/>
    <n v="7.3943595813839885E-2"/>
    <n v="3.519247871934951E-2"/>
    <n v="14.151010830324909"/>
    <n v="6.3885040932897601"/>
    <n v="2024"/>
    <x v="11"/>
    <n v="9"/>
  </r>
  <r>
    <s v="CAMP1210"/>
    <x v="1"/>
    <x v="1"/>
    <d v="2024-05-26T00:00:00"/>
    <n v="133765"/>
    <n v="3212"/>
    <n v="120"/>
    <n v="555.45000000000005"/>
    <n v="4471.88"/>
    <n v="2.401226030725526E-2"/>
    <n v="3.7359900373599E-2"/>
    <n v="4.6287500000000001"/>
    <n v="8.0509136735979823"/>
    <n v="2024"/>
    <x v="8"/>
    <n v="5"/>
  </r>
  <r>
    <s v="CAMP1211"/>
    <x v="6"/>
    <x v="0"/>
    <d v="2025-02-18T00:00:00"/>
    <n v="88778"/>
    <n v="5038"/>
    <n v="565"/>
    <n v="2839.99"/>
    <n v="27705.47"/>
    <n v="5.6748293496136429E-2"/>
    <n v="0.11214767764986106"/>
    <n v="5.0265309734513268"/>
    <n v="9.7554815333856819"/>
    <n v="2025"/>
    <x v="9"/>
    <n v="2"/>
  </r>
  <r>
    <s v="CAMP1212"/>
    <x v="5"/>
    <x v="4"/>
    <d v="2024-12-30T00:00:00"/>
    <n v="50636"/>
    <n v="3319"/>
    <n v="285"/>
    <n v="782.54"/>
    <n v="11427.94"/>
    <n v="6.5546251678647596E-2"/>
    <n v="8.5869237722205477E-2"/>
    <n v="2.7457543859649123"/>
    <n v="14.603649653691825"/>
    <n v="2024"/>
    <x v="4"/>
    <n v="12"/>
  </r>
  <r>
    <s v="CAMP1213"/>
    <x v="2"/>
    <x v="4"/>
    <d v="2025-02-08T00:00:00"/>
    <n v="134504"/>
    <n v="1592"/>
    <n v="146"/>
    <n v="1970.77"/>
    <n v="14653.46"/>
    <n v="1.1836079224409683E-2"/>
    <n v="9.1708542713567834E-2"/>
    <n v="13.498424657534246"/>
    <n v="7.4353983468390528"/>
    <n v="2025"/>
    <x v="9"/>
    <n v="2"/>
  </r>
  <r>
    <s v="CAMP1214"/>
    <x v="2"/>
    <x v="1"/>
    <d v="2024-02-14T00:00:00"/>
    <n v="22235"/>
    <n v="703"/>
    <n v="105"/>
    <n v="3650.57"/>
    <n v="7619.8"/>
    <n v="3.1616820328311222E-2"/>
    <n v="0.14935988620199148"/>
    <n v="34.767333333333333"/>
    <n v="2.0872904779253649"/>
    <n v="2024"/>
    <x v="9"/>
    <n v="2"/>
  </r>
  <r>
    <s v="CAMP1215"/>
    <x v="3"/>
    <x v="1"/>
    <d v="2024-02-07T00:00:00"/>
    <n v="37853"/>
    <n v="2955"/>
    <n v="305"/>
    <n v="2359.88"/>
    <n v="26843.32"/>
    <n v="7.8065146751908704E-2"/>
    <n v="0.10321489001692047"/>
    <n v="7.737311475409836"/>
    <n v="11.374866518636541"/>
    <n v="2024"/>
    <x v="9"/>
    <n v="2"/>
  </r>
  <r>
    <s v="CAMP1216"/>
    <x v="7"/>
    <x v="4"/>
    <d v="2025-02-28T00:00:00"/>
    <n v="149520"/>
    <n v="8191"/>
    <n v="357"/>
    <n v="4838.07"/>
    <n v="22584.47"/>
    <n v="5.4781968967362225E-2"/>
    <n v="4.3584421926504698E-2"/>
    <n v="13.552016806722689"/>
    <n v="4.6680742527495473"/>
    <n v="2025"/>
    <x v="9"/>
    <n v="2"/>
  </r>
  <r>
    <s v="CAMP1217"/>
    <x v="4"/>
    <x v="0"/>
    <d v="2024-09-22T00:00:00"/>
    <n v="45112"/>
    <n v="1411"/>
    <n v="57"/>
    <n v="4686.74"/>
    <n v="2425.1799999999998"/>
    <n v="3.1277708813619437E-2"/>
    <n v="4.0396881644223954E-2"/>
    <n v="82.223508771929815"/>
    <n v="0.51745563013949991"/>
    <n v="2024"/>
    <x v="11"/>
    <n v="9"/>
  </r>
  <r>
    <s v="CAMP1218"/>
    <x v="5"/>
    <x v="0"/>
    <d v="2024-05-08T00:00:00"/>
    <n v="56459"/>
    <n v="3074"/>
    <n v="281"/>
    <n v="800.82"/>
    <n v="14129.37"/>
    <n v="5.4446589560566076E-2"/>
    <n v="9.141184124918672E-2"/>
    <n v="2.8498932384341638"/>
    <n v="17.643627781523939"/>
    <n v="2024"/>
    <x v="8"/>
    <n v="5"/>
  </r>
  <r>
    <s v="CAMP1219"/>
    <x v="0"/>
    <x v="1"/>
    <d v="2024-11-24T00:00:00"/>
    <n v="49206"/>
    <n v="2530"/>
    <n v="241"/>
    <n v="1021.76"/>
    <n v="19869.95"/>
    <n v="5.1416493923505266E-2"/>
    <n v="9.5256916996047436E-2"/>
    <n v="4.239668049792531"/>
    <n v="19.446787895396181"/>
    <n v="2024"/>
    <x v="5"/>
    <n v="11"/>
  </r>
  <r>
    <s v="CAMP1220"/>
    <x v="7"/>
    <x v="1"/>
    <d v="2024-01-22T00:00:00"/>
    <n v="12437"/>
    <n v="195"/>
    <n v="27"/>
    <n v="3900.91"/>
    <n v="1254.57"/>
    <n v="1.5679022272252152E-2"/>
    <n v="0.13846153846153847"/>
    <n v="144.47814814814814"/>
    <n v="0.32160957315088018"/>
    <n v="2024"/>
    <x v="0"/>
    <n v="1"/>
  </r>
  <r>
    <s v="CAMP1221"/>
    <x v="1"/>
    <x v="1"/>
    <d v="2024-08-01T00:00:00"/>
    <n v="12939"/>
    <n v="580"/>
    <n v="58"/>
    <n v="1590.42"/>
    <n v="6708.57"/>
    <n v="4.4825720689388671E-2"/>
    <n v="0.1"/>
    <n v="27.421034482758621"/>
    <n v="4.2181121967782094"/>
    <n v="2024"/>
    <x v="1"/>
    <n v="8"/>
  </r>
  <r>
    <s v="CAMP1222"/>
    <x v="6"/>
    <x v="4"/>
    <d v="2025-02-16T00:00:00"/>
    <n v="111454"/>
    <n v="3435"/>
    <n v="101"/>
    <n v="487.58"/>
    <n v="6460.02"/>
    <n v="3.0819889820015434E-2"/>
    <n v="2.9403202328966521E-2"/>
    <n v="4.8275247524752469"/>
    <n v="13.249148857623366"/>
    <n v="2025"/>
    <x v="9"/>
    <n v="2"/>
  </r>
  <r>
    <s v="CAMP1223"/>
    <x v="6"/>
    <x v="2"/>
    <d v="2024-04-14T00:00:00"/>
    <n v="94179"/>
    <n v="4941"/>
    <n v="299"/>
    <n v="3648.14"/>
    <n v="27932.57"/>
    <n v="5.2463925078839228E-2"/>
    <n v="6.0514065978546853E-2"/>
    <n v="12.201137123745818"/>
    <n v="7.6566606544704978"/>
    <n v="2024"/>
    <x v="7"/>
    <n v="4"/>
  </r>
  <r>
    <s v="CAMP1224"/>
    <x v="7"/>
    <x v="2"/>
    <d v="2024-03-07T00:00:00"/>
    <n v="102134"/>
    <n v="4703"/>
    <n v="158"/>
    <n v="1360.34"/>
    <n v="5095.8500000000004"/>
    <n v="4.6047349560381458E-2"/>
    <n v="3.3595577291090792E-2"/>
    <n v="8.6097468354430369"/>
    <n v="3.7460120264051637"/>
    <n v="2024"/>
    <x v="6"/>
    <n v="3"/>
  </r>
  <r>
    <s v="CAMP1225"/>
    <x v="6"/>
    <x v="4"/>
    <d v="2024-03-13T00:00:00"/>
    <n v="30378"/>
    <n v="411"/>
    <n v="58"/>
    <n v="4347.99"/>
    <n v="3585.18"/>
    <n v="1.3529527947857002E-2"/>
    <n v="0.14111922141119221"/>
    <n v="74.965344827586208"/>
    <n v="0.82456031407615937"/>
    <n v="2024"/>
    <x v="6"/>
    <n v="3"/>
  </r>
  <r>
    <s v="CAMP1226"/>
    <x v="2"/>
    <x v="3"/>
    <d v="2024-10-22T00:00:00"/>
    <n v="86976"/>
    <n v="2025"/>
    <n v="82"/>
    <n v="4980.6499999999996"/>
    <n v="5467.88"/>
    <n v="2.3282284768211921E-2"/>
    <n v="4.049382716049383E-2"/>
    <n v="60.739634146341459"/>
    <n v="1.0978245811289693"/>
    <n v="2024"/>
    <x v="3"/>
    <n v="10"/>
  </r>
  <r>
    <s v="CAMP1227"/>
    <x v="5"/>
    <x v="2"/>
    <d v="2024-01-12T00:00:00"/>
    <n v="28605"/>
    <n v="2178"/>
    <n v="186"/>
    <n v="4840.1000000000004"/>
    <n v="7721.69"/>
    <n v="7.6140534871525958E-2"/>
    <n v="8.5399449035812675E-2"/>
    <n v="26.022043010752689"/>
    <n v="1.595357533935249"/>
    <n v="2024"/>
    <x v="0"/>
    <n v="1"/>
  </r>
  <r>
    <s v="CAMP1228"/>
    <x v="7"/>
    <x v="0"/>
    <d v="2024-01-26T00:00:00"/>
    <n v="78755"/>
    <n v="3515"/>
    <n v="473"/>
    <n v="3340.45"/>
    <n v="31718.76"/>
    <n v="4.4632086851628471E-2"/>
    <n v="0.13456614509246087"/>
    <n v="7.0622621564482024"/>
    <n v="9.4953554161864417"/>
    <n v="2024"/>
    <x v="0"/>
    <n v="1"/>
  </r>
  <r>
    <s v="CAMP1229"/>
    <x v="4"/>
    <x v="0"/>
    <d v="2024-08-08T00:00:00"/>
    <n v="40110"/>
    <n v="2878"/>
    <n v="329"/>
    <n v="3866.51"/>
    <n v="18619.34"/>
    <n v="7.1752680129643476E-2"/>
    <n v="0.11431549687282835"/>
    <n v="11.752310030395137"/>
    <n v="4.8155416641881175"/>
    <n v="2024"/>
    <x v="1"/>
    <n v="8"/>
  </r>
  <r>
    <s v="CAMP1230"/>
    <x v="3"/>
    <x v="0"/>
    <d v="2024-10-18T00:00:00"/>
    <n v="56027"/>
    <n v="1982"/>
    <n v="114"/>
    <n v="2054.4699999999998"/>
    <n v="7414.04"/>
    <n v="3.5375800953111894E-2"/>
    <n v="5.7517658930373361E-2"/>
    <n v="18.021666666666665"/>
    <n v="3.6087360730504709"/>
    <n v="2024"/>
    <x v="3"/>
    <n v="10"/>
  </r>
  <r>
    <s v="CAMP1231"/>
    <x v="5"/>
    <x v="1"/>
    <d v="2024-12-14T00:00:00"/>
    <n v="36145"/>
    <n v="686"/>
    <n v="22"/>
    <n v="1991.35"/>
    <n v="2610.9299999999998"/>
    <n v="1.8979111910361047E-2"/>
    <n v="3.2069970845481049E-2"/>
    <n v="90.515909090909091"/>
    <n v="1.3111356617370125"/>
    <n v="2024"/>
    <x v="4"/>
    <n v="12"/>
  </r>
  <r>
    <s v="CAMP1232"/>
    <x v="7"/>
    <x v="4"/>
    <d v="2024-04-11T00:00:00"/>
    <n v="138463"/>
    <n v="5275"/>
    <n v="133"/>
    <n v="386.79"/>
    <n v="12150.77"/>
    <n v="3.8096820089121283E-2"/>
    <n v="2.5213270142180094E-2"/>
    <n v="2.9081954887218044"/>
    <n v="31.414385066832132"/>
    <n v="2024"/>
    <x v="7"/>
    <n v="4"/>
  </r>
  <r>
    <s v="CAMP1233"/>
    <x v="6"/>
    <x v="1"/>
    <d v="2024-08-21T00:00:00"/>
    <n v="44043"/>
    <n v="2309"/>
    <n v="200"/>
    <n v="1774.24"/>
    <n v="16261.36"/>
    <n v="5.242603818995073E-2"/>
    <n v="8.6617583369423989E-2"/>
    <n v="8.8712"/>
    <n v="9.1652538551717928"/>
    <n v="2024"/>
    <x v="1"/>
    <n v="8"/>
  </r>
  <r>
    <s v="CAMP1234"/>
    <x v="2"/>
    <x v="2"/>
    <d v="2024-11-11T00:00:00"/>
    <n v="83442"/>
    <n v="4302"/>
    <n v="369"/>
    <n v="2646.63"/>
    <n v="25455.34"/>
    <n v="5.1556769971956566E-2"/>
    <n v="8.5774058577405859E-2"/>
    <n v="7.1724390243902443"/>
    <n v="9.6180198970010924"/>
    <n v="2024"/>
    <x v="5"/>
    <n v="11"/>
  </r>
  <r>
    <s v="CAMP1235"/>
    <x v="5"/>
    <x v="2"/>
    <d v="2025-02-21T00:00:00"/>
    <n v="9361"/>
    <n v="334"/>
    <n v="35"/>
    <n v="4903.51"/>
    <n v="2742.96"/>
    <n v="3.5679948723426981E-2"/>
    <n v="0.10479041916167664"/>
    <n v="140.10028571428572"/>
    <n v="0.55938705131630195"/>
    <n v="2025"/>
    <x v="9"/>
    <n v="2"/>
  </r>
  <r>
    <s v="CAMP1236"/>
    <x v="4"/>
    <x v="1"/>
    <d v="2024-08-30T00:00:00"/>
    <n v="74607"/>
    <n v="5796"/>
    <n v="705"/>
    <n v="3925.58"/>
    <n v="54823.22"/>
    <n v="7.7687080300776062E-2"/>
    <n v="0.12163561076604555"/>
    <n v="5.5681985815602832"/>
    <n v="13.965635651292294"/>
    <n v="2024"/>
    <x v="1"/>
    <n v="8"/>
  </r>
  <r>
    <s v="CAMP1237"/>
    <x v="4"/>
    <x v="1"/>
    <d v="2024-09-02T00:00:00"/>
    <n v="49698"/>
    <n v="2320"/>
    <n v="263"/>
    <n v="3918.11"/>
    <n v="15259.01"/>
    <n v="4.668195903255664E-2"/>
    <n v="0.11336206896551725"/>
    <n v="14.897756653992396"/>
    <n v="3.8944822886544785"/>
    <n v="2024"/>
    <x v="11"/>
    <n v="9"/>
  </r>
  <r>
    <s v="CAMP1238"/>
    <x v="1"/>
    <x v="0"/>
    <d v="2024-10-20T00:00:00"/>
    <n v="33808"/>
    <n v="789"/>
    <n v="61"/>
    <n v="2210.15"/>
    <n v="3739.06"/>
    <n v="2.3337671557027921E-2"/>
    <n v="7.731305449936629E-2"/>
    <n v="36.231967213114757"/>
    <n v="1.6917675270909214"/>
    <n v="2024"/>
    <x v="3"/>
    <n v="10"/>
  </r>
  <r>
    <s v="CAMP1239"/>
    <x v="1"/>
    <x v="2"/>
    <d v="2024-09-13T00:00:00"/>
    <n v="128628"/>
    <n v="9145"/>
    <n v="1057"/>
    <n v="498.95"/>
    <n v="35735.32"/>
    <n v="7.1096495319837055E-2"/>
    <n v="0.11558228540185894"/>
    <n v="0.47204351939451278"/>
    <n v="71.621044192804888"/>
    <n v="2024"/>
    <x v="11"/>
    <n v="9"/>
  </r>
  <r>
    <s v="CAMP1240"/>
    <x v="1"/>
    <x v="1"/>
    <d v="2024-06-15T00:00:00"/>
    <n v="130402"/>
    <n v="6100"/>
    <n v="370"/>
    <n v="1031.28"/>
    <n v="41148.589999999997"/>
    <n v="4.6778423643809144E-2"/>
    <n v="6.0655737704918035E-2"/>
    <n v="2.787243243243243"/>
    <n v="39.900502288418274"/>
    <n v="2024"/>
    <x v="2"/>
    <n v="6"/>
  </r>
  <r>
    <s v="CAMP1241"/>
    <x v="7"/>
    <x v="1"/>
    <d v="2024-06-30T00:00:00"/>
    <n v="74300"/>
    <n v="3916"/>
    <n v="176"/>
    <n v="1383.29"/>
    <n v="13342.33"/>
    <n v="5.2705248990578733E-2"/>
    <n v="4.49438202247191E-2"/>
    <n v="7.8596022727272725"/>
    <n v="9.6453599751317505"/>
    <n v="2024"/>
    <x v="2"/>
    <n v="6"/>
  </r>
  <r>
    <s v="CAMP1242"/>
    <x v="1"/>
    <x v="3"/>
    <d v="2025-01-29T00:00:00"/>
    <n v="80760"/>
    <n v="4792"/>
    <n v="525"/>
    <n v="2547.21"/>
    <n v="35689.68"/>
    <n v="5.9336305101535411E-2"/>
    <n v="0.10955759599332221"/>
    <n v="4.8518285714285714"/>
    <n v="14.011282933091501"/>
    <n v="2025"/>
    <x v="0"/>
    <n v="1"/>
  </r>
  <r>
    <s v="CAMP1243"/>
    <x v="5"/>
    <x v="3"/>
    <d v="2024-03-03T00:00:00"/>
    <n v="147394"/>
    <n v="5391"/>
    <n v="794"/>
    <n v="4128.21"/>
    <n v="91675.94"/>
    <n v="3.6575437263389285E-2"/>
    <n v="0.14728250788350955"/>
    <n v="5.1992569269521409"/>
    <n v="22.207189072261343"/>
    <n v="2024"/>
    <x v="6"/>
    <n v="3"/>
  </r>
  <r>
    <s v="CAMP1244"/>
    <x v="2"/>
    <x v="3"/>
    <d v="2024-01-22T00:00:00"/>
    <n v="80400"/>
    <n v="6180"/>
    <n v="187"/>
    <n v="4635.25"/>
    <n v="16006.68"/>
    <n v="7.6865671641791047E-2"/>
    <n v="3.0258899676375406E-2"/>
    <n v="24.787433155080215"/>
    <n v="3.4532506337306512"/>
    <n v="2024"/>
    <x v="0"/>
    <n v="1"/>
  </r>
  <r>
    <s v="CAMP1245"/>
    <x v="6"/>
    <x v="4"/>
    <d v="2024-04-13T00:00:00"/>
    <n v="146184"/>
    <n v="4236"/>
    <n v="394"/>
    <n v="1503.78"/>
    <n v="12183.53"/>
    <n v="2.897717944508291E-2"/>
    <n v="9.3012275731822469E-2"/>
    <n v="3.8167005076142133"/>
    <n v="8.1019364534705876"/>
    <n v="2024"/>
    <x v="7"/>
    <n v="4"/>
  </r>
  <r>
    <s v="CAMP1246"/>
    <x v="1"/>
    <x v="4"/>
    <d v="2024-01-26T00:00:00"/>
    <n v="144209"/>
    <n v="3720"/>
    <n v="186"/>
    <n v="680.95"/>
    <n v="9863.4599999999991"/>
    <n v="2.5795893460186257E-2"/>
    <n v="0.05"/>
    <n v="3.6610215053763442"/>
    <n v="14.484852044937218"/>
    <n v="2024"/>
    <x v="0"/>
    <n v="1"/>
  </r>
  <r>
    <s v="CAMP1247"/>
    <x v="6"/>
    <x v="0"/>
    <d v="2024-12-14T00:00:00"/>
    <n v="41036"/>
    <n v="425"/>
    <n v="38"/>
    <n v="4659.68"/>
    <n v="2306.25"/>
    <n v="1.0356759918120675E-2"/>
    <n v="8.9411764705882357E-2"/>
    <n v="122.62315789473685"/>
    <n v="0.49493742059540569"/>
    <n v="2024"/>
    <x v="4"/>
    <n v="12"/>
  </r>
  <r>
    <s v="CAMP1248"/>
    <x v="6"/>
    <x v="2"/>
    <d v="2024-11-29T00:00:00"/>
    <n v="57286"/>
    <n v="3604"/>
    <n v="206"/>
    <n v="1569.99"/>
    <n v="5338.75"/>
    <n v="6.2912404426910595E-2"/>
    <n v="5.7158712541620423E-2"/>
    <n v="7.6213106796116508"/>
    <n v="3.4004993662380016"/>
    <n v="2024"/>
    <x v="5"/>
    <n v="11"/>
  </r>
  <r>
    <s v="CAMP1249"/>
    <x v="0"/>
    <x v="1"/>
    <d v="2024-04-28T00:00:00"/>
    <n v="145286"/>
    <n v="8965"/>
    <n v="1170"/>
    <n v="379.03"/>
    <n v="131212.09"/>
    <n v="6.1705876684608287E-2"/>
    <n v="0.13050752928053541"/>
    <n v="0.32395726495726496"/>
    <n v="346.17864021317575"/>
    <n v="2024"/>
    <x v="7"/>
    <n v="4"/>
  </r>
  <r>
    <s v="CAMP1250"/>
    <x v="3"/>
    <x v="4"/>
    <d v="2024-01-19T00:00:00"/>
    <n v="109069"/>
    <n v="7106"/>
    <n v="314"/>
    <n v="3795.22"/>
    <n v="33669.93"/>
    <n v="6.5151417909763545E-2"/>
    <n v="4.4188010132282581E-2"/>
    <n v="12.086687898089171"/>
    <n v="8.8716675186155225"/>
    <n v="2024"/>
    <x v="0"/>
    <n v="1"/>
  </r>
  <r>
    <s v="CAMP1251"/>
    <x v="5"/>
    <x v="0"/>
    <d v="2024-01-05T00:00:00"/>
    <n v="83221"/>
    <n v="4140"/>
    <n v="140"/>
    <n v="4918.37"/>
    <n v="6783.86"/>
    <n v="4.9747059035579959E-2"/>
    <n v="3.3816425120772944E-2"/>
    <n v="35.131214285714286"/>
    <n v="1.3792902933288873"/>
    <n v="2024"/>
    <x v="0"/>
    <n v="1"/>
  </r>
  <r>
    <s v="CAMP1252"/>
    <x v="6"/>
    <x v="4"/>
    <d v="2024-09-15T00:00:00"/>
    <n v="127688"/>
    <n v="3715"/>
    <n v="464"/>
    <n v="1787.28"/>
    <n v="43203.93"/>
    <n v="2.9094354990288829E-2"/>
    <n v="0.12489905787348587"/>
    <n v="3.8518965517241379"/>
    <n v="24.173005908419498"/>
    <n v="2024"/>
    <x v="11"/>
    <n v="9"/>
  </r>
  <r>
    <s v="CAMP1253"/>
    <x v="5"/>
    <x v="4"/>
    <d v="2024-01-08T00:00:00"/>
    <n v="93371"/>
    <n v="6102"/>
    <n v="572"/>
    <n v="3834.96"/>
    <n v="21478.31"/>
    <n v="6.5352197149007724E-2"/>
    <n v="9.3739757456571621E-2"/>
    <n v="6.7044755244755248"/>
    <n v="5.6006607630848828"/>
    <n v="2024"/>
    <x v="0"/>
    <n v="1"/>
  </r>
  <r>
    <s v="CAMP1254"/>
    <x v="3"/>
    <x v="2"/>
    <d v="2024-09-20T00:00:00"/>
    <n v="90964"/>
    <n v="1461"/>
    <n v="156"/>
    <n v="1086.95"/>
    <n v="5313.55"/>
    <n v="1.6061298975418848E-2"/>
    <n v="0.10677618069815195"/>
    <n v="6.9676282051282055"/>
    <n v="4.8884953309719856"/>
    <n v="2024"/>
    <x v="11"/>
    <n v="9"/>
  </r>
  <r>
    <s v="CAMP1255"/>
    <x v="7"/>
    <x v="4"/>
    <d v="2024-01-04T00:00:00"/>
    <n v="73363"/>
    <n v="2703"/>
    <n v="211"/>
    <n v="1481.57"/>
    <n v="11175.09"/>
    <n v="3.684418576121478E-2"/>
    <n v="7.8061413244543104E-2"/>
    <n v="7.0216587677725117"/>
    <n v="7.5427350715794734"/>
    <n v="2024"/>
    <x v="0"/>
    <n v="1"/>
  </r>
  <r>
    <s v="CAMP1256"/>
    <x v="4"/>
    <x v="3"/>
    <d v="2024-11-30T00:00:00"/>
    <n v="99254"/>
    <n v="5805"/>
    <n v="162"/>
    <n v="767.48"/>
    <n v="8210.26"/>
    <n v="5.8486307856610312E-2"/>
    <n v="2.7906976744186046E-2"/>
    <n v="4.7375308641975309"/>
    <n v="10.697685933183926"/>
    <n v="2024"/>
    <x v="5"/>
    <n v="11"/>
  </r>
  <r>
    <s v="CAMP1257"/>
    <x v="3"/>
    <x v="1"/>
    <d v="2024-12-26T00:00:00"/>
    <n v="86521"/>
    <n v="5045"/>
    <n v="519"/>
    <n v="4715.05"/>
    <n v="29455.53"/>
    <n v="5.8309543347857748E-2"/>
    <n v="0.10287413280475718"/>
    <n v="9.0848747591522159"/>
    <n v="6.247129934995387"/>
    <n v="2024"/>
    <x v="4"/>
    <n v="12"/>
  </r>
  <r>
    <s v="CAMP1258"/>
    <x v="1"/>
    <x v="4"/>
    <d v="2024-03-09T00:00:00"/>
    <n v="130352"/>
    <n v="2701"/>
    <n v="316"/>
    <n v="3107.55"/>
    <n v="19460.72"/>
    <n v="2.0720817478826561E-2"/>
    <n v="0.11699370603480193"/>
    <n v="9.8340189873417732"/>
    <n v="6.2623996395874562"/>
    <n v="2024"/>
    <x v="6"/>
    <n v="3"/>
  </r>
  <r>
    <s v="CAMP1259"/>
    <x v="6"/>
    <x v="1"/>
    <d v="2025-02-14T00:00:00"/>
    <n v="62255"/>
    <n v="3942"/>
    <n v="427"/>
    <n v="3059.91"/>
    <n v="42160.73"/>
    <n v="6.3320215243755515E-2"/>
    <n v="0.10832064941653982"/>
    <n v="7.1660655737704912"/>
    <n v="13.778421587563034"/>
    <n v="2025"/>
    <x v="9"/>
    <n v="2"/>
  </r>
  <r>
    <s v="CAMP1260"/>
    <x v="6"/>
    <x v="1"/>
    <d v="2024-12-26T00:00:00"/>
    <n v="99839"/>
    <n v="1544"/>
    <n v="144"/>
    <n v="496.44"/>
    <n v="10766.15"/>
    <n v="1.5464898486563367E-2"/>
    <n v="9.3264248704663211E-2"/>
    <n v="3.4474999999999998"/>
    <n v="21.686709370719523"/>
    <n v="2024"/>
    <x v="4"/>
    <n v="12"/>
  </r>
  <r>
    <s v="CAMP1261"/>
    <x v="1"/>
    <x v="1"/>
    <d v="2024-10-01T00:00:00"/>
    <n v="44282"/>
    <n v="952"/>
    <n v="124"/>
    <n v="2320.83"/>
    <n v="10915.66"/>
    <n v="2.1498577300031615E-2"/>
    <n v="0.13025210084033614"/>
    <n v="18.716370967741934"/>
    <n v="4.7033432004929274"/>
    <n v="2024"/>
    <x v="3"/>
    <n v="10"/>
  </r>
  <r>
    <s v="CAMP1262"/>
    <x v="6"/>
    <x v="0"/>
    <d v="2024-09-18T00:00:00"/>
    <n v="121780"/>
    <n v="8111"/>
    <n v="640"/>
    <n v="2663.59"/>
    <n v="42035.1"/>
    <n v="6.6603711611101984E-2"/>
    <n v="7.8905190482061405E-2"/>
    <n v="4.1618593750000006"/>
    <n v="15.781370255932782"/>
    <n v="2024"/>
    <x v="11"/>
    <n v="9"/>
  </r>
  <r>
    <s v="CAMP1263"/>
    <x v="4"/>
    <x v="1"/>
    <d v="2024-08-24T00:00:00"/>
    <n v="85784"/>
    <n v="5201"/>
    <n v="371"/>
    <n v="4118.9799999999996"/>
    <n v="35089.35"/>
    <n v="6.0629021728993752E-2"/>
    <n v="7.1332436069986543E-2"/>
    <n v="11.102371967654985"/>
    <n v="8.5189415826248247"/>
    <n v="2024"/>
    <x v="1"/>
    <n v="8"/>
  </r>
  <r>
    <s v="CAMP1264"/>
    <x v="0"/>
    <x v="0"/>
    <d v="2024-08-04T00:00:00"/>
    <n v="95316"/>
    <n v="5626"/>
    <n v="508"/>
    <n v="489.23"/>
    <n v="55586.3"/>
    <n v="5.902471778085526E-2"/>
    <n v="9.0295058656238894E-2"/>
    <n v="0.96305118110236221"/>
    <n v="113.61997424524253"/>
    <n v="2024"/>
    <x v="1"/>
    <n v="8"/>
  </r>
  <r>
    <s v="CAMP1265"/>
    <x v="6"/>
    <x v="0"/>
    <d v="2024-05-26T00:00:00"/>
    <n v="112182"/>
    <n v="2535"/>
    <n v="95"/>
    <n v="3279.32"/>
    <n v="8828.25"/>
    <n v="2.2597208108252661E-2"/>
    <n v="3.7475345167652857E-2"/>
    <n v="34.519157894736843"/>
    <n v="2.6920977519729701"/>
    <n v="2024"/>
    <x v="8"/>
    <n v="5"/>
  </r>
  <r>
    <s v="CAMP1266"/>
    <x v="3"/>
    <x v="3"/>
    <d v="2024-07-14T00:00:00"/>
    <n v="122581"/>
    <n v="8687"/>
    <n v="1197"/>
    <n v="2003.1"/>
    <n v="105662.82"/>
    <n v="7.0867426436397152E-2"/>
    <n v="0.13779210314262691"/>
    <n v="1.6734335839598997"/>
    <n v="52.749648045529433"/>
    <n v="2024"/>
    <x v="10"/>
    <n v="7"/>
  </r>
  <r>
    <s v="CAMP1267"/>
    <x v="2"/>
    <x v="3"/>
    <d v="2024-03-01T00:00:00"/>
    <n v="51785"/>
    <n v="4116"/>
    <n v="292"/>
    <n v="811.27"/>
    <n v="34418.75"/>
    <n v="7.9482475620353391E-2"/>
    <n v="7.0942662779397467E-2"/>
    <n v="2.7783219178082192"/>
    <n v="42.42576454201437"/>
    <n v="2024"/>
    <x v="6"/>
    <n v="3"/>
  </r>
  <r>
    <s v="CAMP1268"/>
    <x v="4"/>
    <x v="0"/>
    <d v="2024-06-01T00:00:00"/>
    <n v="126373"/>
    <n v="7221"/>
    <n v="655"/>
    <n v="2753.28"/>
    <n v="67030.11"/>
    <n v="5.7140370174008685E-2"/>
    <n v="9.0707658219083234E-2"/>
    <n v="4.2034809160305349"/>
    <n v="24.345547855648533"/>
    <n v="2024"/>
    <x v="2"/>
    <n v="6"/>
  </r>
  <r>
    <s v="CAMP1269"/>
    <x v="1"/>
    <x v="2"/>
    <d v="2024-06-26T00:00:00"/>
    <n v="45664"/>
    <n v="1337"/>
    <n v="189"/>
    <n v="3680.11"/>
    <n v="5912.76"/>
    <n v="2.9279081990189207E-2"/>
    <n v="0.14136125654450263"/>
    <n v="19.471481481481483"/>
    <n v="1.6066802351016682"/>
    <n v="2024"/>
    <x v="2"/>
    <n v="6"/>
  </r>
  <r>
    <s v="CAMP1270"/>
    <x v="3"/>
    <x v="1"/>
    <d v="2025-01-27T00:00:00"/>
    <n v="9101"/>
    <n v="244"/>
    <n v="7"/>
    <n v="3050.93"/>
    <n v="452.51"/>
    <n v="2.6810240632897483E-2"/>
    <n v="2.8688524590163935E-2"/>
    <n v="435.84714285714284"/>
    <n v="0.14831870937714076"/>
    <n v="2025"/>
    <x v="0"/>
    <n v="1"/>
  </r>
  <r>
    <s v="CAMP1271"/>
    <x v="4"/>
    <x v="4"/>
    <d v="2025-01-14T00:00:00"/>
    <n v="16596"/>
    <n v="633"/>
    <n v="31"/>
    <n v="1242.8900000000001"/>
    <n v="3297.56"/>
    <n v="3.8141720896601589E-2"/>
    <n v="4.8973143759873619E-2"/>
    <n v="40.093225806451613"/>
    <n v="2.6531390549445244"/>
    <n v="2025"/>
    <x v="0"/>
    <n v="1"/>
  </r>
  <r>
    <s v="CAMP1272"/>
    <x v="4"/>
    <x v="4"/>
    <d v="2024-09-14T00:00:00"/>
    <n v="80828"/>
    <n v="2133"/>
    <n v="296"/>
    <n v="2965.33"/>
    <n v="23013.25"/>
    <n v="2.6389370020289998E-2"/>
    <n v="0.13877168307548055"/>
    <n v="10.018006756756757"/>
    <n v="7.760771988277865"/>
    <n v="2024"/>
    <x v="11"/>
    <n v="9"/>
  </r>
  <r>
    <s v="CAMP1273"/>
    <x v="7"/>
    <x v="4"/>
    <d v="2024-06-03T00:00:00"/>
    <n v="42554"/>
    <n v="3361"/>
    <n v="294"/>
    <n v="2185.09"/>
    <n v="13969.53"/>
    <n v="7.8981999342012499E-2"/>
    <n v="8.7473966081523358E-2"/>
    <n v="7.4322789115646266"/>
    <n v="6.39311424243395"/>
    <n v="2024"/>
    <x v="2"/>
    <n v="6"/>
  </r>
  <r>
    <s v="CAMP1274"/>
    <x v="2"/>
    <x v="2"/>
    <d v="2024-10-11T00:00:00"/>
    <n v="134924"/>
    <n v="1792"/>
    <n v="116"/>
    <n v="3287.92"/>
    <n v="6741.39"/>
    <n v="1.3281551095431502E-2"/>
    <n v="6.4732142857142863E-2"/>
    <n v="28.344137931034485"/>
    <n v="2.0503509817757122"/>
    <n v="2024"/>
    <x v="3"/>
    <n v="10"/>
  </r>
  <r>
    <s v="CAMP1275"/>
    <x v="7"/>
    <x v="2"/>
    <d v="2024-07-28T00:00:00"/>
    <n v="44116"/>
    <n v="1367"/>
    <n v="60"/>
    <n v="2782.06"/>
    <n v="2645.81"/>
    <n v="3.0986490162299391E-2"/>
    <n v="4.3891733723482075E-2"/>
    <n v="46.367666666666665"/>
    <n v="0.95102549909060197"/>
    <n v="2024"/>
    <x v="10"/>
    <n v="7"/>
  </r>
  <r>
    <s v="CAMP1276"/>
    <x v="1"/>
    <x v="3"/>
    <d v="2024-12-28T00:00:00"/>
    <n v="42840"/>
    <n v="2844"/>
    <n v="395"/>
    <n v="2899.45"/>
    <n v="46127.55"/>
    <n v="6.638655462184874E-2"/>
    <n v="0.1388888888888889"/>
    <n v="7.3403797468354428"/>
    <n v="15.909068961354741"/>
    <n v="2024"/>
    <x v="4"/>
    <n v="12"/>
  </r>
  <r>
    <s v="CAMP1277"/>
    <x v="2"/>
    <x v="2"/>
    <d v="2024-05-04T00:00:00"/>
    <n v="71845"/>
    <n v="1741"/>
    <n v="181"/>
    <n v="4626.6899999999996"/>
    <n v="18953.11"/>
    <n v="2.4232723223606374E-2"/>
    <n v="0.10396323951751867"/>
    <n v="25.561823204419888"/>
    <n v="4.0964728564049038"/>
    <n v="2024"/>
    <x v="8"/>
    <n v="5"/>
  </r>
  <r>
    <s v="CAMP1278"/>
    <x v="0"/>
    <x v="1"/>
    <d v="2025-01-05T00:00:00"/>
    <n v="54933"/>
    <n v="747"/>
    <n v="51"/>
    <n v="3103.85"/>
    <n v="1221.69"/>
    <n v="1.3598383485336683E-2"/>
    <n v="6.8273092369477914E-2"/>
    <n v="60.859803921568627"/>
    <n v="0.3936047167227798"/>
    <n v="2025"/>
    <x v="0"/>
    <n v="1"/>
  </r>
  <r>
    <s v="CAMP1279"/>
    <x v="0"/>
    <x v="4"/>
    <d v="2025-02-15T00:00:00"/>
    <n v="61889"/>
    <n v="2695"/>
    <n v="358"/>
    <n v="1798.23"/>
    <n v="41421.31"/>
    <n v="4.3545702790479729E-2"/>
    <n v="0.13283858998144712"/>
    <n v="5.0229888268156424"/>
    <n v="23.034489470201251"/>
    <n v="2025"/>
    <x v="9"/>
    <n v="2"/>
  </r>
  <r>
    <s v="CAMP1280"/>
    <x v="4"/>
    <x v="4"/>
    <d v="2024-04-07T00:00:00"/>
    <n v="35753"/>
    <n v="2226"/>
    <n v="262"/>
    <n v="4589.32"/>
    <n v="23465.41"/>
    <n v="6.2260509607585376E-2"/>
    <n v="0.11769991015274034"/>
    <n v="17.51648854961832"/>
    <n v="5.1130472488298926"/>
    <n v="2024"/>
    <x v="7"/>
    <n v="4"/>
  </r>
  <r>
    <s v="CAMP1281"/>
    <x v="1"/>
    <x v="2"/>
    <d v="2024-05-02T00:00:00"/>
    <n v="149724"/>
    <n v="4867"/>
    <n v="276"/>
    <n v="2438"/>
    <n v="23424.71"/>
    <n v="3.250647858726724E-2"/>
    <n v="5.6708444627080336E-2"/>
    <n v="8.8333333333333339"/>
    <n v="9.6081665299425758"/>
    <n v="2024"/>
    <x v="8"/>
    <n v="5"/>
  </r>
  <r>
    <s v="CAMP1282"/>
    <x v="5"/>
    <x v="3"/>
    <d v="2024-07-03T00:00:00"/>
    <n v="139431"/>
    <n v="10010"/>
    <n v="806"/>
    <n v="4053.52"/>
    <n v="74346.53"/>
    <n v="7.1791782315267047E-2"/>
    <n v="8.0519480519480519E-2"/>
    <n v="5.0291811414392056"/>
    <n v="18.341226884288222"/>
    <n v="2024"/>
    <x v="10"/>
    <n v="7"/>
  </r>
  <r>
    <s v="CAMP1283"/>
    <x v="7"/>
    <x v="4"/>
    <d v="2024-07-08T00:00:00"/>
    <n v="87030"/>
    <n v="3392"/>
    <n v="315"/>
    <n v="1262.1199999999999"/>
    <n v="10896.57"/>
    <n v="3.8975066069171553E-2"/>
    <n v="9.2865566037735853E-2"/>
    <n v="4.006730158730158"/>
    <n v="8.6335451462618451"/>
    <n v="2024"/>
    <x v="10"/>
    <n v="7"/>
  </r>
  <r>
    <s v="CAMP1284"/>
    <x v="5"/>
    <x v="1"/>
    <d v="2024-10-26T00:00:00"/>
    <n v="114465"/>
    <n v="3509"/>
    <n v="159"/>
    <n v="1304.0899999999999"/>
    <n v="12239.65"/>
    <n v="3.0655658935045647E-2"/>
    <n v="4.531205471644343E-2"/>
    <n v="8.2018238993710693"/>
    <n v="9.385586884340805"/>
    <n v="2024"/>
    <x v="3"/>
    <n v="10"/>
  </r>
  <r>
    <s v="CAMP1285"/>
    <x v="1"/>
    <x v="2"/>
    <d v="2024-10-08T00:00:00"/>
    <n v="93490"/>
    <n v="2618"/>
    <n v="331"/>
    <n v="4839.24"/>
    <n v="27860.09"/>
    <n v="2.8002994972724356E-2"/>
    <n v="0.12643239113827348"/>
    <n v="14.620060422960725"/>
    <n v="5.7571209528768987"/>
    <n v="2024"/>
    <x v="3"/>
    <n v="10"/>
  </r>
  <r>
    <s v="CAMP1286"/>
    <x v="6"/>
    <x v="2"/>
    <d v="2024-03-27T00:00:00"/>
    <n v="97320"/>
    <n v="2126"/>
    <n v="241"/>
    <n v="2543.92"/>
    <n v="26917.279999999999"/>
    <n v="2.1845458281956432E-2"/>
    <n v="0.11335841956726246"/>
    <n v="10.555684647302904"/>
    <n v="10.58102456052077"/>
    <n v="2024"/>
    <x v="6"/>
    <n v="3"/>
  </r>
  <r>
    <s v="CAMP1287"/>
    <x v="4"/>
    <x v="1"/>
    <d v="2024-01-18T00:00:00"/>
    <n v="24485"/>
    <n v="1864"/>
    <n v="199"/>
    <n v="3868.83"/>
    <n v="12186.61"/>
    <n v="7.6128241780682046E-2"/>
    <n v="0.10675965665236052"/>
    <n v="19.441356783919598"/>
    <n v="3.1499471416423055"/>
    <n v="2024"/>
    <x v="0"/>
    <n v="1"/>
  </r>
  <r>
    <s v="CAMP1288"/>
    <x v="1"/>
    <x v="0"/>
    <d v="2024-12-28T00:00:00"/>
    <n v="44591"/>
    <n v="474"/>
    <n v="40"/>
    <n v="1991.36"/>
    <n v="3271.34"/>
    <n v="1.0629947747303267E-2"/>
    <n v="8.4388185654008435E-2"/>
    <n v="49.783999999999999"/>
    <n v="1.6427667523702396"/>
    <n v="2024"/>
    <x v="4"/>
    <n v="12"/>
  </r>
  <r>
    <s v="CAMP1289"/>
    <x v="6"/>
    <x v="2"/>
    <d v="2024-01-09T00:00:00"/>
    <n v="6733"/>
    <n v="318"/>
    <n v="23"/>
    <n v="280.29000000000002"/>
    <n v="2121.04"/>
    <n v="4.723006089410367E-2"/>
    <n v="7.2327044025157231E-2"/>
    <n v="12.186521739130436"/>
    <n v="7.56730529094866"/>
    <n v="2024"/>
    <x v="0"/>
    <n v="1"/>
  </r>
  <r>
    <s v="CAMP1290"/>
    <x v="5"/>
    <x v="0"/>
    <d v="2024-09-14T00:00:00"/>
    <n v="117872"/>
    <n v="7830"/>
    <n v="1082"/>
    <n v="713.68"/>
    <n v="32061.16"/>
    <n v="6.6427989683724722E-2"/>
    <n v="0.13818646232439336"/>
    <n v="0.65959334565619221"/>
    <n v="44.923719313978253"/>
    <n v="2024"/>
    <x v="11"/>
    <n v="9"/>
  </r>
  <r>
    <s v="CAMP1291"/>
    <x v="2"/>
    <x v="4"/>
    <d v="2024-04-08T00:00:00"/>
    <n v="143007"/>
    <n v="3956"/>
    <n v="261"/>
    <n v="4015.69"/>
    <n v="7282.4"/>
    <n v="2.7662981532372542E-2"/>
    <n v="6.5975733063700706E-2"/>
    <n v="15.385785440613027"/>
    <n v="1.8134865988161435"/>
    <n v="2024"/>
    <x v="7"/>
    <n v="4"/>
  </r>
  <r>
    <s v="CAMP1292"/>
    <x v="3"/>
    <x v="2"/>
    <d v="2024-10-16T00:00:00"/>
    <n v="68755"/>
    <n v="5453"/>
    <n v="269"/>
    <n v="3483.4"/>
    <n v="28187.63"/>
    <n v="7.9310595593047775E-2"/>
    <n v="4.9330643682376676E-2"/>
    <n v="12.949442379182157"/>
    <n v="8.0919877131538147"/>
    <n v="2024"/>
    <x v="3"/>
    <n v="10"/>
  </r>
  <r>
    <s v="CAMP1293"/>
    <x v="4"/>
    <x v="0"/>
    <d v="2024-07-26T00:00:00"/>
    <n v="104421"/>
    <n v="3801"/>
    <n v="311"/>
    <n v="3256.39"/>
    <n v="28078.48"/>
    <n v="3.6400723992300398E-2"/>
    <n v="8.1820573533280719E-2"/>
    <n v="10.470707395498392"/>
    <n v="8.6225789908456907"/>
    <n v="2024"/>
    <x v="10"/>
    <n v="7"/>
  </r>
  <r>
    <s v="CAMP1294"/>
    <x v="0"/>
    <x v="2"/>
    <d v="2024-08-10T00:00:00"/>
    <n v="91840"/>
    <n v="4556"/>
    <n v="599"/>
    <n v="657.74"/>
    <n v="43616.74"/>
    <n v="4.960801393728223E-2"/>
    <n v="0.13147497805092187"/>
    <n v="1.0980634390651085"/>
    <n v="66.31304162739076"/>
    <n v="2024"/>
    <x v="1"/>
    <n v="8"/>
  </r>
  <r>
    <s v="CAMP1295"/>
    <x v="4"/>
    <x v="4"/>
    <d v="2024-04-18T00:00:00"/>
    <n v="129649"/>
    <n v="3756"/>
    <n v="526"/>
    <n v="3485.26"/>
    <n v="25267.62"/>
    <n v="2.8970528118226906E-2"/>
    <n v="0.14004259850905218"/>
    <n v="6.6259695817490503"/>
    <n v="7.2498522348404419"/>
    <n v="2024"/>
    <x v="7"/>
    <n v="4"/>
  </r>
  <r>
    <s v="CAMP1296"/>
    <x v="4"/>
    <x v="4"/>
    <d v="2024-06-10T00:00:00"/>
    <n v="9104"/>
    <n v="703"/>
    <n v="67"/>
    <n v="3810.82"/>
    <n v="6115.17"/>
    <n v="7.7218804920913889E-2"/>
    <n v="9.5305832147937405E-2"/>
    <n v="56.877910447761195"/>
    <n v="1.6046861305440823"/>
    <n v="2024"/>
    <x v="2"/>
    <n v="6"/>
  </r>
  <r>
    <s v="CAMP1297"/>
    <x v="3"/>
    <x v="0"/>
    <d v="2024-06-02T00:00:00"/>
    <n v="47585"/>
    <n v="2354"/>
    <n v="220"/>
    <n v="4277.32"/>
    <n v="19294.77"/>
    <n v="4.9469370599978982E-2"/>
    <n v="9.3457943925233641E-2"/>
    <n v="19.442363636363634"/>
    <n v="4.5109484443530068"/>
    <n v="2024"/>
    <x v="2"/>
    <n v="6"/>
  </r>
  <r>
    <s v="CAMP1298"/>
    <x v="7"/>
    <x v="2"/>
    <d v="2025-01-21T00:00:00"/>
    <n v="41687"/>
    <n v="2723"/>
    <n v="298"/>
    <n v="576.45000000000005"/>
    <n v="28174.61"/>
    <n v="6.5320123779595562E-2"/>
    <n v="0.10943811972089607"/>
    <n v="1.9343959731543625"/>
    <n v="48.876069043282158"/>
    <n v="2025"/>
    <x v="0"/>
    <n v="1"/>
  </r>
  <r>
    <s v="CAMP1299"/>
    <x v="7"/>
    <x v="0"/>
    <d v="2024-02-20T00:00:00"/>
    <n v="119580"/>
    <n v="3138"/>
    <n v="93"/>
    <n v="3104.81"/>
    <n v="7568.95"/>
    <n v="2.6241846462619168E-2"/>
    <n v="2.9636711281070746E-2"/>
    <n v="33.385053763440858"/>
    <n v="2.4378142301783363"/>
    <n v="2024"/>
    <x v="9"/>
    <n v="2"/>
  </r>
  <r>
    <s v="CAMP1300"/>
    <x v="3"/>
    <x v="3"/>
    <d v="2024-01-16T00:00:00"/>
    <n v="76651"/>
    <n v="4970"/>
    <n v="390"/>
    <n v="1295.06"/>
    <n v="29368.47"/>
    <n v="6.4839336734028252E-2"/>
    <n v="7.847082494969819E-2"/>
    <n v="3.3206666666666664"/>
    <n v="22.677304526431211"/>
    <n v="2024"/>
    <x v="0"/>
    <n v="1"/>
  </r>
  <r>
    <s v="CAMP1301"/>
    <x v="3"/>
    <x v="2"/>
    <d v="2024-04-05T00:00:00"/>
    <n v="104633"/>
    <n v="1673"/>
    <n v="168"/>
    <n v="4030.66"/>
    <n v="15340.22"/>
    <n v="1.5989219462311126E-2"/>
    <n v="0.100418410041841"/>
    <n v="23.992023809523808"/>
    <n v="3.8058829075139058"/>
    <n v="2024"/>
    <x v="7"/>
    <n v="4"/>
  </r>
  <r>
    <s v="CAMP1302"/>
    <x v="0"/>
    <x v="3"/>
    <d v="2024-03-19T00:00:00"/>
    <n v="104614"/>
    <n v="6257"/>
    <n v="640"/>
    <n v="3750.35"/>
    <n v="33067.410000000003"/>
    <n v="5.9810350431108647E-2"/>
    <n v="0.10228544030685632"/>
    <n v="5.8599218749999995"/>
    <n v="8.8171530657138675"/>
    <n v="2024"/>
    <x v="6"/>
    <n v="3"/>
  </r>
  <r>
    <s v="CAMP1303"/>
    <x v="0"/>
    <x v="0"/>
    <d v="2024-01-03T00:00:00"/>
    <n v="85810"/>
    <n v="3529"/>
    <n v="419"/>
    <n v="690.71"/>
    <n v="12037.75"/>
    <n v="4.112574292040555E-2"/>
    <n v="0.11873051856049872"/>
    <n v="1.6484725536992841"/>
    <n v="17.428081249728539"/>
    <n v="2024"/>
    <x v="0"/>
    <n v="1"/>
  </r>
  <r>
    <s v="CAMP1304"/>
    <x v="3"/>
    <x v="2"/>
    <d v="2024-10-12T00:00:00"/>
    <n v="139333"/>
    <n v="5373"/>
    <n v="125"/>
    <n v="1898.79"/>
    <n v="3663.3"/>
    <n v="3.8562293211227776E-2"/>
    <n v="2.3264470500651405E-2"/>
    <n v="15.19032"/>
    <n v="1.9292812791303937"/>
    <n v="2024"/>
    <x v="3"/>
    <n v="10"/>
  </r>
  <r>
    <s v="CAMP1305"/>
    <x v="7"/>
    <x v="2"/>
    <d v="2024-01-07T00:00:00"/>
    <n v="81506"/>
    <n v="3176"/>
    <n v="385"/>
    <n v="3679.25"/>
    <n v="29242.16"/>
    <n v="3.8966456457193335E-2"/>
    <n v="0.12122166246851386"/>
    <n v="9.5564935064935064"/>
    <n v="7.9478589386423861"/>
    <n v="2024"/>
    <x v="0"/>
    <n v="1"/>
  </r>
  <r>
    <s v="CAMP1306"/>
    <x v="1"/>
    <x v="1"/>
    <d v="2024-09-23T00:00:00"/>
    <n v="49455"/>
    <n v="2867"/>
    <n v="120"/>
    <n v="1490.81"/>
    <n v="5620.88"/>
    <n v="5.7971893640683447E-2"/>
    <n v="4.1855598186257413E-2"/>
    <n v="12.423416666666666"/>
    <n v="3.7703530295611114"/>
    <n v="2024"/>
    <x v="11"/>
    <n v="9"/>
  </r>
  <r>
    <s v="CAMP1307"/>
    <x v="2"/>
    <x v="0"/>
    <d v="2024-03-26T00:00:00"/>
    <n v="118947"/>
    <n v="3487"/>
    <n v="205"/>
    <n v="3956.8"/>
    <n v="11503.06"/>
    <n v="2.931557752612508E-2"/>
    <n v="5.8789790650989389E-2"/>
    <n v="19.301463414634146"/>
    <n v="2.9071623534169024"/>
    <n v="2024"/>
    <x v="6"/>
    <n v="3"/>
  </r>
  <r>
    <s v="CAMP1308"/>
    <x v="1"/>
    <x v="2"/>
    <d v="2024-10-31T00:00:00"/>
    <n v="56261"/>
    <n v="2365"/>
    <n v="88"/>
    <n v="232.48"/>
    <n v="5242.09"/>
    <n v="4.2036224027301325E-2"/>
    <n v="3.7209302325581395E-2"/>
    <n v="2.6418181818181816"/>
    <n v="22.548563317274606"/>
    <n v="2024"/>
    <x v="3"/>
    <n v="10"/>
  </r>
  <r>
    <s v="CAMP1309"/>
    <x v="3"/>
    <x v="3"/>
    <d v="2024-08-13T00:00:00"/>
    <n v="92749"/>
    <n v="3723"/>
    <n v="473"/>
    <n v="3324.98"/>
    <n v="37574.79"/>
    <n v="4.0140594507757497E-2"/>
    <n v="0.1270480795057749"/>
    <n v="7.0295560253699785"/>
    <n v="11.30075669628088"/>
    <n v="2024"/>
    <x v="1"/>
    <n v="8"/>
  </r>
  <r>
    <s v="CAMP1310"/>
    <x v="5"/>
    <x v="3"/>
    <d v="2024-11-04T00:00:00"/>
    <n v="57652"/>
    <n v="2509"/>
    <n v="108"/>
    <n v="2111.5500000000002"/>
    <n v="5606.69"/>
    <n v="4.3519739124401581E-2"/>
    <n v="4.3045037863690711E-2"/>
    <n v="19.551388888888891"/>
    <n v="2.6552485141246946"/>
    <n v="2024"/>
    <x v="5"/>
    <n v="11"/>
  </r>
  <r>
    <s v="CAMP1311"/>
    <x v="6"/>
    <x v="1"/>
    <d v="2025-02-04T00:00:00"/>
    <n v="68550"/>
    <n v="2249"/>
    <n v="126"/>
    <n v="3972.16"/>
    <n v="7119.2"/>
    <n v="3.2808169219547774E-2"/>
    <n v="5.6024899955535792E-2"/>
    <n v="31.525079365079364"/>
    <n v="1.7922742286312736"/>
    <n v="2025"/>
    <x v="9"/>
    <n v="2"/>
  </r>
  <r>
    <s v="CAMP1312"/>
    <x v="1"/>
    <x v="1"/>
    <d v="2024-10-06T00:00:00"/>
    <n v="52166"/>
    <n v="3011"/>
    <n v="275"/>
    <n v="4774.42"/>
    <n v="18194.61"/>
    <n v="5.7719587470766401E-2"/>
    <n v="9.13317834606443E-2"/>
    <n v="17.361527272727272"/>
    <n v="3.8108524176758642"/>
    <n v="2024"/>
    <x v="3"/>
    <n v="10"/>
  </r>
  <r>
    <s v="CAMP1313"/>
    <x v="1"/>
    <x v="2"/>
    <d v="2025-02-12T00:00:00"/>
    <n v="81370"/>
    <n v="5548"/>
    <n v="160"/>
    <n v="4269.38"/>
    <n v="15920.73"/>
    <n v="6.8182376797345456E-2"/>
    <n v="2.8839221341023791E-2"/>
    <n v="26.683624999999999"/>
    <n v="3.7290496512374158"/>
    <n v="2025"/>
    <x v="9"/>
    <n v="2"/>
  </r>
  <r>
    <s v="CAMP1314"/>
    <x v="6"/>
    <x v="4"/>
    <d v="2024-11-20T00:00:00"/>
    <n v="84385"/>
    <n v="2273"/>
    <n v="240"/>
    <n v="3633.13"/>
    <n v="23737.84"/>
    <n v="2.6936066836523078E-2"/>
    <n v="0.10558732952045755"/>
    <n v="15.138041666666668"/>
    <n v="6.5337161070481926"/>
    <n v="2024"/>
    <x v="5"/>
    <n v="11"/>
  </r>
  <r>
    <s v="CAMP1315"/>
    <x v="0"/>
    <x v="2"/>
    <d v="2024-11-02T00:00:00"/>
    <n v="130628"/>
    <n v="6630"/>
    <n v="593"/>
    <n v="4632.78"/>
    <n v="63429.279999999999"/>
    <n v="5.0754815200416449E-2"/>
    <n v="8.9441930618401208E-2"/>
    <n v="7.8124451939291735"/>
    <n v="13.691407750853699"/>
    <n v="2024"/>
    <x v="5"/>
    <n v="11"/>
  </r>
  <r>
    <s v="CAMP1316"/>
    <x v="3"/>
    <x v="1"/>
    <d v="2024-01-19T00:00:00"/>
    <n v="99248"/>
    <n v="5866"/>
    <n v="736"/>
    <n v="3050.34"/>
    <n v="82019.929999999993"/>
    <n v="5.9104465581170398E-2"/>
    <n v="0.12546880327309923"/>
    <n v="4.1444836956521742"/>
    <n v="26.88878288977622"/>
    <n v="2024"/>
    <x v="0"/>
    <n v="1"/>
  </r>
  <r>
    <s v="CAMP1317"/>
    <x v="0"/>
    <x v="4"/>
    <d v="2024-12-02T00:00:00"/>
    <n v="98063"/>
    <n v="2122"/>
    <n v="211"/>
    <n v="2903.46"/>
    <n v="17830.16"/>
    <n v="2.1639150342127E-2"/>
    <n v="9.9434495758718197E-2"/>
    <n v="13.760473933649289"/>
    <n v="6.1410041812182703"/>
    <n v="2024"/>
    <x v="4"/>
    <n v="12"/>
  </r>
  <r>
    <s v="CAMP1318"/>
    <x v="3"/>
    <x v="3"/>
    <d v="2025-02-11T00:00:00"/>
    <n v="117841"/>
    <n v="2052"/>
    <n v="67"/>
    <n v="1265.6099999999999"/>
    <n v="6343.92"/>
    <n v="1.7413294184536791E-2"/>
    <n v="3.2651072124756333E-2"/>
    <n v="18.889701492537313"/>
    <n v="5.0125394078744643"/>
    <n v="2025"/>
    <x v="9"/>
    <n v="2"/>
  </r>
  <r>
    <s v="CAMP1319"/>
    <x v="1"/>
    <x v="2"/>
    <d v="2024-07-10T00:00:00"/>
    <n v="107533"/>
    <n v="4560"/>
    <n v="494"/>
    <n v="3514.1"/>
    <n v="17326.8"/>
    <n v="4.2405587122092754E-2"/>
    <n v="0.10833333333333334"/>
    <n v="7.1135627530364367"/>
    <n v="4.9306508067499504"/>
    <n v="2024"/>
    <x v="10"/>
    <n v="7"/>
  </r>
  <r>
    <s v="CAMP1320"/>
    <x v="4"/>
    <x v="2"/>
    <d v="2024-02-23T00:00:00"/>
    <n v="82445"/>
    <n v="3225"/>
    <n v="467"/>
    <n v="757.13"/>
    <n v="53269.58"/>
    <n v="3.9116987082297286E-2"/>
    <n v="0.14480620155038759"/>
    <n v="1.6212633832976446"/>
    <n v="70.357243802253251"/>
    <n v="2024"/>
    <x v="9"/>
    <n v="2"/>
  </r>
  <r>
    <s v="CAMP1321"/>
    <x v="2"/>
    <x v="3"/>
    <d v="2024-06-08T00:00:00"/>
    <n v="94932"/>
    <n v="3975"/>
    <n v="186"/>
    <n v="2518.04"/>
    <n v="12576.62"/>
    <n v="4.1872076855012007E-2"/>
    <n v="4.679245283018868E-2"/>
    <n v="13.537849462365591"/>
    <n v="4.9946069164906044"/>
    <n v="2024"/>
    <x v="2"/>
    <n v="6"/>
  </r>
  <r>
    <s v="CAMP1322"/>
    <x v="6"/>
    <x v="2"/>
    <d v="2024-06-12T00:00:00"/>
    <n v="22609"/>
    <n v="701"/>
    <n v="87"/>
    <n v="752.41"/>
    <n v="9127.8700000000008"/>
    <n v="3.1005351851032776E-2"/>
    <n v="0.12410841654778887"/>
    <n v="8.6483908045977014"/>
    <n v="12.131510745471221"/>
    <n v="2024"/>
    <x v="2"/>
    <n v="6"/>
  </r>
  <r>
    <s v="CAMP1323"/>
    <x v="0"/>
    <x v="4"/>
    <d v="2025-01-14T00:00:00"/>
    <n v="68940"/>
    <n v="3179"/>
    <n v="291"/>
    <n v="1788.75"/>
    <n v="18227.349999999999"/>
    <n v="4.6112561647809691E-2"/>
    <n v="9.1538219565901233E-2"/>
    <n v="6.1469072164948457"/>
    <n v="10.189993011879803"/>
    <n v="2025"/>
    <x v="0"/>
    <n v="1"/>
  </r>
  <r>
    <s v="CAMP1324"/>
    <x v="6"/>
    <x v="4"/>
    <d v="2025-02-12T00:00:00"/>
    <n v="111180"/>
    <n v="6012"/>
    <n v="265"/>
    <n v="3355.08"/>
    <n v="15782.93"/>
    <n v="5.4074473826227737E-2"/>
    <n v="4.4078509647371922E-2"/>
    <n v="12.660679245283019"/>
    <n v="4.7041888718003744"/>
    <n v="2025"/>
    <x v="9"/>
    <n v="2"/>
  </r>
  <r>
    <s v="CAMP1325"/>
    <x v="1"/>
    <x v="2"/>
    <d v="2024-10-30T00:00:00"/>
    <n v="117604"/>
    <n v="4377"/>
    <n v="488"/>
    <n v="1187.77"/>
    <n v="46473.48"/>
    <n v="3.7218121832590725E-2"/>
    <n v="0.11149188942197852"/>
    <n v="2.4339549180327866"/>
    <n v="39.126665937008013"/>
    <n v="2024"/>
    <x v="3"/>
    <n v="10"/>
  </r>
  <r>
    <s v="CAMP1326"/>
    <x v="0"/>
    <x v="1"/>
    <d v="2024-02-22T00:00:00"/>
    <n v="145742"/>
    <n v="3364"/>
    <n v="209"/>
    <n v="2396.2399999999998"/>
    <n v="9663.19"/>
    <n v="2.308188442590331E-2"/>
    <n v="6.2128418549346018E-2"/>
    <n v="11.465263157894736"/>
    <n v="4.0326469802690887"/>
    <n v="2024"/>
    <x v="9"/>
    <n v="2"/>
  </r>
  <r>
    <s v="CAMP1327"/>
    <x v="6"/>
    <x v="1"/>
    <d v="2024-11-23T00:00:00"/>
    <n v="87157"/>
    <n v="4513"/>
    <n v="448"/>
    <n v="3017.62"/>
    <n v="24547.02"/>
    <n v="5.1780120931193135E-2"/>
    <n v="9.9268779082650124E-2"/>
    <n v="6.7357589285714283"/>
    <n v="8.1345629999801172"/>
    <n v="2024"/>
    <x v="5"/>
    <n v="11"/>
  </r>
  <r>
    <s v="CAMP1328"/>
    <x v="6"/>
    <x v="1"/>
    <d v="2024-03-29T00:00:00"/>
    <n v="82973"/>
    <n v="6165"/>
    <n v="596"/>
    <n v="3426.13"/>
    <n v="30585.87"/>
    <n v="7.4301278729225165E-2"/>
    <n v="9.6674776966747769E-2"/>
    <n v="5.7485402684563764"/>
    <n v="8.9272356857445558"/>
    <n v="2024"/>
    <x v="6"/>
    <n v="3"/>
  </r>
  <r>
    <s v="CAMP1329"/>
    <x v="1"/>
    <x v="3"/>
    <d v="2024-02-29T00:00:00"/>
    <n v="52984"/>
    <n v="1914"/>
    <n v="73"/>
    <n v="2064.62"/>
    <n v="5813.91"/>
    <n v="3.6124112939755398E-2"/>
    <n v="3.8140020898641588E-2"/>
    <n v="28.282465753424656"/>
    <n v="2.815970977710184"/>
    <n v="2024"/>
    <x v="9"/>
    <n v="2"/>
  </r>
  <r>
    <s v="CAMP1330"/>
    <x v="3"/>
    <x v="2"/>
    <d v="2024-04-05T00:00:00"/>
    <n v="132577"/>
    <n v="7223"/>
    <n v="795"/>
    <n v="3297.25"/>
    <n v="95392.01"/>
    <n v="5.4481546572934976E-2"/>
    <n v="0.11006506991554756"/>
    <n v="4.1474842767295597"/>
    <n v="28.930778679202366"/>
    <n v="2024"/>
    <x v="7"/>
    <n v="4"/>
  </r>
  <r>
    <s v="CAMP1331"/>
    <x v="2"/>
    <x v="2"/>
    <d v="2024-05-27T00:00:00"/>
    <n v="41777"/>
    <n v="964"/>
    <n v="124"/>
    <n v="3173.17"/>
    <n v="13212.48"/>
    <n v="2.3074897670967279E-2"/>
    <n v="0.12863070539419086"/>
    <n v="25.59008064516129"/>
    <n v="4.1638109524544857"/>
    <n v="2024"/>
    <x v="8"/>
    <n v="5"/>
  </r>
  <r>
    <s v="CAMP1332"/>
    <x v="4"/>
    <x v="2"/>
    <d v="2024-03-10T00:00:00"/>
    <n v="56151"/>
    <n v="3765"/>
    <n v="547"/>
    <n v="2626.1"/>
    <n v="38014.85"/>
    <n v="6.7051343698242241E-2"/>
    <n v="0.14528552456839308"/>
    <n v="4.8009140767824494"/>
    <n v="14.475781577243822"/>
    <n v="2024"/>
    <x v="6"/>
    <n v="3"/>
  </r>
  <r>
    <s v="CAMP1333"/>
    <x v="6"/>
    <x v="2"/>
    <d v="2024-12-29T00:00:00"/>
    <n v="121353"/>
    <n v="5364"/>
    <n v="164"/>
    <n v="348.13"/>
    <n v="15761.33"/>
    <n v="4.4201626659415093E-2"/>
    <n v="3.0574198359433258E-2"/>
    <n v="2.1227439024390242"/>
    <n v="45.274265360641138"/>
    <n v="2024"/>
    <x v="4"/>
    <n v="12"/>
  </r>
  <r>
    <s v="CAMP1334"/>
    <x v="5"/>
    <x v="0"/>
    <d v="2024-05-20T00:00:00"/>
    <n v="63941"/>
    <n v="3045"/>
    <n v="127"/>
    <n v="2395.14"/>
    <n v="11969.98"/>
    <n v="4.7622026555731063E-2"/>
    <n v="4.1707717569786536E-2"/>
    <n v="18.859370078740156"/>
    <n v="4.9976118306236801"/>
    <n v="2024"/>
    <x v="8"/>
    <n v="5"/>
  </r>
  <r>
    <s v="CAMP1335"/>
    <x v="6"/>
    <x v="1"/>
    <d v="2024-09-18T00:00:00"/>
    <n v="34677"/>
    <n v="1736"/>
    <n v="95"/>
    <n v="2806.91"/>
    <n v="11313.49"/>
    <n v="5.0062000749776507E-2"/>
    <n v="5.4723502304147464E-2"/>
    <n v="29.546421052631576"/>
    <n v="4.0305852342967894"/>
    <n v="2024"/>
    <x v="11"/>
    <n v="9"/>
  </r>
  <r>
    <s v="CAMP1336"/>
    <x v="4"/>
    <x v="2"/>
    <d v="2024-10-06T00:00:00"/>
    <n v="62289"/>
    <n v="4938"/>
    <n v="164"/>
    <n v="4184.34"/>
    <n v="15602.07"/>
    <n v="7.9275634542214521E-2"/>
    <n v="3.3211826650465778E-2"/>
    <n v="25.514268292682928"/>
    <n v="3.7286812257130153"/>
    <n v="2024"/>
    <x v="3"/>
    <n v="10"/>
  </r>
  <r>
    <s v="CAMP1337"/>
    <x v="5"/>
    <x v="0"/>
    <d v="2024-08-18T00:00:00"/>
    <n v="73895"/>
    <n v="2542"/>
    <n v="320"/>
    <n v="2307.54"/>
    <n v="38206.65"/>
    <n v="3.4400162392584074E-2"/>
    <n v="0.12588512981904013"/>
    <n v="7.2110624999999997"/>
    <n v="16.557307782313632"/>
    <n v="2024"/>
    <x v="1"/>
    <n v="8"/>
  </r>
  <r>
    <s v="CAMP1338"/>
    <x v="1"/>
    <x v="4"/>
    <d v="2025-02-19T00:00:00"/>
    <n v="96915"/>
    <n v="6810"/>
    <n v="676"/>
    <n v="2255.1999999999998"/>
    <n v="55171.82"/>
    <n v="7.0267760408605481E-2"/>
    <n v="9.9265785609397944E-2"/>
    <n v="3.3360946745562128"/>
    <n v="24.464269244412915"/>
    <n v="2025"/>
    <x v="9"/>
    <n v="2"/>
  </r>
  <r>
    <s v="CAMP1339"/>
    <x v="1"/>
    <x v="4"/>
    <d v="2025-02-16T00:00:00"/>
    <n v="20560"/>
    <n v="1026"/>
    <n v="91"/>
    <n v="3064.92"/>
    <n v="3352.23"/>
    <n v="4.9902723735408563E-2"/>
    <n v="8.8693957115009742E-2"/>
    <n v="33.680439560439559"/>
    <n v="1.0937414353392585"/>
    <n v="2025"/>
    <x v="9"/>
    <n v="2"/>
  </r>
  <r>
    <s v="CAMP1340"/>
    <x v="5"/>
    <x v="3"/>
    <d v="2024-10-20T00:00:00"/>
    <n v="75082"/>
    <n v="5756"/>
    <n v="500"/>
    <n v="4520.75"/>
    <n v="50759.05"/>
    <n v="7.6662848618843399E-2"/>
    <n v="8.6865879082696315E-2"/>
    <n v="9.0414999999999992"/>
    <n v="11.228015262954157"/>
    <n v="2024"/>
    <x v="3"/>
    <n v="10"/>
  </r>
  <r>
    <s v="CAMP1341"/>
    <x v="2"/>
    <x v="2"/>
    <d v="2024-01-31T00:00:00"/>
    <n v="77698"/>
    <n v="5492"/>
    <n v="200"/>
    <n v="4357.18"/>
    <n v="8993.5400000000009"/>
    <n v="7.0683930088290561E-2"/>
    <n v="3.6416605972323379E-2"/>
    <n v="21.785900000000002"/>
    <n v="2.0640735521598832"/>
    <n v="2024"/>
    <x v="0"/>
    <n v="1"/>
  </r>
  <r>
    <s v="CAMP1342"/>
    <x v="7"/>
    <x v="4"/>
    <d v="2025-01-24T00:00:00"/>
    <n v="107944"/>
    <n v="4777"/>
    <n v="454"/>
    <n v="1489.84"/>
    <n v="27885.82"/>
    <n v="4.4254428222041058E-2"/>
    <n v="9.5038727234666109E-2"/>
    <n v="3.2815859030837005"/>
    <n v="18.717325350373194"/>
    <n v="2025"/>
    <x v="0"/>
    <n v="1"/>
  </r>
  <r>
    <s v="CAMP1343"/>
    <x v="6"/>
    <x v="0"/>
    <d v="2024-11-20T00:00:00"/>
    <n v="29404"/>
    <n v="1123"/>
    <n v="131"/>
    <n v="3534.58"/>
    <n v="14112.86"/>
    <n v="3.8192082709835394E-2"/>
    <n v="0.11665182546749778"/>
    <n v="26.981526717557252"/>
    <n v="3.9927968811004422"/>
    <n v="2024"/>
    <x v="5"/>
    <n v="11"/>
  </r>
  <r>
    <s v="CAMP1344"/>
    <x v="6"/>
    <x v="2"/>
    <d v="2024-06-16T00:00:00"/>
    <n v="5648"/>
    <n v="400"/>
    <n v="52"/>
    <n v="647.08000000000004"/>
    <n v="6095.18"/>
    <n v="7.0821529745042494E-2"/>
    <n v="0.13"/>
    <n v="12.443846153846154"/>
    <n v="9.4195153613154474"/>
    <n v="2024"/>
    <x v="2"/>
    <n v="6"/>
  </r>
  <r>
    <s v="CAMP1345"/>
    <x v="7"/>
    <x v="0"/>
    <d v="2025-02-11T00:00:00"/>
    <n v="145096"/>
    <n v="5490"/>
    <n v="800"/>
    <n v="4159.2700000000004"/>
    <n v="55577.2"/>
    <n v="3.7837018249986219E-2"/>
    <n v="0.14571948998178508"/>
    <n v="5.199087500000001"/>
    <n v="13.362248663828025"/>
    <n v="2025"/>
    <x v="9"/>
    <n v="2"/>
  </r>
  <r>
    <s v="CAMP1346"/>
    <x v="7"/>
    <x v="3"/>
    <d v="2024-06-21T00:00:00"/>
    <n v="148474"/>
    <n v="7491"/>
    <n v="701"/>
    <n v="2529.62"/>
    <n v="38116.15"/>
    <n v="5.0453278015005994E-2"/>
    <n v="9.3578961420371115E-2"/>
    <n v="3.6085877318116975"/>
    <n v="15.067935104877414"/>
    <n v="2024"/>
    <x v="2"/>
    <n v="6"/>
  </r>
  <r>
    <s v="CAMP1347"/>
    <x v="4"/>
    <x v="0"/>
    <d v="2024-02-20T00:00:00"/>
    <n v="125476"/>
    <n v="1397"/>
    <n v="196"/>
    <n v="958.32"/>
    <n v="12867.76"/>
    <n v="1.1133603238866396E-2"/>
    <n v="0.14030064423765212"/>
    <n v="4.8893877551020415"/>
    <n v="13.427414642290675"/>
    <n v="2024"/>
    <x v="9"/>
    <n v="2"/>
  </r>
  <r>
    <s v="CAMP1348"/>
    <x v="3"/>
    <x v="4"/>
    <d v="2024-12-18T00:00:00"/>
    <n v="39580"/>
    <n v="2839"/>
    <n v="168"/>
    <n v="4397.2299999999996"/>
    <n v="18086.8"/>
    <n v="7.1728145528044462E-2"/>
    <n v="5.9175766114829165E-2"/>
    <n v="26.173988095238094"/>
    <n v="4.1132258262588044"/>
    <n v="2024"/>
    <x v="4"/>
    <n v="12"/>
  </r>
  <r>
    <s v="CAMP1349"/>
    <x v="0"/>
    <x v="3"/>
    <d v="2024-05-08T00:00:00"/>
    <n v="26606"/>
    <n v="958"/>
    <n v="131"/>
    <n v="994.52"/>
    <n v="7812.07"/>
    <n v="3.6006915733293239E-2"/>
    <n v="0.13674321503131523"/>
    <n v="7.5917557251908399"/>
    <n v="7.8551160358766037"/>
    <n v="2024"/>
    <x v="8"/>
    <n v="5"/>
  </r>
  <r>
    <s v="CAMP1350"/>
    <x v="5"/>
    <x v="4"/>
    <d v="2024-08-07T00:00:00"/>
    <n v="28907"/>
    <n v="1712"/>
    <n v="34"/>
    <n v="2488.67"/>
    <n v="1131.18"/>
    <n v="5.9224409312623238E-2"/>
    <n v="1.9859813084112148E-2"/>
    <n v="73.196176470588242"/>
    <n v="0.45453193874639869"/>
    <n v="2024"/>
    <x v="1"/>
    <n v="8"/>
  </r>
  <r>
    <s v="CAMP1351"/>
    <x v="1"/>
    <x v="1"/>
    <d v="2024-12-14T00:00:00"/>
    <n v="121671"/>
    <n v="1295"/>
    <n v="143"/>
    <n v="4122.12"/>
    <n v="16990.62"/>
    <n v="1.0643456534424802E-2"/>
    <n v="0.11042471042471043"/>
    <n v="28.826013986013987"/>
    <n v="4.1218159587784928"/>
    <n v="2024"/>
    <x v="4"/>
    <n v="12"/>
  </r>
  <r>
    <s v="CAMP1352"/>
    <x v="3"/>
    <x v="4"/>
    <d v="2024-09-01T00:00:00"/>
    <n v="23567"/>
    <n v="613"/>
    <n v="19"/>
    <n v="4068.59"/>
    <n v="576.08000000000004"/>
    <n v="2.6010947511350618E-2"/>
    <n v="3.0995106035889071E-2"/>
    <n v="214.13631578947368"/>
    <n v="0.14159205031718605"/>
    <n v="2024"/>
    <x v="11"/>
    <n v="9"/>
  </r>
  <r>
    <s v="CAMP1353"/>
    <x v="7"/>
    <x v="3"/>
    <d v="2024-03-11T00:00:00"/>
    <n v="105328"/>
    <n v="6755"/>
    <n v="796"/>
    <n v="839.1"/>
    <n v="94958.04"/>
    <n v="6.4132994075649402E-2"/>
    <n v="0.11783863804589194"/>
    <n v="1.0541457286432161"/>
    <n v="113.16653557382909"/>
    <n v="2024"/>
    <x v="6"/>
    <n v="3"/>
  </r>
  <r>
    <s v="CAMP1354"/>
    <x v="2"/>
    <x v="0"/>
    <d v="2024-09-28T00:00:00"/>
    <n v="7221"/>
    <n v="380"/>
    <n v="15"/>
    <n v="1885.7"/>
    <n v="619.58000000000004"/>
    <n v="5.2624290264506303E-2"/>
    <n v="3.9473684210526314E-2"/>
    <n v="125.71333333333334"/>
    <n v="0.32856764066394445"/>
    <n v="2024"/>
    <x v="11"/>
    <n v="9"/>
  </r>
  <r>
    <s v="CAMP1355"/>
    <x v="2"/>
    <x v="2"/>
    <d v="2024-11-11T00:00:00"/>
    <n v="120968"/>
    <n v="8491"/>
    <n v="265"/>
    <n v="682.23"/>
    <n v="25239.81"/>
    <n v="7.0192116923483899E-2"/>
    <n v="3.1209515958073253E-2"/>
    <n v="2.5744528301886791"/>
    <n v="36.996042390396198"/>
    <n v="2024"/>
    <x v="5"/>
    <n v="11"/>
  </r>
  <r>
    <s v="CAMP1356"/>
    <x v="3"/>
    <x v="3"/>
    <d v="2024-08-07T00:00:00"/>
    <n v="87445"/>
    <n v="5716"/>
    <n v="298"/>
    <n v="3294.18"/>
    <n v="13355.38"/>
    <n v="6.5366801989822171E-2"/>
    <n v="5.2134359692092375E-2"/>
    <n v="11.054295302013422"/>
    <n v="4.0542350448366511"/>
    <n v="2024"/>
    <x v="1"/>
    <n v="8"/>
  </r>
  <r>
    <s v="CAMP1357"/>
    <x v="5"/>
    <x v="0"/>
    <d v="2024-12-03T00:00:00"/>
    <n v="84075"/>
    <n v="2049"/>
    <n v="202"/>
    <n v="1105.5"/>
    <n v="11953.37"/>
    <n v="2.4371097234611953E-2"/>
    <n v="9.8584675451439729E-2"/>
    <n v="5.4727722772277225"/>
    <n v="10.812636815920399"/>
    <n v="2024"/>
    <x v="4"/>
    <n v="12"/>
  </r>
  <r>
    <s v="CAMP1358"/>
    <x v="4"/>
    <x v="4"/>
    <d v="2024-09-10T00:00:00"/>
    <n v="106157"/>
    <n v="1899"/>
    <n v="161"/>
    <n v="3050.86"/>
    <n v="11725.41"/>
    <n v="1.7888598961914901E-2"/>
    <n v="8.4781463928383358E-2"/>
    <n v="18.949440993788819"/>
    <n v="3.8433130330464196"/>
    <n v="2024"/>
    <x v="11"/>
    <n v="9"/>
  </r>
  <r>
    <s v="CAMP1359"/>
    <x v="4"/>
    <x v="3"/>
    <d v="2024-06-11T00:00:00"/>
    <n v="39598"/>
    <n v="1468"/>
    <n v="189"/>
    <n v="2220.14"/>
    <n v="14106.13"/>
    <n v="3.7072579423203189E-2"/>
    <n v="0.1287465940054496"/>
    <n v="11.746772486772485"/>
    <n v="6.3537119280766081"/>
    <n v="2024"/>
    <x v="2"/>
    <n v="6"/>
  </r>
  <r>
    <s v="CAMP1360"/>
    <x v="2"/>
    <x v="2"/>
    <d v="2025-01-29T00:00:00"/>
    <n v="24134"/>
    <n v="269"/>
    <n v="7"/>
    <n v="1458.49"/>
    <n v="167.88"/>
    <n v="1.1146100936438219E-2"/>
    <n v="2.6022304832713755E-2"/>
    <n v="208.3557142857143"/>
    <n v="0.11510534868254153"/>
    <n v="2025"/>
    <x v="0"/>
    <n v="1"/>
  </r>
  <r>
    <s v="CAMP1361"/>
    <x v="4"/>
    <x v="2"/>
    <d v="2024-09-16T00:00:00"/>
    <n v="80101"/>
    <n v="4325"/>
    <n v="368"/>
    <n v="2194.0700000000002"/>
    <n v="33186.629999999997"/>
    <n v="5.3994332155653489E-2"/>
    <n v="8.5086705202312138E-2"/>
    <n v="5.9621467391304348"/>
    <n v="15.125602191361258"/>
    <n v="2024"/>
    <x v="11"/>
    <n v="9"/>
  </r>
  <r>
    <s v="CAMP1362"/>
    <x v="0"/>
    <x v="1"/>
    <d v="2024-10-02T00:00:00"/>
    <n v="45024"/>
    <n v="1324"/>
    <n v="79"/>
    <n v="2654.26"/>
    <n v="3185.26"/>
    <n v="2.9406538734896945E-2"/>
    <n v="5.9667673716012087E-2"/>
    <n v="33.598227848101267"/>
    <n v="1.2000557594207049"/>
    <n v="2024"/>
    <x v="3"/>
    <n v="10"/>
  </r>
  <r>
    <s v="CAMP1363"/>
    <x v="2"/>
    <x v="1"/>
    <d v="2024-06-16T00:00:00"/>
    <n v="107427"/>
    <n v="5484"/>
    <n v="653"/>
    <n v="3319.23"/>
    <n v="55057.99"/>
    <n v="5.1048619062246919E-2"/>
    <n v="0.11907366885485048"/>
    <n v="5.0830474732006126"/>
    <n v="16.587579046947635"/>
    <n v="2024"/>
    <x v="2"/>
    <n v="6"/>
  </r>
  <r>
    <s v="CAMP1364"/>
    <x v="5"/>
    <x v="2"/>
    <d v="2025-01-08T00:00:00"/>
    <n v="67557"/>
    <n v="949"/>
    <n v="29"/>
    <n v="2285.52"/>
    <n v="1894.78"/>
    <n v="1.4047397012892817E-2"/>
    <n v="3.0558482613277135E-2"/>
    <n v="78.811034482758615"/>
    <n v="0.82903671812104029"/>
    <n v="2025"/>
    <x v="0"/>
    <n v="1"/>
  </r>
  <r>
    <s v="CAMP1365"/>
    <x v="4"/>
    <x v="3"/>
    <d v="2024-12-07T00:00:00"/>
    <n v="51044"/>
    <n v="937"/>
    <n v="104"/>
    <n v="3567.2"/>
    <n v="3783.86"/>
    <n v="1.8356711856437582E-2"/>
    <n v="0.11099252934898612"/>
    <n v="34.299999999999997"/>
    <n v="1.0607367122673246"/>
    <n v="2024"/>
    <x v="4"/>
    <n v="12"/>
  </r>
  <r>
    <s v="CAMP1366"/>
    <x v="7"/>
    <x v="1"/>
    <d v="2024-09-21T00:00:00"/>
    <n v="72960"/>
    <n v="1582"/>
    <n v="57"/>
    <n v="3949.4"/>
    <n v="2671.96"/>
    <n v="2.1683114035087721E-2"/>
    <n v="3.6030341340075857E-2"/>
    <n v="69.287719298245619"/>
    <n v="0.67654833645617052"/>
    <n v="2024"/>
    <x v="11"/>
    <n v="9"/>
  </r>
  <r>
    <s v="CAMP1367"/>
    <x v="0"/>
    <x v="0"/>
    <d v="2024-06-20T00:00:00"/>
    <n v="117544"/>
    <n v="3413"/>
    <n v="96"/>
    <n v="3619.15"/>
    <n v="7455.86"/>
    <n v="2.9035935479480024E-2"/>
    <n v="2.8127746850278346E-2"/>
    <n v="37.69947916666667"/>
    <n v="2.0601135625768481"/>
    <n v="2024"/>
    <x v="2"/>
    <n v="6"/>
  </r>
  <r>
    <s v="CAMP1368"/>
    <x v="0"/>
    <x v="2"/>
    <d v="2024-08-21T00:00:00"/>
    <n v="138898"/>
    <n v="4890"/>
    <n v="415"/>
    <n v="2921.05"/>
    <n v="23559.040000000001"/>
    <n v="3.5205690506702761E-2"/>
    <n v="8.4867075664621677E-2"/>
    <n v="7.0386746987951812"/>
    <n v="8.0652642029407229"/>
    <n v="2024"/>
    <x v="1"/>
    <n v="8"/>
  </r>
  <r>
    <s v="CAMP1369"/>
    <x v="5"/>
    <x v="0"/>
    <d v="2024-10-20T00:00:00"/>
    <n v="35234"/>
    <n v="915"/>
    <n v="78"/>
    <n v="411.38"/>
    <n v="8290.84"/>
    <n v="2.5969234262360221E-2"/>
    <n v="8.5245901639344257E-2"/>
    <n v="5.2741025641025638"/>
    <n v="20.153726481598522"/>
    <n v="2024"/>
    <x v="3"/>
    <n v="10"/>
  </r>
  <r>
    <s v="CAMP1370"/>
    <x v="1"/>
    <x v="0"/>
    <d v="2024-08-29T00:00:00"/>
    <n v="100414"/>
    <n v="3696"/>
    <n v="146"/>
    <n v="4669.57"/>
    <n v="15439.28"/>
    <n v="3.6807616467823212E-2"/>
    <n v="3.9502164502164504E-2"/>
    <n v="31.983356164383558"/>
    <n v="3.3063601145287471"/>
    <n v="2024"/>
    <x v="1"/>
    <n v="8"/>
  </r>
  <r>
    <s v="CAMP1371"/>
    <x v="3"/>
    <x v="4"/>
    <d v="2024-06-13T00:00:00"/>
    <n v="70080"/>
    <n v="2742"/>
    <n v="311"/>
    <n v="1502.04"/>
    <n v="8642.2900000000009"/>
    <n v="3.9126712328767126E-2"/>
    <n v="0.11342086068563093"/>
    <n v="4.8297106109324757"/>
    <n v="5.75370163244654"/>
    <n v="2024"/>
    <x v="2"/>
    <n v="6"/>
  </r>
  <r>
    <s v="CAMP1372"/>
    <x v="7"/>
    <x v="0"/>
    <d v="2024-09-14T00:00:00"/>
    <n v="18807"/>
    <n v="424"/>
    <n v="52"/>
    <n v="4910.79"/>
    <n v="6001.21"/>
    <n v="2.2544797149997343E-2"/>
    <n v="0.12264150943396226"/>
    <n v="94.438269230769237"/>
    <n v="1.2220457400947708"/>
    <n v="2024"/>
    <x v="11"/>
    <n v="9"/>
  </r>
  <r>
    <s v="CAMP1373"/>
    <x v="0"/>
    <x v="2"/>
    <d v="2024-05-24T00:00:00"/>
    <n v="86447"/>
    <n v="2845"/>
    <n v="261"/>
    <n v="238.25"/>
    <n v="10457.52"/>
    <n v="3.2910338126250764E-2"/>
    <n v="9.173989455184535E-2"/>
    <n v="0.91283524904214564"/>
    <n v="43.893053515215115"/>
    <n v="2024"/>
    <x v="8"/>
    <n v="5"/>
  </r>
  <r>
    <s v="CAMP1374"/>
    <x v="5"/>
    <x v="1"/>
    <d v="2024-05-04T00:00:00"/>
    <n v="126615"/>
    <n v="4530"/>
    <n v="662"/>
    <n v="4989.38"/>
    <n v="64603.65"/>
    <n v="3.5777751451249853E-2"/>
    <n v="0.14613686534216336"/>
    <n v="7.5368277945619333"/>
    <n v="12.948232044863289"/>
    <n v="2024"/>
    <x v="8"/>
    <n v="5"/>
  </r>
  <r>
    <s v="CAMP1375"/>
    <x v="1"/>
    <x v="4"/>
    <d v="2024-01-04T00:00:00"/>
    <n v="112488"/>
    <n v="1313"/>
    <n v="118"/>
    <n v="3252.52"/>
    <n v="10542.84"/>
    <n v="1.1672356162435104E-2"/>
    <n v="8.9870525514089875E-2"/>
    <n v="27.563728813559322"/>
    <n v="3.2414374085324611"/>
    <n v="2024"/>
    <x v="0"/>
    <n v="1"/>
  </r>
  <r>
    <s v="CAMP1376"/>
    <x v="4"/>
    <x v="3"/>
    <d v="2024-01-01T00:00:00"/>
    <n v="103638"/>
    <n v="7195"/>
    <n v="824"/>
    <n v="698.96"/>
    <n v="60136.71"/>
    <n v="6.9424342422663501E-2"/>
    <n v="0.11452397498262683"/>
    <n v="0.84825242718446603"/>
    <n v="86.037412727480827"/>
    <n v="2024"/>
    <x v="0"/>
    <n v="1"/>
  </r>
  <r>
    <s v="CAMP1377"/>
    <x v="1"/>
    <x v="2"/>
    <d v="2024-09-08T00:00:00"/>
    <n v="20701"/>
    <n v="1616"/>
    <n v="62"/>
    <n v="1543.16"/>
    <n v="1512.18"/>
    <n v="7.8063861649195695E-2"/>
    <n v="3.8366336633663366E-2"/>
    <n v="24.88967741935484"/>
    <n v="0.97992431115373646"/>
    <n v="2024"/>
    <x v="11"/>
    <n v="9"/>
  </r>
  <r>
    <s v="CAMP1378"/>
    <x v="1"/>
    <x v="1"/>
    <d v="2024-07-30T00:00:00"/>
    <n v="102646"/>
    <n v="4320"/>
    <n v="506"/>
    <n v="2987.7"/>
    <n v="35694.639999999999"/>
    <n v="4.2086394014379518E-2"/>
    <n v="0.11712962962962963"/>
    <n v="5.9045454545454543"/>
    <n v="11.947196840378888"/>
    <n v="2024"/>
    <x v="10"/>
    <n v="7"/>
  </r>
  <r>
    <s v="CAMP1379"/>
    <x v="3"/>
    <x v="0"/>
    <d v="2024-10-30T00:00:00"/>
    <n v="21327"/>
    <n v="862"/>
    <n v="125"/>
    <n v="1336.5"/>
    <n v="5762.39"/>
    <n v="4.0418249167721666E-2"/>
    <n v="0.14501160092807425"/>
    <n v="10.692"/>
    <n v="4.3115525626636737"/>
    <n v="2024"/>
    <x v="3"/>
    <n v="10"/>
  </r>
  <r>
    <s v="CAMP1380"/>
    <x v="7"/>
    <x v="2"/>
    <d v="2024-12-24T00:00:00"/>
    <n v="90524"/>
    <n v="2920"/>
    <n v="161"/>
    <n v="558.5"/>
    <n v="6483.67"/>
    <n v="3.2256639123326408E-2"/>
    <n v="5.5136986301369866E-2"/>
    <n v="3.468944099378882"/>
    <n v="11.609077887197852"/>
    <n v="2024"/>
    <x v="4"/>
    <n v="12"/>
  </r>
  <r>
    <s v="CAMP1381"/>
    <x v="0"/>
    <x v="4"/>
    <d v="2024-02-24T00:00:00"/>
    <n v="48089"/>
    <n v="1994"/>
    <n v="121"/>
    <n v="779.54"/>
    <n v="6755.28"/>
    <n v="4.146478404624758E-2"/>
    <n v="6.0682046138415248E-2"/>
    <n v="6.4424793388429746"/>
    <n v="8.6657259409395291"/>
    <n v="2024"/>
    <x v="9"/>
    <n v="2"/>
  </r>
  <r>
    <s v="CAMP1382"/>
    <x v="1"/>
    <x v="2"/>
    <d v="2024-06-06T00:00:00"/>
    <n v="126463"/>
    <n v="3610"/>
    <n v="128"/>
    <n v="956.55"/>
    <n v="11341.5"/>
    <n v="2.8545898800439656E-2"/>
    <n v="3.545706371191136E-2"/>
    <n v="7.4730468749999996"/>
    <n v="11.856672416496785"/>
    <n v="2024"/>
    <x v="2"/>
    <n v="6"/>
  </r>
  <r>
    <s v="CAMP1383"/>
    <x v="4"/>
    <x v="4"/>
    <d v="2024-06-16T00:00:00"/>
    <n v="43882"/>
    <n v="719"/>
    <n v="37"/>
    <n v="1907.57"/>
    <n v="2639.8"/>
    <n v="1.638485028029716E-2"/>
    <n v="5.1460361613351879E-2"/>
    <n v="51.555945945945943"/>
    <n v="1.383854851984462"/>
    <n v="2024"/>
    <x v="2"/>
    <n v="6"/>
  </r>
  <r>
    <s v="CAMP1384"/>
    <x v="5"/>
    <x v="3"/>
    <d v="2025-02-23T00:00:00"/>
    <n v="50578"/>
    <n v="615"/>
    <n v="44"/>
    <n v="2370.5700000000002"/>
    <n v="4171.55"/>
    <n v="1.2159436909328166E-2"/>
    <n v="7.1544715447154475E-2"/>
    <n v="53.876590909090915"/>
    <n v="1.7597244544561013"/>
    <n v="2025"/>
    <x v="9"/>
    <n v="2"/>
  </r>
  <r>
    <s v="CAMP1385"/>
    <x v="1"/>
    <x v="0"/>
    <d v="2024-08-24T00:00:00"/>
    <n v="31714"/>
    <n v="2101"/>
    <n v="80"/>
    <n v="257.39"/>
    <n v="8242.98"/>
    <n v="6.6248344579680901E-2"/>
    <n v="3.8077106139933363E-2"/>
    <n v="3.2173749999999997"/>
    <n v="32.025253506352229"/>
    <n v="2024"/>
    <x v="1"/>
    <n v="8"/>
  </r>
  <r>
    <s v="CAMP1386"/>
    <x v="1"/>
    <x v="4"/>
    <d v="2024-04-11T00:00:00"/>
    <n v="110010"/>
    <n v="3966"/>
    <n v="404"/>
    <n v="3294.49"/>
    <n v="31605.88"/>
    <n v="3.6051268066539403E-2"/>
    <n v="0.10186585980837115"/>
    <n v="8.1546782178217825"/>
    <n v="9.593557728206795"/>
    <n v="2024"/>
    <x v="7"/>
    <n v="4"/>
  </r>
  <r>
    <s v="CAMP1387"/>
    <x v="5"/>
    <x v="0"/>
    <d v="2024-01-12T00:00:00"/>
    <n v="21900"/>
    <n v="522"/>
    <n v="54"/>
    <n v="4084.63"/>
    <n v="1576.68"/>
    <n v="2.3835616438356164E-2"/>
    <n v="0.10344827586206896"/>
    <n v="75.641296296296304"/>
    <n v="0.38600313859517266"/>
    <n v="2024"/>
    <x v="0"/>
    <n v="1"/>
  </r>
  <r>
    <s v="CAMP1388"/>
    <x v="7"/>
    <x v="0"/>
    <d v="2024-01-22T00:00:00"/>
    <n v="125847"/>
    <n v="1704"/>
    <n v="238"/>
    <n v="2279.15"/>
    <n v="22001.45"/>
    <n v="1.3540251257479321E-2"/>
    <n v="0.13967136150234741"/>
    <n v="9.5762605042016808"/>
    <n v="9.6533576113902111"/>
    <n v="2024"/>
    <x v="0"/>
    <n v="1"/>
  </r>
  <r>
    <s v="CAMP1389"/>
    <x v="6"/>
    <x v="0"/>
    <d v="2024-07-14T00:00:00"/>
    <n v="116847"/>
    <n v="2581"/>
    <n v="123"/>
    <n v="1098.33"/>
    <n v="5902.21"/>
    <n v="2.2088714301608085E-2"/>
    <n v="4.7655947307245254E-2"/>
    <n v="8.9295121951219514"/>
    <n v="5.3738038658690925"/>
    <n v="2024"/>
    <x v="10"/>
    <n v="7"/>
  </r>
  <r>
    <s v="CAMP1390"/>
    <x v="2"/>
    <x v="0"/>
    <d v="2024-11-10T00:00:00"/>
    <n v="69431"/>
    <n v="3840"/>
    <n v="325"/>
    <n v="4437.34"/>
    <n v="22068.51"/>
    <n v="5.5306707378548488E-2"/>
    <n v="8.4635416666666671E-2"/>
    <n v="13.653353846153847"/>
    <n v="4.9733646734304777"/>
    <n v="2024"/>
    <x v="5"/>
    <n v="11"/>
  </r>
  <r>
    <s v="CAMP1391"/>
    <x v="0"/>
    <x v="3"/>
    <d v="2024-07-15T00:00:00"/>
    <n v="40975"/>
    <n v="1612"/>
    <n v="166"/>
    <n v="4026.55"/>
    <n v="7455.85"/>
    <n v="3.9341061622940821E-2"/>
    <n v="0.10297766749379653"/>
    <n v="24.256325301204821"/>
    <n v="1.8516720269213098"/>
    <n v="2024"/>
    <x v="10"/>
    <n v="7"/>
  </r>
  <r>
    <s v="CAMP1392"/>
    <x v="4"/>
    <x v="2"/>
    <d v="2025-02-04T00:00:00"/>
    <n v="99139"/>
    <n v="4320"/>
    <n v="525"/>
    <n v="1851.36"/>
    <n v="40196.68"/>
    <n v="4.3575182319773247E-2"/>
    <n v="0.12152777777777778"/>
    <n v="3.5263999999999998"/>
    <n v="21.711973900267914"/>
    <n v="2025"/>
    <x v="9"/>
    <n v="2"/>
  </r>
  <r>
    <s v="CAMP1393"/>
    <x v="7"/>
    <x v="2"/>
    <d v="2024-05-18T00:00:00"/>
    <n v="52137"/>
    <n v="616"/>
    <n v="60"/>
    <n v="340.66"/>
    <n v="6064.14"/>
    <n v="1.181502579741834E-2"/>
    <n v="9.7402597402597407E-2"/>
    <n v="5.6776666666666671"/>
    <n v="17.801150707450244"/>
    <n v="2024"/>
    <x v="8"/>
    <n v="5"/>
  </r>
  <r>
    <s v="CAMP1394"/>
    <x v="5"/>
    <x v="0"/>
    <d v="2025-02-18T00:00:00"/>
    <n v="128649"/>
    <n v="6054"/>
    <n v="724"/>
    <n v="4998.1099999999997"/>
    <n v="84996.14"/>
    <n v="4.7058274840846022E-2"/>
    <n v="0.11959035348529898"/>
    <n v="6.9034668508287291"/>
    <n v="17.005656138020171"/>
    <n v="2025"/>
    <x v="9"/>
    <n v="2"/>
  </r>
  <r>
    <s v="CAMP1395"/>
    <x v="0"/>
    <x v="4"/>
    <d v="2024-12-02T00:00:00"/>
    <n v="68216"/>
    <n v="1954"/>
    <n v="246"/>
    <n v="4602.8500000000004"/>
    <n v="6295.35"/>
    <n v="2.8644306321097691E-2"/>
    <n v="0.12589559877175024"/>
    <n v="18.710772357723577"/>
    <n v="1.3677069641635073"/>
    <n v="2024"/>
    <x v="4"/>
    <n v="12"/>
  </r>
  <r>
    <s v="CAMP1396"/>
    <x v="1"/>
    <x v="1"/>
    <d v="2025-02-12T00:00:00"/>
    <n v="106822"/>
    <n v="3721"/>
    <n v="480"/>
    <n v="4257.0600000000004"/>
    <n v="18052.82"/>
    <n v="3.4833648499372788E-2"/>
    <n v="0.12899758129535072"/>
    <n v="8.868875000000001"/>
    <n v="4.2406778386961888"/>
    <n v="2025"/>
    <x v="9"/>
    <n v="2"/>
  </r>
  <r>
    <s v="CAMP1397"/>
    <x v="7"/>
    <x v="3"/>
    <d v="2024-10-29T00:00:00"/>
    <n v="12394"/>
    <n v="734"/>
    <n v="48"/>
    <n v="2924.73"/>
    <n v="1642.09"/>
    <n v="5.922220429239955E-2"/>
    <n v="6.5395095367847406E-2"/>
    <n v="60.931874999999998"/>
    <n v="0.56145011676291479"/>
    <n v="2024"/>
    <x v="3"/>
    <n v="10"/>
  </r>
  <r>
    <s v="CAMP1398"/>
    <x v="1"/>
    <x v="2"/>
    <d v="2024-10-04T00:00:00"/>
    <n v="86016"/>
    <n v="1917"/>
    <n v="47"/>
    <n v="469.61"/>
    <n v="3767.82"/>
    <n v="2.2286551339285716E-2"/>
    <n v="2.4517475221700575E-2"/>
    <n v="9.9917021276595754"/>
    <n v="8.0232959264070178"/>
    <n v="2024"/>
    <x v="3"/>
    <n v="10"/>
  </r>
  <r>
    <s v="CAMP1399"/>
    <x v="4"/>
    <x v="1"/>
    <d v="2024-09-01T00:00:00"/>
    <n v="5179"/>
    <n v="172"/>
    <n v="17"/>
    <n v="4070.94"/>
    <n v="919.29"/>
    <n v="3.3211044603205252E-2"/>
    <n v="9.8837209302325577E-2"/>
    <n v="239.46705882352941"/>
    <n v="0.22581762443072115"/>
    <n v="2024"/>
    <x v="11"/>
    <n v="9"/>
  </r>
  <r>
    <s v="CAMP1400"/>
    <x v="2"/>
    <x v="3"/>
    <d v="2024-01-31T00:00:00"/>
    <n v="10744"/>
    <n v="218"/>
    <n v="24"/>
    <n v="879.93"/>
    <n v="746.21"/>
    <n v="2.0290394638868205E-2"/>
    <n v="0.11009174311926606"/>
    <n v="36.66375"/>
    <n v="0.84803336629050052"/>
    <n v="2024"/>
    <x v="0"/>
    <n v="1"/>
  </r>
  <r>
    <s v="CAMP1401"/>
    <x v="7"/>
    <x v="0"/>
    <d v="2024-07-10T00:00:00"/>
    <n v="108703"/>
    <n v="5546"/>
    <n v="353"/>
    <n v="1748.5"/>
    <n v="41507.879999999997"/>
    <n v="5.101975106482802E-2"/>
    <n v="6.3649477100613056E-2"/>
    <n v="4.953257790368272"/>
    <n v="23.739136402630827"/>
    <n v="2024"/>
    <x v="10"/>
    <n v="7"/>
  </r>
  <r>
    <s v="CAMP1402"/>
    <x v="3"/>
    <x v="2"/>
    <d v="2024-11-28T00:00:00"/>
    <n v="88173"/>
    <n v="1956"/>
    <n v="285"/>
    <n v="3529.09"/>
    <n v="32172.09"/>
    <n v="2.2183661665135586E-2"/>
    <n v="0.14570552147239263"/>
    <n v="12.382771929824562"/>
    <n v="9.1162565987265829"/>
    <n v="2024"/>
    <x v="5"/>
    <n v="11"/>
  </r>
  <r>
    <s v="CAMP1403"/>
    <x v="7"/>
    <x v="4"/>
    <d v="2024-12-06T00:00:00"/>
    <n v="50967"/>
    <n v="1859"/>
    <n v="214"/>
    <n v="1613.68"/>
    <n v="8082.96"/>
    <n v="3.6474581592010516E-2"/>
    <n v="0.11511565357719204"/>
    <n v="7.5405607476635517"/>
    <n v="5.009022854593228"/>
    <n v="2024"/>
    <x v="4"/>
    <n v="12"/>
  </r>
  <r>
    <s v="CAMP1404"/>
    <x v="4"/>
    <x v="1"/>
    <d v="2024-07-19T00:00:00"/>
    <n v="13488"/>
    <n v="306"/>
    <n v="18"/>
    <n v="4082.27"/>
    <n v="1460.49"/>
    <n v="2.2686832740213523E-2"/>
    <n v="5.8823529411764705E-2"/>
    <n v="226.79277777777779"/>
    <n v="0.35776418512249314"/>
    <n v="2024"/>
    <x v="10"/>
    <n v="7"/>
  </r>
  <r>
    <s v="CAMP1405"/>
    <x v="0"/>
    <x v="2"/>
    <d v="2024-03-13T00:00:00"/>
    <n v="91813"/>
    <n v="5708"/>
    <n v="290"/>
    <n v="4915.42"/>
    <n v="10668.74"/>
    <n v="6.2169845228889152E-2"/>
    <n v="5.0805886475122637E-2"/>
    <n v="16.949724137931035"/>
    <n v="2.1704635616081638"/>
    <n v="2024"/>
    <x v="6"/>
    <n v="3"/>
  </r>
  <r>
    <s v="CAMP1406"/>
    <x v="0"/>
    <x v="3"/>
    <d v="2024-08-16T00:00:00"/>
    <n v="7987"/>
    <n v="228"/>
    <n v="11"/>
    <n v="525.41"/>
    <n v="502.32"/>
    <n v="2.8546387880305498E-2"/>
    <n v="4.8245614035087717E-2"/>
    <n v="47.764545454545448"/>
    <n v="0.9560533678460631"/>
    <n v="2024"/>
    <x v="1"/>
    <n v="8"/>
  </r>
  <r>
    <s v="CAMP1407"/>
    <x v="0"/>
    <x v="0"/>
    <d v="2024-01-25T00:00:00"/>
    <n v="106171"/>
    <n v="4318"/>
    <n v="321"/>
    <n v="998.42"/>
    <n v="19710.02"/>
    <n v="4.0670239519266092E-2"/>
    <n v="7.4339972209356189E-2"/>
    <n v="3.1103426791277258"/>
    <n v="19.741211113559427"/>
    <n v="2024"/>
    <x v="0"/>
    <n v="1"/>
  </r>
  <r>
    <s v="CAMP1408"/>
    <x v="3"/>
    <x v="3"/>
    <d v="2024-10-06T00:00:00"/>
    <n v="103395"/>
    <n v="1768"/>
    <n v="145"/>
    <n v="4347.4399999999996"/>
    <n v="12339.06"/>
    <n v="1.7099472895207697E-2"/>
    <n v="8.2013574660633484E-2"/>
    <n v="29.982344827586203"/>
    <n v="2.8382358353421786"/>
    <n v="2024"/>
    <x v="3"/>
    <n v="10"/>
  </r>
  <r>
    <s v="CAMP1409"/>
    <x v="1"/>
    <x v="4"/>
    <d v="2024-08-19T00:00:00"/>
    <n v="24322"/>
    <n v="1603"/>
    <n v="39"/>
    <n v="296.37"/>
    <n v="1798.4"/>
    <n v="6.5907408930186664E-2"/>
    <n v="2.4329382407985028E-2"/>
    <n v="7.5992307692307692"/>
    <n v="6.0680905624725847"/>
    <n v="2024"/>
    <x v="1"/>
    <n v="8"/>
  </r>
  <r>
    <s v="CAMP1410"/>
    <x v="0"/>
    <x v="0"/>
    <d v="2024-06-24T00:00:00"/>
    <n v="49592"/>
    <n v="3578"/>
    <n v="146"/>
    <n v="560.01"/>
    <n v="16670.78"/>
    <n v="7.2148733666720435E-2"/>
    <n v="4.0804918949133594E-2"/>
    <n v="3.8356849315068491"/>
    <n v="29.768718415742576"/>
    <n v="2024"/>
    <x v="2"/>
    <n v="6"/>
  </r>
  <r>
    <s v="CAMP1411"/>
    <x v="0"/>
    <x v="3"/>
    <d v="2024-10-31T00:00:00"/>
    <n v="131546"/>
    <n v="7802"/>
    <n v="593"/>
    <n v="3337.45"/>
    <n v="47873.94"/>
    <n v="5.9310051236829704E-2"/>
    <n v="7.6006152268649069E-2"/>
    <n v="5.6280775716694773"/>
    <n v="14.344466583769046"/>
    <n v="2024"/>
    <x v="3"/>
    <n v="10"/>
  </r>
  <r>
    <s v="CAMP1412"/>
    <x v="3"/>
    <x v="4"/>
    <d v="2024-01-28T00:00:00"/>
    <n v="31544"/>
    <n v="1046"/>
    <n v="153"/>
    <n v="2164.54"/>
    <n v="11537.92"/>
    <n v="3.3160030433679939E-2"/>
    <n v="0.1462715105162524"/>
    <n v="14.147320261437908"/>
    <n v="5.3304258641558944"/>
    <n v="2024"/>
    <x v="0"/>
    <n v="1"/>
  </r>
  <r>
    <s v="CAMP1413"/>
    <x v="5"/>
    <x v="3"/>
    <d v="2024-06-01T00:00:00"/>
    <n v="67271"/>
    <n v="1124"/>
    <n v="79"/>
    <n v="2838.38"/>
    <n v="5458.49"/>
    <n v="1.6708537111087989E-2"/>
    <n v="7.0284697508896793E-2"/>
    <n v="35.928860759493674"/>
    <n v="1.9231005009900013"/>
    <n v="2024"/>
    <x v="2"/>
    <n v="6"/>
  </r>
  <r>
    <s v="CAMP1414"/>
    <x v="4"/>
    <x v="3"/>
    <d v="2024-01-02T00:00:00"/>
    <n v="117094"/>
    <n v="1889"/>
    <n v="240"/>
    <n v="3200.44"/>
    <n v="16327.88"/>
    <n v="1.6132338121509215E-2"/>
    <n v="0.12705134992059292"/>
    <n v="13.335166666666668"/>
    <n v="5.1017610078614188"/>
    <n v="2024"/>
    <x v="0"/>
    <n v="1"/>
  </r>
  <r>
    <s v="CAMP1415"/>
    <x v="0"/>
    <x v="0"/>
    <d v="2024-04-15T00:00:00"/>
    <n v="49782"/>
    <n v="2721"/>
    <n v="400"/>
    <n v="2473.14"/>
    <n v="12620.36"/>
    <n v="5.46583102326142E-2"/>
    <n v="0.14700477765527378"/>
    <n v="6.1828499999999993"/>
    <n v="5.1029703130433379"/>
    <n v="2024"/>
    <x v="7"/>
    <n v="4"/>
  </r>
  <r>
    <s v="CAMP1416"/>
    <x v="3"/>
    <x v="2"/>
    <d v="2024-09-07T00:00:00"/>
    <n v="74469"/>
    <n v="1219"/>
    <n v="110"/>
    <n v="1087.43"/>
    <n v="11940.42"/>
    <n v="1.6369227463776875E-2"/>
    <n v="9.0237899917965547E-2"/>
    <n v="9.8857272727272729"/>
    <n v="10.980403336306704"/>
    <n v="2024"/>
    <x v="11"/>
    <n v="9"/>
  </r>
  <r>
    <s v="CAMP1417"/>
    <x v="7"/>
    <x v="4"/>
    <d v="2024-08-16T00:00:00"/>
    <n v="16696"/>
    <n v="474"/>
    <n v="38"/>
    <n v="1285.96"/>
    <n v="1780.54"/>
    <n v="2.8390033540967897E-2"/>
    <n v="8.0168776371308023E-2"/>
    <n v="33.841052631578947"/>
    <n v="1.3845998320321005"/>
    <n v="2024"/>
    <x v="1"/>
    <n v="8"/>
  </r>
  <r>
    <s v="CAMP1418"/>
    <x v="4"/>
    <x v="4"/>
    <d v="2025-01-20T00:00:00"/>
    <n v="30350"/>
    <n v="485"/>
    <n v="31"/>
    <n v="2798.96"/>
    <n v="3629.19"/>
    <n v="1.5980230642504117E-2"/>
    <n v="6.3917525773195871E-2"/>
    <n v="90.289032258064523"/>
    <n v="1.2966208877583103"/>
    <n v="2025"/>
    <x v="0"/>
    <n v="1"/>
  </r>
  <r>
    <s v="CAMP1419"/>
    <x v="1"/>
    <x v="1"/>
    <d v="2024-02-01T00:00:00"/>
    <n v="106477"/>
    <n v="7164"/>
    <n v="533"/>
    <n v="2770.47"/>
    <n v="56865.45"/>
    <n v="6.7282136048160635E-2"/>
    <n v="7.4399776661083189E-2"/>
    <n v="5.1978799249530949"/>
    <n v="20.525560644944722"/>
    <n v="2024"/>
    <x v="9"/>
    <n v="2"/>
  </r>
  <r>
    <s v="CAMP1420"/>
    <x v="6"/>
    <x v="1"/>
    <d v="2024-04-30T00:00:00"/>
    <n v="129849"/>
    <n v="4014"/>
    <n v="286"/>
    <n v="4298.91"/>
    <n v="6713.23"/>
    <n v="3.0912829517362475E-2"/>
    <n v="7.1250622820129547E-2"/>
    <n v="15.031153846153845"/>
    <n v="1.561612129586337"/>
    <n v="2024"/>
    <x v="7"/>
    <n v="4"/>
  </r>
  <r>
    <s v="CAMP1421"/>
    <x v="2"/>
    <x v="0"/>
    <d v="2025-01-22T00:00:00"/>
    <n v="122713"/>
    <n v="2712"/>
    <n v="401"/>
    <n v="4866.3900000000003"/>
    <n v="40439.269999999997"/>
    <n v="2.2100347966393128E-2"/>
    <n v="0.14786135693215338"/>
    <n v="12.13563591022444"/>
    <n v="8.3099114538703223"/>
    <n v="2025"/>
    <x v="0"/>
    <n v="1"/>
  </r>
  <r>
    <s v="CAMP1422"/>
    <x v="2"/>
    <x v="0"/>
    <d v="2024-08-04T00:00:00"/>
    <n v="25543"/>
    <n v="2022"/>
    <n v="154"/>
    <n v="4986.8900000000003"/>
    <n v="12739.28"/>
    <n v="7.9160631092667272E-2"/>
    <n v="7.6162215628091001E-2"/>
    <n v="32.382402597402603"/>
    <n v="2.5545540406947014"/>
    <n v="2024"/>
    <x v="1"/>
    <n v="8"/>
  </r>
  <r>
    <s v="CAMP1423"/>
    <x v="5"/>
    <x v="3"/>
    <d v="2025-01-07T00:00:00"/>
    <n v="22566"/>
    <n v="363"/>
    <n v="33"/>
    <n v="2849.86"/>
    <n v="3486.86"/>
    <n v="1.6086147301249666E-2"/>
    <n v="9.0909090909090912E-2"/>
    <n v="86.359393939393939"/>
    <n v="1.2235197518474592"/>
    <n v="2025"/>
    <x v="0"/>
    <n v="1"/>
  </r>
  <r>
    <s v="CAMP1424"/>
    <x v="6"/>
    <x v="0"/>
    <d v="2025-02-06T00:00:00"/>
    <n v="141986"/>
    <n v="9189"/>
    <n v="318"/>
    <n v="918.28"/>
    <n v="24377.69"/>
    <n v="6.4717648218838478E-2"/>
    <n v="3.4606594841658504E-2"/>
    <n v="2.8876729559748426"/>
    <n v="26.54712070392473"/>
    <n v="2025"/>
    <x v="9"/>
    <n v="2"/>
  </r>
  <r>
    <s v="CAMP1425"/>
    <x v="0"/>
    <x v="0"/>
    <d v="2024-10-15T00:00:00"/>
    <n v="31474"/>
    <n v="2045"/>
    <n v="271"/>
    <n v="4424.6499999999996"/>
    <n v="29210.92"/>
    <n v="6.4974264472262816E-2"/>
    <n v="0.13251833740831295"/>
    <n v="16.327121771217712"/>
    <n v="6.6018600341269931"/>
    <n v="2024"/>
    <x v="3"/>
    <n v="10"/>
  </r>
  <r>
    <s v="CAMP1426"/>
    <x v="5"/>
    <x v="2"/>
    <d v="2024-12-01T00:00:00"/>
    <n v="132293"/>
    <n v="6620"/>
    <n v="539"/>
    <n v="1026.56"/>
    <n v="32500.3"/>
    <n v="5.0040440537292223E-2"/>
    <n v="8.1419939577039274E-2"/>
    <n v="1.9045640074211503"/>
    <n v="31.659425654613468"/>
    <n v="2024"/>
    <x v="4"/>
    <n v="12"/>
  </r>
  <r>
    <s v="CAMP1427"/>
    <x v="3"/>
    <x v="0"/>
    <d v="2024-07-21T00:00:00"/>
    <n v="91899"/>
    <n v="5361"/>
    <n v="141"/>
    <n v="2481.0500000000002"/>
    <n v="6607.04"/>
    <n v="5.8335781673358796E-2"/>
    <n v="2.6301063234471182E-2"/>
    <n v="17.596099290780142"/>
    <n v="2.6630015517623584"/>
    <n v="2024"/>
    <x v="10"/>
    <n v="7"/>
  </r>
  <r>
    <s v="CAMP1428"/>
    <x v="7"/>
    <x v="0"/>
    <d v="2024-06-21T00:00:00"/>
    <n v="84444"/>
    <n v="2682"/>
    <n v="347"/>
    <n v="4319.53"/>
    <n v="30704.37"/>
    <n v="3.1760693477334088E-2"/>
    <n v="0.12938105891126025"/>
    <n v="12.448213256484149"/>
    <n v="7.1082664086139005"/>
    <n v="2024"/>
    <x v="2"/>
    <n v="6"/>
  </r>
  <r>
    <s v="CAMP1429"/>
    <x v="1"/>
    <x v="4"/>
    <d v="2024-06-02T00:00:00"/>
    <n v="121158"/>
    <n v="7776"/>
    <n v="479"/>
    <n v="3698.24"/>
    <n v="38558.5"/>
    <n v="6.4180656663200122E-2"/>
    <n v="6.1599794238683128E-2"/>
    <n v="7.7207515657620034"/>
    <n v="10.426175694384357"/>
    <n v="2024"/>
    <x v="2"/>
    <n v="6"/>
  </r>
  <r>
    <s v="CAMP1430"/>
    <x v="0"/>
    <x v="4"/>
    <d v="2024-08-14T00:00:00"/>
    <n v="60414"/>
    <n v="4467"/>
    <n v="325"/>
    <n v="2525.41"/>
    <n v="23286.3"/>
    <n v="7.393981527460522E-2"/>
    <n v="7.275576449518692E-2"/>
    <n v="7.7704923076923071"/>
    <n v="9.2207997909250388"/>
    <n v="2024"/>
    <x v="1"/>
    <n v="8"/>
  </r>
  <r>
    <s v="CAMP1431"/>
    <x v="7"/>
    <x v="0"/>
    <d v="2024-09-20T00:00:00"/>
    <n v="46673"/>
    <n v="681"/>
    <n v="76"/>
    <n v="2136.25"/>
    <n v="7451.92"/>
    <n v="1.45908769524136E-2"/>
    <n v="0.11160058737151249"/>
    <n v="28.108552631578949"/>
    <n v="3.4883183148039789"/>
    <n v="2024"/>
    <x v="11"/>
    <n v="9"/>
  </r>
  <r>
    <s v="CAMP1432"/>
    <x v="4"/>
    <x v="4"/>
    <d v="2024-04-08T00:00:00"/>
    <n v="57619"/>
    <n v="3951"/>
    <n v="207"/>
    <n v="2390.9499999999998"/>
    <n v="23143.24"/>
    <n v="6.8571131050521525E-2"/>
    <n v="5.2391799544419138E-2"/>
    <n v="11.550483091787438"/>
    <n v="9.6795165101737819"/>
    <n v="2024"/>
    <x v="7"/>
    <n v="4"/>
  </r>
  <r>
    <s v="CAMP1433"/>
    <x v="1"/>
    <x v="3"/>
    <d v="2024-07-07T00:00:00"/>
    <n v="126692"/>
    <n v="5746"/>
    <n v="589"/>
    <n v="794.59"/>
    <n v="13580.17"/>
    <n v="4.535408707732138E-2"/>
    <n v="0.10250609119387399"/>
    <n v="1.3490492359932089"/>
    <n v="17.090788960344327"/>
    <n v="2024"/>
    <x v="10"/>
    <n v="7"/>
  </r>
  <r>
    <s v="CAMP1434"/>
    <x v="7"/>
    <x v="2"/>
    <d v="2024-10-31T00:00:00"/>
    <n v="121943"/>
    <n v="2735"/>
    <n v="364"/>
    <n v="3017.03"/>
    <n v="20011.259999999998"/>
    <n v="2.2428511681687347E-2"/>
    <n v="0.13308957952468006"/>
    <n v="8.2885439560439558"/>
    <n v="6.6327679870601211"/>
    <n v="2024"/>
    <x v="3"/>
    <n v="10"/>
  </r>
  <r>
    <s v="CAMP1435"/>
    <x v="2"/>
    <x v="3"/>
    <d v="2025-01-18T00:00:00"/>
    <n v="28695"/>
    <n v="859"/>
    <n v="60"/>
    <n v="981.96"/>
    <n v="4633.55"/>
    <n v="2.9935528837776615E-2"/>
    <n v="6.9848661233993012E-2"/>
    <n v="16.366"/>
    <n v="4.7186748951077435"/>
    <n v="2025"/>
    <x v="0"/>
    <n v="1"/>
  </r>
  <r>
    <s v="CAMP1436"/>
    <x v="1"/>
    <x v="4"/>
    <d v="2024-11-27T00:00:00"/>
    <n v="64011"/>
    <n v="3676"/>
    <n v="202"/>
    <n v="2165.63"/>
    <n v="4445.0600000000004"/>
    <n v="5.7427629626158001E-2"/>
    <n v="5.4951033732317738E-2"/>
    <n v="10.720940594059407"/>
    <n v="2.0525482192248909"/>
    <n v="2024"/>
    <x v="5"/>
    <n v="11"/>
  </r>
  <r>
    <s v="CAMP1437"/>
    <x v="4"/>
    <x v="2"/>
    <d v="2024-03-08T00:00:00"/>
    <n v="50403"/>
    <n v="2624"/>
    <n v="55"/>
    <n v="1411.47"/>
    <n v="5527.97"/>
    <n v="5.206039323056167E-2"/>
    <n v="2.0960365853658538E-2"/>
    <n v="25.663090909090908"/>
    <n v="3.9164629783133895"/>
    <n v="2024"/>
    <x v="6"/>
    <n v="3"/>
  </r>
  <r>
    <s v="CAMP1438"/>
    <x v="5"/>
    <x v="3"/>
    <d v="2024-08-04T00:00:00"/>
    <n v="103690"/>
    <n v="7217"/>
    <n v="574"/>
    <n v="1247.4000000000001"/>
    <n v="28823.13"/>
    <n v="6.9601697367152091E-2"/>
    <n v="7.953443258971872E-2"/>
    <n v="2.1731707317073172"/>
    <n v="23.106565656565657"/>
    <n v="2024"/>
    <x v="1"/>
    <n v="8"/>
  </r>
  <r>
    <s v="CAMP1439"/>
    <x v="3"/>
    <x v="1"/>
    <d v="2024-02-22T00:00:00"/>
    <n v="6926"/>
    <n v="317"/>
    <n v="33"/>
    <n v="4247.76"/>
    <n v="1894.96"/>
    <n v="4.576956396188276E-2"/>
    <n v="0.10410094637223975"/>
    <n v="128.72"/>
    <n v="0.44610806636909806"/>
    <n v="2024"/>
    <x v="9"/>
    <n v="2"/>
  </r>
  <r>
    <s v="CAMP1440"/>
    <x v="5"/>
    <x v="3"/>
    <d v="2024-12-16T00:00:00"/>
    <n v="33338"/>
    <n v="1457"/>
    <n v="92"/>
    <n v="1527.12"/>
    <n v="4831.26"/>
    <n v="4.3703881456596073E-2"/>
    <n v="6.3143445435827047E-2"/>
    <n v="16.599130434782609"/>
    <n v="3.1636413641364141"/>
    <n v="2024"/>
    <x v="4"/>
    <n v="12"/>
  </r>
  <r>
    <s v="CAMP1441"/>
    <x v="5"/>
    <x v="3"/>
    <d v="2024-12-01T00:00:00"/>
    <n v="83326"/>
    <n v="1931"/>
    <n v="168"/>
    <n v="1353.45"/>
    <n v="4313.8100000000004"/>
    <n v="2.3174039315459759E-2"/>
    <n v="8.7001553599171416E-2"/>
    <n v="8.0562500000000004"/>
    <n v="3.1872695703572353"/>
    <n v="2024"/>
    <x v="4"/>
    <n v="12"/>
  </r>
  <r>
    <s v="CAMP1442"/>
    <x v="3"/>
    <x v="3"/>
    <d v="2024-12-14T00:00:00"/>
    <n v="41681"/>
    <n v="2521"/>
    <n v="265"/>
    <n v="4987.8500000000004"/>
    <n v="12174.8"/>
    <n v="6.048319378133922E-2"/>
    <n v="0.10511701705672352"/>
    <n v="18.822075471698113"/>
    <n v="2.4408913660194269"/>
    <n v="2024"/>
    <x v="4"/>
    <n v="12"/>
  </r>
  <r>
    <s v="CAMP1443"/>
    <x v="3"/>
    <x v="2"/>
    <d v="2024-07-17T00:00:00"/>
    <n v="14258"/>
    <n v="724"/>
    <n v="108"/>
    <n v="4116.87"/>
    <n v="5866.2"/>
    <n v="5.0778510310001405E-2"/>
    <n v="0.14917127071823205"/>
    <n v="38.119166666666665"/>
    <n v="1.4249174737118246"/>
    <n v="2024"/>
    <x v="10"/>
    <n v="7"/>
  </r>
  <r>
    <s v="CAMP1444"/>
    <x v="1"/>
    <x v="1"/>
    <d v="2024-11-22T00:00:00"/>
    <n v="129711"/>
    <n v="9528"/>
    <n v="1022"/>
    <n v="2635.11"/>
    <n v="106841.85"/>
    <n v="7.3455605152993958E-2"/>
    <n v="0.10726280436607892"/>
    <n v="2.5783855185909981"/>
    <n v="40.54549904937555"/>
    <n v="2024"/>
    <x v="5"/>
    <n v="11"/>
  </r>
  <r>
    <s v="CAMP1445"/>
    <x v="2"/>
    <x v="3"/>
    <d v="2024-02-19T00:00:00"/>
    <n v="128412"/>
    <n v="2434"/>
    <n v="130"/>
    <n v="4080.05"/>
    <n v="12517.94"/>
    <n v="1.8954614833504656E-2"/>
    <n v="5.341002465078061E-2"/>
    <n v="31.385000000000002"/>
    <n v="3.068084949939339"/>
    <n v="2024"/>
    <x v="9"/>
    <n v="2"/>
  </r>
  <r>
    <s v="CAMP1446"/>
    <x v="2"/>
    <x v="3"/>
    <d v="2024-12-01T00:00:00"/>
    <n v="28409"/>
    <n v="726"/>
    <n v="35"/>
    <n v="4382.87"/>
    <n v="2171.65"/>
    <n v="2.5555281776901684E-2"/>
    <n v="4.8209366391184574E-2"/>
    <n v="125.22485714285715"/>
    <n v="0.49548583462434437"/>
    <n v="2024"/>
    <x v="4"/>
    <n v="12"/>
  </r>
  <r>
    <s v="CAMP1447"/>
    <x v="7"/>
    <x v="3"/>
    <d v="2024-05-13T00:00:00"/>
    <n v="82083"/>
    <n v="3485"/>
    <n v="123"/>
    <n v="457.65"/>
    <n v="10263.08"/>
    <n v="4.2457025206193731E-2"/>
    <n v="3.5294117647058823E-2"/>
    <n v="3.7207317073170731"/>
    <n v="22.425609089915877"/>
    <n v="2024"/>
    <x v="8"/>
    <n v="5"/>
  </r>
  <r>
    <s v="CAMP1448"/>
    <x v="0"/>
    <x v="2"/>
    <d v="2024-04-09T00:00:00"/>
    <n v="136197"/>
    <n v="2504"/>
    <n v="271"/>
    <n v="2743.22"/>
    <n v="16615.21"/>
    <n v="1.8385133299558726E-2"/>
    <n v="0.10822683706070288"/>
    <n v="10.122583025830258"/>
    <n v="6.0568273780447797"/>
    <n v="2024"/>
    <x v="7"/>
    <n v="4"/>
  </r>
  <r>
    <s v="CAMP1449"/>
    <x v="2"/>
    <x v="4"/>
    <d v="2024-04-12T00:00:00"/>
    <n v="94828"/>
    <n v="3664"/>
    <n v="344"/>
    <n v="4551.78"/>
    <n v="22620.46"/>
    <n v="3.8638376850719199E-2"/>
    <n v="9.3886462882096067E-2"/>
    <n v="13.231918604651161"/>
    <n v="4.9695855247837111"/>
    <n v="2024"/>
    <x v="7"/>
    <n v="4"/>
  </r>
  <r>
    <s v="CAMP1450"/>
    <x v="7"/>
    <x v="4"/>
    <d v="2025-02-02T00:00:00"/>
    <n v="26184"/>
    <n v="1155"/>
    <n v="117"/>
    <n v="1048.76"/>
    <n v="9763.64"/>
    <n v="4.4110907424381299E-2"/>
    <n v="0.1012987012987013"/>
    <n v="8.9637606837606842"/>
    <n v="9.3096990731911973"/>
    <n v="2025"/>
    <x v="9"/>
    <n v="2"/>
  </r>
  <r>
    <s v="CAMP1451"/>
    <x v="4"/>
    <x v="2"/>
    <d v="2024-05-20T00:00:00"/>
    <n v="59888"/>
    <n v="3789"/>
    <n v="158"/>
    <n v="3869.52"/>
    <n v="10895.32"/>
    <n v="6.3268100454181145E-2"/>
    <n v="4.1699656901557136E-2"/>
    <n v="24.490632911392407"/>
    <n v="2.8156773966796913"/>
    <n v="2024"/>
    <x v="8"/>
    <n v="5"/>
  </r>
  <r>
    <s v="CAMP1452"/>
    <x v="0"/>
    <x v="4"/>
    <d v="2024-11-10T00:00:00"/>
    <n v="118694"/>
    <n v="6450"/>
    <n v="467"/>
    <n v="4833.57"/>
    <n v="27240.880000000001"/>
    <n v="5.4341415741318011E-2"/>
    <n v="7.2403100775193796E-2"/>
    <n v="10.350256959314775"/>
    <n v="5.6357681796270667"/>
    <n v="2024"/>
    <x v="5"/>
    <n v="11"/>
  </r>
  <r>
    <s v="CAMP1453"/>
    <x v="4"/>
    <x v="1"/>
    <d v="2024-04-12T00:00:00"/>
    <n v="102806"/>
    <n v="7865"/>
    <n v="1069"/>
    <n v="3832.87"/>
    <n v="78147.509999999995"/>
    <n v="7.6503316927027609E-2"/>
    <n v="0.13591862682771774"/>
    <n v="3.585472404115996"/>
    <n v="20.388771338448734"/>
    <n v="2024"/>
    <x v="7"/>
    <n v="4"/>
  </r>
  <r>
    <s v="CAMP1454"/>
    <x v="4"/>
    <x v="0"/>
    <d v="2024-11-16T00:00:00"/>
    <n v="70227"/>
    <n v="1814"/>
    <n v="243"/>
    <n v="1698.04"/>
    <n v="7355.81"/>
    <n v="2.583052102467712E-2"/>
    <n v="0.13395810363836824"/>
    <n v="6.9878189300411524"/>
    <n v="4.3319415325905162"/>
    <n v="2024"/>
    <x v="5"/>
    <n v="11"/>
  </r>
  <r>
    <s v="CAMP1455"/>
    <x v="5"/>
    <x v="4"/>
    <d v="2024-02-03T00:00:00"/>
    <n v="16984"/>
    <n v="524"/>
    <n v="30"/>
    <n v="3693.59"/>
    <n v="2389.11"/>
    <n v="3.0852567121997174E-2"/>
    <n v="5.7251908396946563E-2"/>
    <n v="123.11966666666667"/>
    <n v="0.64682598772467981"/>
    <n v="2024"/>
    <x v="9"/>
    <n v="2"/>
  </r>
  <r>
    <s v="CAMP1456"/>
    <x v="7"/>
    <x v="2"/>
    <d v="2024-12-17T00:00:00"/>
    <n v="40072"/>
    <n v="1362"/>
    <n v="186"/>
    <n v="1924.4"/>
    <n v="7224.72"/>
    <n v="3.39888201237772E-2"/>
    <n v="0.13656387665198239"/>
    <n v="10.346236559139786"/>
    <n v="3.7542714612346706"/>
    <n v="2024"/>
    <x v="4"/>
    <n v="12"/>
  </r>
  <r>
    <s v="CAMP1457"/>
    <x v="3"/>
    <x v="0"/>
    <d v="2024-04-26T00:00:00"/>
    <n v="63804"/>
    <n v="3885"/>
    <n v="143"/>
    <n v="3723.57"/>
    <n v="11292.61"/>
    <n v="6.0889599398156857E-2"/>
    <n v="3.6808236808236805E-2"/>
    <n v="26.038951048951049"/>
    <n v="3.0327373998608862"/>
    <n v="2024"/>
    <x v="7"/>
    <n v="4"/>
  </r>
  <r>
    <s v="CAMP1458"/>
    <x v="2"/>
    <x v="0"/>
    <d v="2024-07-06T00:00:00"/>
    <n v="14794"/>
    <n v="536"/>
    <n v="55"/>
    <n v="3902"/>
    <n v="4527.24"/>
    <n v="3.6230904420711099E-2"/>
    <n v="0.10261194029850747"/>
    <n v="70.945454545454552"/>
    <n v="1.160235776524859"/>
    <n v="2024"/>
    <x v="10"/>
    <n v="7"/>
  </r>
  <r>
    <s v="CAMP1459"/>
    <x v="4"/>
    <x v="0"/>
    <d v="2024-11-30T00:00:00"/>
    <n v="10175"/>
    <n v="136"/>
    <n v="4"/>
    <n v="2332.71"/>
    <n v="129.44"/>
    <n v="1.3366093366093366E-2"/>
    <n v="2.9411764705882353E-2"/>
    <n v="583.17750000000001"/>
    <n v="5.5489109233466651E-2"/>
    <n v="2024"/>
    <x v="5"/>
    <n v="11"/>
  </r>
  <r>
    <s v="CAMP1460"/>
    <x v="5"/>
    <x v="2"/>
    <d v="2024-12-25T00:00:00"/>
    <n v="45141"/>
    <n v="1100"/>
    <n v="120"/>
    <n v="244.66"/>
    <n v="7450.46"/>
    <n v="2.4368091092355066E-2"/>
    <n v="0.10909090909090909"/>
    <n v="2.0388333333333333"/>
    <n v="30.452301152619963"/>
    <n v="2024"/>
    <x v="4"/>
    <n v="12"/>
  </r>
  <r>
    <s v="CAMP1461"/>
    <x v="0"/>
    <x v="1"/>
    <d v="2024-05-18T00:00:00"/>
    <n v="40956"/>
    <n v="1610"/>
    <n v="220"/>
    <n v="2655.61"/>
    <n v="17989.36"/>
    <n v="3.9310479539017479E-2"/>
    <n v="0.13664596273291926"/>
    <n v="12.070954545454546"/>
    <n v="6.7740971001012946"/>
    <n v="2024"/>
    <x v="8"/>
    <n v="5"/>
  </r>
  <r>
    <s v="CAMP1462"/>
    <x v="5"/>
    <x v="0"/>
    <d v="2025-02-05T00:00:00"/>
    <n v="32856"/>
    <n v="1473"/>
    <n v="146"/>
    <n v="3934.2"/>
    <n v="15059.88"/>
    <n v="4.4831994156318479E-2"/>
    <n v="9.9117447386286486E-2"/>
    <n v="26.946575342465753"/>
    <n v="3.8279396065273752"/>
    <n v="2025"/>
    <x v="9"/>
    <n v="2"/>
  </r>
  <r>
    <s v="CAMP1463"/>
    <x v="1"/>
    <x v="3"/>
    <d v="2024-12-26T00:00:00"/>
    <n v="112415"/>
    <n v="3448"/>
    <n v="86"/>
    <n v="2582.5"/>
    <n v="3506.17"/>
    <n v="3.0672063336743317E-2"/>
    <n v="2.4941995359628769E-2"/>
    <n v="30.029069767441861"/>
    <n v="1.3576650532429817"/>
    <n v="2024"/>
    <x v="4"/>
    <n v="12"/>
  </r>
  <r>
    <s v="CAMP1464"/>
    <x v="6"/>
    <x v="3"/>
    <d v="2024-04-30T00:00:00"/>
    <n v="5717"/>
    <n v="62"/>
    <n v="1"/>
    <n v="730.07"/>
    <n v="77.42"/>
    <n v="1.0844848696868987E-2"/>
    <n v="1.6129032258064516E-2"/>
    <n v="730.07"/>
    <n v="0.10604462585779445"/>
    <n v="2024"/>
    <x v="7"/>
    <n v="4"/>
  </r>
  <r>
    <s v="CAMP1465"/>
    <x v="6"/>
    <x v="4"/>
    <d v="2024-02-16T00:00:00"/>
    <n v="139140"/>
    <n v="2122"/>
    <n v="242"/>
    <n v="4542.9399999999996"/>
    <n v="20432.95"/>
    <n v="1.5250826505677734E-2"/>
    <n v="0.11404335532516494"/>
    <n v="18.772479338842974"/>
    <n v="4.4977371481903798"/>
    <n v="2024"/>
    <x v="9"/>
    <n v="2"/>
  </r>
  <r>
    <s v="CAMP1466"/>
    <x v="6"/>
    <x v="3"/>
    <d v="2024-05-15T00:00:00"/>
    <n v="126707"/>
    <n v="1711"/>
    <n v="215"/>
    <n v="4395.87"/>
    <n v="22623.35"/>
    <n v="1.3503594907937209E-2"/>
    <n v="0.12565751022793689"/>
    <n v="20.445906976744187"/>
    <n v="5.1465011476681521"/>
    <n v="2024"/>
    <x v="8"/>
    <n v="5"/>
  </r>
  <r>
    <s v="CAMP1467"/>
    <x v="7"/>
    <x v="3"/>
    <d v="2024-08-06T00:00:00"/>
    <n v="35382"/>
    <n v="589"/>
    <n v="69"/>
    <n v="420.27"/>
    <n v="7258.79"/>
    <n v="1.6646882595670116E-2"/>
    <n v="0.11714770797962648"/>
    <n v="6.0908695652173908"/>
    <n v="17.27173007828301"/>
    <n v="2024"/>
    <x v="1"/>
    <n v="8"/>
  </r>
  <r>
    <s v="CAMP1468"/>
    <x v="2"/>
    <x v="3"/>
    <d v="2024-07-02T00:00:00"/>
    <n v="119744"/>
    <n v="9203"/>
    <n v="505"/>
    <n v="3718.73"/>
    <n v="28917.42"/>
    <n v="7.6855625334045968E-2"/>
    <n v="5.4873410844289906E-2"/>
    <n v="7.3638217821782179"/>
    <n v="7.7761547625130083"/>
    <n v="2024"/>
    <x v="10"/>
    <n v="7"/>
  </r>
  <r>
    <s v="CAMP1469"/>
    <x v="7"/>
    <x v="4"/>
    <d v="2024-02-28T00:00:00"/>
    <n v="110061"/>
    <n v="4184"/>
    <n v="332"/>
    <n v="4211.3999999999996"/>
    <n v="29544.76"/>
    <n v="3.8015282434286445E-2"/>
    <n v="7.9349904397705548E-2"/>
    <n v="12.684939759036144"/>
    <n v="7.0154247993541343"/>
    <n v="2024"/>
    <x v="9"/>
    <n v="2"/>
  </r>
  <r>
    <s v="CAMP1470"/>
    <x v="6"/>
    <x v="2"/>
    <d v="2024-11-28T00:00:00"/>
    <n v="48720"/>
    <n v="872"/>
    <n v="96"/>
    <n v="481.5"/>
    <n v="10967.68"/>
    <n v="1.7898193760262728E-2"/>
    <n v="0.11009174311926606"/>
    <n v="5.015625"/>
    <n v="22.778151609553479"/>
    <n v="2024"/>
    <x v="5"/>
    <n v="11"/>
  </r>
  <r>
    <s v="CAMP1471"/>
    <x v="2"/>
    <x v="0"/>
    <d v="2024-08-01T00:00:00"/>
    <n v="131530"/>
    <n v="8701"/>
    <n v="941"/>
    <n v="1070.05"/>
    <n v="54554.55"/>
    <n v="6.6152208621607242E-2"/>
    <n v="0.10814848867946213"/>
    <n v="1.1371413390010627"/>
    <n v="50.983178356151583"/>
    <n v="2024"/>
    <x v="1"/>
    <n v="8"/>
  </r>
  <r>
    <s v="CAMP1472"/>
    <x v="7"/>
    <x v="1"/>
    <d v="2024-01-15T00:00:00"/>
    <n v="39250"/>
    <n v="1719"/>
    <n v="143"/>
    <n v="4460.45"/>
    <n v="9161.84"/>
    <n v="4.3796178343949048E-2"/>
    <n v="8.318789994182664E-2"/>
    <n v="31.191958041958042"/>
    <n v="2.0540169713818113"/>
    <n v="2024"/>
    <x v="0"/>
    <n v="1"/>
  </r>
  <r>
    <s v="CAMP1473"/>
    <x v="0"/>
    <x v="3"/>
    <d v="2024-12-01T00:00:00"/>
    <n v="87375"/>
    <n v="949"/>
    <n v="126"/>
    <n v="2719.13"/>
    <n v="11889.66"/>
    <n v="1.0861230329041488E-2"/>
    <n v="0.13277133825079029"/>
    <n v="21.580396825396825"/>
    <n v="4.3725971174603639"/>
    <n v="2024"/>
    <x v="4"/>
    <n v="12"/>
  </r>
  <r>
    <s v="CAMP1474"/>
    <x v="1"/>
    <x v="3"/>
    <d v="2024-09-22T00:00:00"/>
    <n v="142128"/>
    <n v="8268"/>
    <n v="829"/>
    <n v="2277.67"/>
    <n v="76819.45"/>
    <n v="5.8172914555893282E-2"/>
    <n v="0.10026608611514272"/>
    <n v="2.7474909529553679"/>
    <n v="33.72720806789394"/>
    <n v="2024"/>
    <x v="11"/>
    <n v="9"/>
  </r>
  <r>
    <s v="CAMP1475"/>
    <x v="6"/>
    <x v="3"/>
    <d v="2024-12-05T00:00:00"/>
    <n v="105893"/>
    <n v="2160"/>
    <n v="275"/>
    <n v="4481.8999999999996"/>
    <n v="22355.14"/>
    <n v="2.0397948872918889E-2"/>
    <n v="0.12731481481481483"/>
    <n v="16.29781818181818"/>
    <n v="4.9878712153327829"/>
    <n v="2024"/>
    <x v="4"/>
    <n v="12"/>
  </r>
  <r>
    <s v="CAMP1476"/>
    <x v="4"/>
    <x v="4"/>
    <d v="2024-09-15T00:00:00"/>
    <n v="128021"/>
    <n v="8914"/>
    <n v="1185"/>
    <n v="559.35"/>
    <n v="81960.28"/>
    <n v="6.9629201459135606E-2"/>
    <n v="0.13293695310747139"/>
    <n v="0.47202531645569623"/>
    <n v="146.52771967462232"/>
    <n v="2024"/>
    <x v="11"/>
    <n v="9"/>
  </r>
  <r>
    <s v="CAMP1477"/>
    <x v="1"/>
    <x v="3"/>
    <d v="2024-05-22T00:00:00"/>
    <n v="18199"/>
    <n v="827"/>
    <n v="75"/>
    <n v="2017.46"/>
    <n v="7628.27"/>
    <n v="4.5442057255893183E-2"/>
    <n v="9.0689238210399037E-2"/>
    <n v="26.899466666666669"/>
    <n v="3.7811257720103497"/>
    <n v="2024"/>
    <x v="8"/>
    <n v="5"/>
  </r>
  <r>
    <s v="CAMP1478"/>
    <x v="0"/>
    <x v="2"/>
    <d v="2024-08-15T00:00:00"/>
    <n v="122466"/>
    <n v="1979"/>
    <n v="167"/>
    <n v="1717.1"/>
    <n v="19717.2"/>
    <n v="1.6159587150719384E-2"/>
    <n v="8.438605356240525E-2"/>
    <n v="10.282035928143712"/>
    <n v="11.482848989575448"/>
    <n v="2024"/>
    <x v="1"/>
    <n v="8"/>
  </r>
  <r>
    <s v="CAMP1479"/>
    <x v="4"/>
    <x v="0"/>
    <d v="2024-07-25T00:00:00"/>
    <n v="113092"/>
    <n v="1414"/>
    <n v="129"/>
    <n v="4164.3599999999997"/>
    <n v="12794"/>
    <n v="1.2503094825451845E-2"/>
    <n v="9.123055162659123E-2"/>
    <n v="32.281860465116274"/>
    <n v="3.0722608035808627"/>
    <n v="2024"/>
    <x v="10"/>
    <n v="7"/>
  </r>
  <r>
    <s v="CAMP1480"/>
    <x v="5"/>
    <x v="1"/>
    <d v="2024-10-14T00:00:00"/>
    <n v="59224"/>
    <n v="3305"/>
    <n v="262"/>
    <n v="1836.1"/>
    <n v="26863.15"/>
    <n v="5.5805079022018103E-2"/>
    <n v="7.9273827534039332E-2"/>
    <n v="7.0080152671755718"/>
    <n v="14.630548445073799"/>
    <n v="2024"/>
    <x v="3"/>
    <n v="10"/>
  </r>
  <r>
    <s v="CAMP1481"/>
    <x v="1"/>
    <x v="2"/>
    <d v="2024-06-18T00:00:00"/>
    <n v="129029"/>
    <n v="7763"/>
    <n v="521"/>
    <n v="2372.16"/>
    <n v="15496.47"/>
    <n v="6.0164769160421301E-2"/>
    <n v="6.711322942161535E-2"/>
    <n v="4.5530902111324369"/>
    <n v="6.5326411371914208"/>
    <n v="2024"/>
    <x v="2"/>
    <n v="6"/>
  </r>
  <r>
    <s v="CAMP1482"/>
    <x v="1"/>
    <x v="0"/>
    <d v="2024-06-23T00:00:00"/>
    <n v="98097"/>
    <n v="6679"/>
    <n v="970"/>
    <n v="1601.52"/>
    <n v="70032.55"/>
    <n v="6.8085670305921692E-2"/>
    <n v="0.14523132205419972"/>
    <n v="1.6510515463917526"/>
    <n v="43.728801388680758"/>
    <n v="2024"/>
    <x v="2"/>
    <n v="6"/>
  </r>
  <r>
    <s v="CAMP1483"/>
    <x v="0"/>
    <x v="0"/>
    <d v="2024-03-25T00:00:00"/>
    <n v="134085"/>
    <n v="2659"/>
    <n v="300"/>
    <n v="3663.48"/>
    <n v="9208.85"/>
    <n v="1.9830704403922886E-2"/>
    <n v="0.11282437006393381"/>
    <n v="12.211600000000001"/>
    <n v="2.5136891698603514"/>
    <n v="2024"/>
    <x v="6"/>
    <n v="3"/>
  </r>
  <r>
    <s v="CAMP1484"/>
    <x v="1"/>
    <x v="4"/>
    <d v="2024-03-02T00:00:00"/>
    <n v="107995"/>
    <n v="2709"/>
    <n v="344"/>
    <n v="1114.78"/>
    <n v="18504.91"/>
    <n v="2.5084494652530209E-2"/>
    <n v="0.12698412698412698"/>
    <n v="3.2406395348837207"/>
    <n v="16.599607097364501"/>
    <n v="2024"/>
    <x v="6"/>
    <n v="3"/>
  </r>
  <r>
    <s v="CAMP1485"/>
    <x v="3"/>
    <x v="0"/>
    <d v="2024-11-20T00:00:00"/>
    <n v="37301"/>
    <n v="2389"/>
    <n v="187"/>
    <n v="3360.59"/>
    <n v="21620.76"/>
    <n v="6.4046540307230365E-2"/>
    <n v="7.8275429049811635E-2"/>
    <n v="17.971069518716579"/>
    <n v="6.4336202869139045"/>
    <n v="2024"/>
    <x v="5"/>
    <n v="11"/>
  </r>
  <r>
    <s v="CAMP1486"/>
    <x v="2"/>
    <x v="2"/>
    <d v="2024-01-03T00:00:00"/>
    <n v="144031"/>
    <n v="8862"/>
    <n v="814"/>
    <n v="2277.4899999999998"/>
    <n v="63908.83"/>
    <n v="6.1528420964931163E-2"/>
    <n v="9.1852854886030247E-2"/>
    <n v="2.7978992628992625"/>
    <n v="28.061080399913944"/>
    <n v="2024"/>
    <x v="0"/>
    <n v="1"/>
  </r>
  <r>
    <s v="CAMP1487"/>
    <x v="2"/>
    <x v="1"/>
    <d v="2024-03-29T00:00:00"/>
    <n v="38654"/>
    <n v="666"/>
    <n v="70"/>
    <n v="3109.57"/>
    <n v="3652.91"/>
    <n v="1.7229782170021215E-2"/>
    <n v="0.10510510510510511"/>
    <n v="44.422428571428576"/>
    <n v="1.1747315545236157"/>
    <n v="2024"/>
    <x v="6"/>
    <n v="3"/>
  </r>
  <r>
    <s v="CAMP1488"/>
    <x v="3"/>
    <x v="2"/>
    <d v="2024-11-07T00:00:00"/>
    <n v="70074"/>
    <n v="2042"/>
    <n v="296"/>
    <n v="4858.3599999999997"/>
    <n v="19324.23"/>
    <n v="2.9140622770214345E-2"/>
    <n v="0.14495592556317335"/>
    <n v="16.413378378378376"/>
    <n v="3.9775212211528173"/>
    <n v="2024"/>
    <x v="5"/>
    <n v="11"/>
  </r>
  <r>
    <s v="CAMP1489"/>
    <x v="2"/>
    <x v="4"/>
    <d v="2024-07-30T00:00:00"/>
    <n v="139294"/>
    <n v="4307"/>
    <n v="478"/>
    <n v="4331.3999999999996"/>
    <n v="43587.59"/>
    <n v="3.0920211925854667E-2"/>
    <n v="0.11098212212677037"/>
    <n v="9.0615062761506273"/>
    <n v="10.06316433485709"/>
    <n v="2024"/>
    <x v="10"/>
    <n v="7"/>
  </r>
  <r>
    <s v="CAMP1490"/>
    <x v="1"/>
    <x v="4"/>
    <d v="2024-04-17T00:00:00"/>
    <n v="81173"/>
    <n v="4713"/>
    <n v="658"/>
    <n v="836.82"/>
    <n v="59904.09"/>
    <n v="5.8061177977899052E-2"/>
    <n v="0.13961383407596012"/>
    <n v="1.2717629179331307"/>
    <n v="71.585394708539468"/>
    <n v="2024"/>
    <x v="7"/>
    <n v="4"/>
  </r>
  <r>
    <s v="CAMP1491"/>
    <x v="2"/>
    <x v="1"/>
    <d v="2024-10-04T00:00:00"/>
    <n v="89510"/>
    <n v="5345"/>
    <n v="635"/>
    <n v="2898.95"/>
    <n v="49708.2"/>
    <n v="5.9713998435928943E-2"/>
    <n v="0.11880261927034612"/>
    <n v="4.565275590551181"/>
    <n v="17.146967005295021"/>
    <n v="2024"/>
    <x v="3"/>
    <n v="10"/>
  </r>
  <r>
    <s v="CAMP1492"/>
    <x v="3"/>
    <x v="1"/>
    <d v="2024-05-26T00:00:00"/>
    <n v="115726"/>
    <n v="7705"/>
    <n v="677"/>
    <n v="321.31"/>
    <n v="23378.62"/>
    <n v="6.6579679587992324E-2"/>
    <n v="8.7865022712524332E-2"/>
    <n v="0.47460856720827177"/>
    <n v="72.760324919859329"/>
    <n v="2024"/>
    <x v="8"/>
    <n v="5"/>
  </r>
  <r>
    <s v="CAMP1493"/>
    <x v="4"/>
    <x v="4"/>
    <d v="2024-05-16T00:00:00"/>
    <n v="47188"/>
    <n v="3720"/>
    <n v="404"/>
    <n v="902.86"/>
    <n v="10586.13"/>
    <n v="7.8833601763160122E-2"/>
    <n v="0.1086021505376344"/>
    <n v="2.2348019801980197"/>
    <n v="11.725106882573156"/>
    <n v="2024"/>
    <x v="8"/>
    <n v="5"/>
  </r>
  <r>
    <s v="CAMP1494"/>
    <x v="5"/>
    <x v="4"/>
    <d v="2025-01-20T00:00:00"/>
    <n v="146865"/>
    <n v="1800"/>
    <n v="226"/>
    <n v="691.9"/>
    <n v="24137.599999999999"/>
    <n v="1.2256153610458585E-2"/>
    <n v="0.12555555555555556"/>
    <n v="3.0615044247787608"/>
    <n v="34.885966180083827"/>
    <n v="2025"/>
    <x v="0"/>
    <n v="1"/>
  </r>
  <r>
    <s v="CAMP1495"/>
    <x v="1"/>
    <x v="1"/>
    <d v="2024-07-18T00:00:00"/>
    <n v="67284"/>
    <n v="3079"/>
    <n v="380"/>
    <n v="3541.42"/>
    <n v="33931.57"/>
    <n v="4.5761250817430592E-2"/>
    <n v="0.12341669373173109"/>
    <n v="9.3195263157894743"/>
    <n v="9.5813459007968547"/>
    <n v="2024"/>
    <x v="10"/>
    <n v="7"/>
  </r>
  <r>
    <s v="CAMP1496"/>
    <x v="4"/>
    <x v="2"/>
    <d v="2024-07-17T00:00:00"/>
    <n v="114200"/>
    <n v="8789"/>
    <n v="1290"/>
    <n v="1700.74"/>
    <n v="97024.07"/>
    <n v="7.6961471103327489E-2"/>
    <n v="0.14677437706223689"/>
    <n v="1.3184031007751937"/>
    <n v="57.048149628985037"/>
    <n v="2024"/>
    <x v="10"/>
    <n v="7"/>
  </r>
  <r>
    <s v="CAMP1497"/>
    <x v="4"/>
    <x v="3"/>
    <d v="2024-04-13T00:00:00"/>
    <n v="121146"/>
    <n v="8249"/>
    <n v="1142"/>
    <n v="3582.22"/>
    <n v="96799.62"/>
    <n v="6.8091393855348098E-2"/>
    <n v="0.13844102315432175"/>
    <n v="3.1367950963222415"/>
    <n v="27.022243189977164"/>
    <n v="2024"/>
    <x v="7"/>
    <n v="4"/>
  </r>
  <r>
    <s v="CAMP1498"/>
    <x v="1"/>
    <x v="4"/>
    <d v="2024-05-30T00:00:00"/>
    <n v="122654"/>
    <n v="2749"/>
    <n v="298"/>
    <n v="1097.49"/>
    <n v="11139.09"/>
    <n v="2.2412640435697163E-2"/>
    <n v="0.1084030556566024"/>
    <n v="3.6828523489932885"/>
    <n v="10.149605007790504"/>
    <n v="2024"/>
    <x v="8"/>
    <n v="5"/>
  </r>
  <r>
    <s v="CAMP1499"/>
    <x v="0"/>
    <x v="2"/>
    <d v="2024-01-21T00:00:00"/>
    <n v="117330"/>
    <n v="3465"/>
    <n v="188"/>
    <n v="972.46"/>
    <n v="19665.07"/>
    <n v="2.9532088979800562E-2"/>
    <n v="5.425685425685426E-2"/>
    <n v="5.172659574468085"/>
    <n v="20.221983423482712"/>
    <n v="2024"/>
    <x v="0"/>
    <n v="1"/>
  </r>
  <r>
    <s v="CAMP1500"/>
    <x v="4"/>
    <x v="3"/>
    <d v="2024-08-26T00:00:00"/>
    <n v="45581"/>
    <n v="583"/>
    <n v="82"/>
    <n v="3065.03"/>
    <n v="7984.02"/>
    <n v="1.2790417059739803E-2"/>
    <n v="0.14065180102915953"/>
    <n v="37.378414634146345"/>
    <n v="2.6048749930669519"/>
    <n v="2024"/>
    <x v="1"/>
    <n v="8"/>
  </r>
  <r>
    <s v="CAMP1501"/>
    <x v="5"/>
    <x v="2"/>
    <d v="2025-02-08T00:00:00"/>
    <n v="149221"/>
    <n v="5232"/>
    <n v="637"/>
    <n v="1725.72"/>
    <n v="26751.58"/>
    <n v="3.5062089116143169E-2"/>
    <n v="0.12175076452599388"/>
    <n v="2.7091365777080063"/>
    <n v="15.501692047377327"/>
    <n v="2025"/>
    <x v="9"/>
    <n v="2"/>
  </r>
  <r>
    <s v="CAMP1502"/>
    <x v="2"/>
    <x v="1"/>
    <d v="2024-02-04T00:00:00"/>
    <n v="137419"/>
    <n v="2907"/>
    <n v="263"/>
    <n v="2136.4"/>
    <n v="14449.3"/>
    <n v="2.1154279975840313E-2"/>
    <n v="9.0471276229790162E-2"/>
    <n v="8.1231939163498108"/>
    <n v="6.7633870061786174"/>
    <n v="2024"/>
    <x v="9"/>
    <n v="2"/>
  </r>
  <r>
    <s v="CAMP1503"/>
    <x v="1"/>
    <x v="3"/>
    <d v="2024-06-18T00:00:00"/>
    <n v="99580"/>
    <n v="3042"/>
    <n v="436"/>
    <n v="3167.75"/>
    <n v="29423.77"/>
    <n v="3.0548302872062665E-2"/>
    <n v="0.1433267587113741"/>
    <n v="7.2654816513761471"/>
    <n v="9.2885391839633815"/>
    <n v="2024"/>
    <x v="2"/>
    <n v="6"/>
  </r>
  <r>
    <s v="CAMP1504"/>
    <x v="4"/>
    <x v="0"/>
    <d v="2024-12-08T00:00:00"/>
    <n v="95703"/>
    <n v="3942"/>
    <n v="542"/>
    <n v="3145.77"/>
    <n v="44505.34"/>
    <n v="4.1189931350114416E-2"/>
    <n v="0.13749365804160324"/>
    <n v="5.8040036900369003"/>
    <n v="14.147677675100214"/>
    <n v="2024"/>
    <x v="4"/>
    <n v="12"/>
  </r>
  <r>
    <s v="CAMP1505"/>
    <x v="4"/>
    <x v="3"/>
    <d v="2024-07-14T00:00:00"/>
    <n v="34720"/>
    <n v="1285"/>
    <n v="115"/>
    <n v="1557.58"/>
    <n v="12780.36"/>
    <n v="3.7010368663594473E-2"/>
    <n v="8.9494163424124515E-2"/>
    <n v="13.544173913043478"/>
    <n v="8.2052671451867649"/>
    <n v="2024"/>
    <x v="10"/>
    <n v="7"/>
  </r>
  <r>
    <s v="CAMP1506"/>
    <x v="7"/>
    <x v="1"/>
    <d v="2025-02-15T00:00:00"/>
    <n v="138361"/>
    <n v="5698"/>
    <n v="146"/>
    <n v="4511.75"/>
    <n v="5730.68"/>
    <n v="4.1182125020778976E-2"/>
    <n v="2.5623025623025621E-2"/>
    <n v="30.902397260273972"/>
    <n v="1.2701678949409876"/>
    <n v="2025"/>
    <x v="9"/>
    <n v="2"/>
  </r>
  <r>
    <s v="CAMP1507"/>
    <x v="0"/>
    <x v="0"/>
    <d v="2024-03-26T00:00:00"/>
    <n v="146026"/>
    <n v="6910"/>
    <n v="701"/>
    <n v="1211.75"/>
    <n v="58148.97"/>
    <n v="4.7320340213386658E-2"/>
    <n v="0.10144717800289435"/>
    <n v="1.7286019971469329"/>
    <n v="47.987596451413246"/>
    <n v="2024"/>
    <x v="6"/>
    <n v="3"/>
  </r>
  <r>
    <s v="CAMP1508"/>
    <x v="1"/>
    <x v="2"/>
    <d v="2024-02-23T00:00:00"/>
    <n v="58891"/>
    <n v="2805"/>
    <n v="312"/>
    <n v="4885.87"/>
    <n v="30426.45"/>
    <n v="4.7630367967940769E-2"/>
    <n v="0.11122994652406418"/>
    <n v="15.659839743589743"/>
    <n v="6.2274374881034493"/>
    <n v="2024"/>
    <x v="9"/>
    <n v="2"/>
  </r>
  <r>
    <s v="CAMP1509"/>
    <x v="0"/>
    <x v="4"/>
    <d v="2024-01-13T00:00:00"/>
    <n v="125383"/>
    <n v="7545"/>
    <n v="188"/>
    <n v="551.59"/>
    <n v="7106.25"/>
    <n v="6.0175621894515204E-2"/>
    <n v="2.4917163684559311E-2"/>
    <n v="2.9339893617021278"/>
    <n v="12.883210355517685"/>
    <n v="2024"/>
    <x v="0"/>
    <n v="1"/>
  </r>
  <r>
    <s v="CAMP1510"/>
    <x v="5"/>
    <x v="1"/>
    <d v="2024-02-06T00:00:00"/>
    <n v="64675"/>
    <n v="4771"/>
    <n v="348"/>
    <n v="2365.4"/>
    <n v="21034.79"/>
    <n v="7.3768844221105523E-2"/>
    <n v="7.294068329490673E-2"/>
    <n v="6.7971264367816095"/>
    <n v="8.8926989092753868"/>
    <n v="2024"/>
    <x v="9"/>
    <n v="2"/>
  </r>
  <r>
    <s v="CAMP1511"/>
    <x v="7"/>
    <x v="0"/>
    <d v="2024-07-18T00:00:00"/>
    <n v="36013"/>
    <n v="1708"/>
    <n v="176"/>
    <n v="3168.08"/>
    <n v="16824.91"/>
    <n v="4.7427317912975872E-2"/>
    <n v="0.10304449648711944"/>
    <n v="18.000454545454545"/>
    <n v="5.3107591980000501"/>
    <n v="2024"/>
    <x v="10"/>
    <n v="7"/>
  </r>
  <r>
    <s v="CAMP1512"/>
    <x v="4"/>
    <x v="0"/>
    <d v="2024-07-02T00:00:00"/>
    <n v="136815"/>
    <n v="2384"/>
    <n v="291"/>
    <n v="1646.48"/>
    <n v="8337.2999999999993"/>
    <n v="1.7424989949932392E-2"/>
    <n v="0.12206375838926174"/>
    <n v="5.6580068728522335"/>
    <n v="5.0637116758175011"/>
    <n v="2024"/>
    <x v="10"/>
    <n v="7"/>
  </r>
  <r>
    <s v="CAMP1513"/>
    <x v="6"/>
    <x v="2"/>
    <d v="2024-07-21T00:00:00"/>
    <n v="13079"/>
    <n v="564"/>
    <n v="50"/>
    <n v="854.63"/>
    <n v="2954.96"/>
    <n v="4.3122562887070878E-2"/>
    <n v="8.8652482269503549E-2"/>
    <n v="17.092600000000001"/>
    <n v="3.4575898341972549"/>
    <n v="2024"/>
    <x v="10"/>
    <n v="7"/>
  </r>
  <r>
    <s v="CAMP1514"/>
    <x v="5"/>
    <x v="4"/>
    <d v="2024-06-01T00:00:00"/>
    <n v="102813"/>
    <n v="7918"/>
    <n v="169"/>
    <n v="4398.88"/>
    <n v="5769.22"/>
    <n v="7.7013607228657854E-2"/>
    <n v="2.1343773680222278E-2"/>
    <n v="26.02887573964497"/>
    <n v="1.3115202051431274"/>
    <n v="2024"/>
    <x v="2"/>
    <n v="6"/>
  </r>
  <r>
    <s v="CAMP1515"/>
    <x v="4"/>
    <x v="0"/>
    <d v="2024-10-20T00:00:00"/>
    <n v="108306"/>
    <n v="5155"/>
    <n v="737"/>
    <n v="1662.52"/>
    <n v="69889.460000000006"/>
    <n v="4.7596624379074103E-2"/>
    <n v="0.14296799224054316"/>
    <n v="2.2557937584803258"/>
    <n v="42.03826720881554"/>
    <n v="2024"/>
    <x v="3"/>
    <n v="10"/>
  </r>
  <r>
    <s v="CAMP1516"/>
    <x v="7"/>
    <x v="4"/>
    <d v="2024-07-30T00:00:00"/>
    <n v="139362"/>
    <n v="2783"/>
    <n v="122"/>
    <n v="3161.05"/>
    <n v="5523.45"/>
    <n v="1.9969575637548257E-2"/>
    <n v="4.3837585339561627E-2"/>
    <n v="25.910245901639346"/>
    <n v="1.7473466095126617"/>
    <n v="2024"/>
    <x v="10"/>
    <n v="7"/>
  </r>
  <r>
    <s v="CAMP1517"/>
    <x v="0"/>
    <x v="4"/>
    <d v="2024-12-09T00:00:00"/>
    <n v="19257"/>
    <n v="1340"/>
    <n v="189"/>
    <n v="4972.7"/>
    <n v="12497.91"/>
    <n v="6.9585085942774058E-2"/>
    <n v="0.141044776119403"/>
    <n v="26.31058201058201"/>
    <n v="2.513304643352706"/>
    <n v="2024"/>
    <x v="4"/>
    <n v="12"/>
  </r>
  <r>
    <s v="CAMP1518"/>
    <x v="0"/>
    <x v="3"/>
    <d v="2024-12-09T00:00:00"/>
    <n v="22658"/>
    <n v="624"/>
    <n v="28"/>
    <n v="2986.86"/>
    <n v="3224.31"/>
    <n v="2.7539941742430931E-2"/>
    <n v="4.4871794871794872E-2"/>
    <n v="106.67357142857144"/>
    <n v="1.0794982021253088"/>
    <n v="2024"/>
    <x v="4"/>
    <n v="12"/>
  </r>
  <r>
    <s v="CAMP1519"/>
    <x v="7"/>
    <x v="4"/>
    <d v="2024-12-09T00:00:00"/>
    <n v="66481"/>
    <n v="1130"/>
    <n v="113"/>
    <n v="4520.57"/>
    <n v="5850.98"/>
    <n v="1.6997337585174712E-2"/>
    <n v="0.1"/>
    <n v="40.005044247787609"/>
    <n v="1.2943013823478013"/>
    <n v="2024"/>
    <x v="4"/>
    <n v="12"/>
  </r>
  <r>
    <s v="CAMP1520"/>
    <x v="6"/>
    <x v="3"/>
    <d v="2024-11-11T00:00:00"/>
    <n v="85130"/>
    <n v="4983"/>
    <n v="198"/>
    <n v="2920.94"/>
    <n v="19952.46"/>
    <n v="5.8534006813109364E-2"/>
    <n v="3.9735099337748346E-2"/>
    <n v="14.752222222222223"/>
    <n v="6.8308352790540026"/>
    <n v="2024"/>
    <x v="5"/>
    <n v="11"/>
  </r>
  <r>
    <s v="CAMP1521"/>
    <x v="3"/>
    <x v="4"/>
    <d v="2024-01-03T00:00:00"/>
    <n v="87107"/>
    <n v="2372"/>
    <n v="115"/>
    <n v="3751.12"/>
    <n v="7315.43"/>
    <n v="2.7230876967407901E-2"/>
    <n v="4.8482293423271504E-2"/>
    <n v="32.618434782608695"/>
    <n v="1.9501988739363179"/>
    <n v="2024"/>
    <x v="0"/>
    <n v="1"/>
  </r>
  <r>
    <s v="CAMP1522"/>
    <x v="7"/>
    <x v="4"/>
    <d v="2024-12-13T00:00:00"/>
    <n v="91917"/>
    <n v="6567"/>
    <n v="526"/>
    <n v="1921.96"/>
    <n v="26587.82"/>
    <n v="7.144489049903717E-2"/>
    <n v="8.0097456981879089E-2"/>
    <n v="3.6539163498098861"/>
    <n v="13.833701013548669"/>
    <n v="2024"/>
    <x v="4"/>
    <n v="12"/>
  </r>
  <r>
    <s v="CAMP1523"/>
    <x v="0"/>
    <x v="4"/>
    <d v="2024-11-26T00:00:00"/>
    <n v="26488"/>
    <n v="1825"/>
    <n v="240"/>
    <n v="872.01"/>
    <n v="17726.830000000002"/>
    <n v="6.8899124131682268E-2"/>
    <n v="0.13150684931506848"/>
    <n v="3.633375"/>
    <n v="20.328700358940839"/>
    <n v="2024"/>
    <x v="5"/>
    <n v="11"/>
  </r>
  <r>
    <s v="CAMP1524"/>
    <x v="5"/>
    <x v="0"/>
    <d v="2025-01-07T00:00:00"/>
    <n v="24765"/>
    <n v="1794"/>
    <n v="234"/>
    <n v="3231.81"/>
    <n v="23695.83"/>
    <n v="7.2440944881889763E-2"/>
    <n v="0.13043478260869565"/>
    <n v="13.811153846153847"/>
    <n v="7.3320616001559502"/>
    <n v="2025"/>
    <x v="0"/>
    <n v="1"/>
  </r>
  <r>
    <s v="CAMP1525"/>
    <x v="3"/>
    <x v="1"/>
    <d v="2024-04-18T00:00:00"/>
    <n v="14609"/>
    <n v="710"/>
    <n v="64"/>
    <n v="4993.8999999999996"/>
    <n v="4301.47"/>
    <n v="4.8600177972482714E-2"/>
    <n v="9.014084507042254E-2"/>
    <n v="78.029687499999994"/>
    <n v="0.86134484070566097"/>
    <n v="2024"/>
    <x v="7"/>
    <n v="4"/>
  </r>
  <r>
    <s v="CAMP1526"/>
    <x v="2"/>
    <x v="3"/>
    <d v="2024-07-19T00:00:00"/>
    <n v="63538"/>
    <n v="4600"/>
    <n v="444"/>
    <n v="4314.3900000000003"/>
    <n v="14824.33"/>
    <n v="7.2397620321697248E-2"/>
    <n v="9.6521739130434783E-2"/>
    <n v="9.7170945945945952"/>
    <n v="3.436019924021704"/>
    <n v="2024"/>
    <x v="10"/>
    <n v="7"/>
  </r>
  <r>
    <s v="CAMP1527"/>
    <x v="0"/>
    <x v="2"/>
    <d v="2024-07-05T00:00:00"/>
    <n v="136640"/>
    <n v="1467"/>
    <n v="74"/>
    <n v="4827.2"/>
    <n v="8745.7099999999991"/>
    <n v="1.0736241217798596E-2"/>
    <n v="5.0443081117927745E-2"/>
    <n v="65.232432432432432"/>
    <n v="1.8117562976466688"/>
    <n v="2024"/>
    <x v="10"/>
    <n v="7"/>
  </r>
  <r>
    <s v="CAMP1528"/>
    <x v="2"/>
    <x v="1"/>
    <d v="2024-03-12T00:00:00"/>
    <n v="121974"/>
    <n v="2579"/>
    <n v="241"/>
    <n v="2915.9"/>
    <n v="25839.9"/>
    <n v="2.1143850328758589E-2"/>
    <n v="9.3447072508724305E-2"/>
    <n v="12.099170124481327"/>
    <n v="8.861723653074522"/>
    <n v="2024"/>
    <x v="6"/>
    <n v="3"/>
  </r>
  <r>
    <s v="CAMP1529"/>
    <x v="2"/>
    <x v="2"/>
    <d v="2024-07-02T00:00:00"/>
    <n v="15595"/>
    <n v="394"/>
    <n v="32"/>
    <n v="501.73"/>
    <n v="1822.19"/>
    <n v="2.5264507855081757E-2"/>
    <n v="8.1218274111675121E-2"/>
    <n v="15.679062500000001"/>
    <n v="3.6318139238235703"/>
    <n v="2024"/>
    <x v="10"/>
    <n v="7"/>
  </r>
  <r>
    <s v="CAMP1530"/>
    <x v="4"/>
    <x v="4"/>
    <d v="2024-09-22T00:00:00"/>
    <n v="99699"/>
    <n v="3705"/>
    <n v="516"/>
    <n v="4431.45"/>
    <n v="12379.08"/>
    <n v="3.7161857190142325E-2"/>
    <n v="0.13927125506072874"/>
    <n v="8.5880813953488371"/>
    <n v="2.7934603797853979"/>
    <n v="2024"/>
    <x v="11"/>
    <n v="9"/>
  </r>
  <r>
    <s v="CAMP1531"/>
    <x v="7"/>
    <x v="0"/>
    <d v="2024-12-26T00:00:00"/>
    <n v="141674"/>
    <n v="7699"/>
    <n v="427"/>
    <n v="3761.17"/>
    <n v="33247.56"/>
    <n v="5.4343069299942121E-2"/>
    <n v="5.5461748278997275E-2"/>
    <n v="8.8083606557377045"/>
    <n v="8.8396855233876686"/>
    <n v="2024"/>
    <x v="4"/>
    <n v="12"/>
  </r>
  <r>
    <s v="CAMP1532"/>
    <x v="2"/>
    <x v="2"/>
    <d v="2024-11-30T00:00:00"/>
    <n v="104226"/>
    <n v="3707"/>
    <n v="388"/>
    <n v="4210.25"/>
    <n v="27806.52"/>
    <n v="3.5566941070366322E-2"/>
    <n v="0.10466684650660912"/>
    <n v="10.851159793814434"/>
    <n v="6.6044819191259432"/>
    <n v="2024"/>
    <x v="5"/>
    <n v="11"/>
  </r>
  <r>
    <s v="CAMP1533"/>
    <x v="3"/>
    <x v="4"/>
    <d v="2024-09-21T00:00:00"/>
    <n v="111389"/>
    <n v="3865"/>
    <n v="513"/>
    <n v="2536.94"/>
    <n v="34992.25"/>
    <n v="3.4698219752399249E-2"/>
    <n v="0.13272962483829237"/>
    <n v="4.9453021442495126"/>
    <n v="13.793093254077746"/>
    <n v="2024"/>
    <x v="11"/>
    <n v="9"/>
  </r>
  <r>
    <s v="CAMP1534"/>
    <x v="4"/>
    <x v="1"/>
    <d v="2024-03-12T00:00:00"/>
    <n v="120316"/>
    <n v="2597"/>
    <n v="77"/>
    <n v="3288.69"/>
    <n v="3168.68"/>
    <n v="2.1584826623225507E-2"/>
    <n v="2.9649595687331536E-2"/>
    <n v="42.710259740259744"/>
    <n v="0.9635082662093416"/>
    <n v="2024"/>
    <x v="6"/>
    <n v="3"/>
  </r>
  <r>
    <s v="CAMP1535"/>
    <x v="2"/>
    <x v="4"/>
    <d v="2024-07-04T00:00:00"/>
    <n v="36019"/>
    <n v="2027"/>
    <n v="149"/>
    <n v="1785.08"/>
    <n v="4668.75"/>
    <n v="5.627585441017241E-2"/>
    <n v="7.3507646768623577E-2"/>
    <n v="11.980402684563758"/>
    <n v="2.6154290003809355"/>
    <n v="2024"/>
    <x v="10"/>
    <n v="7"/>
  </r>
  <r>
    <s v="CAMP1536"/>
    <x v="6"/>
    <x v="2"/>
    <d v="2024-04-17T00:00:00"/>
    <n v="47269"/>
    <n v="2614"/>
    <n v="191"/>
    <n v="1369.62"/>
    <n v="6262.61"/>
    <n v="5.5300514078994688E-2"/>
    <n v="7.3068094873756692E-2"/>
    <n v="7.1707853403141355"/>
    <n v="4.5725164644207883"/>
    <n v="2024"/>
    <x v="7"/>
    <n v="4"/>
  </r>
  <r>
    <s v="CAMP1537"/>
    <x v="2"/>
    <x v="4"/>
    <d v="2024-11-18T00:00:00"/>
    <n v="139386"/>
    <n v="1776"/>
    <n v="167"/>
    <n v="468.38"/>
    <n v="7652.94"/>
    <n v="1.2741595282166071E-2"/>
    <n v="9.4031531531531529E-2"/>
    <n v="2.8046706586826349"/>
    <n v="16.339169050770742"/>
    <n v="2024"/>
    <x v="5"/>
    <n v="11"/>
  </r>
  <r>
    <s v="CAMP1538"/>
    <x v="2"/>
    <x v="1"/>
    <d v="2024-07-26T00:00:00"/>
    <n v="9881"/>
    <n v="706"/>
    <n v="80"/>
    <n v="4142.26"/>
    <n v="9178.0300000000007"/>
    <n v="7.1450258071045436E-2"/>
    <n v="0.11331444759206799"/>
    <n v="51.77825"/>
    <n v="2.2157059189910822"/>
    <n v="2024"/>
    <x v="10"/>
    <n v="7"/>
  </r>
  <r>
    <s v="CAMP1539"/>
    <x v="1"/>
    <x v="2"/>
    <d v="2024-11-06T00:00:00"/>
    <n v="128578"/>
    <n v="9091"/>
    <n v="383"/>
    <n v="4185.75"/>
    <n v="30672.12"/>
    <n v="7.0704164009395082E-2"/>
    <n v="4.212957870421296E-2"/>
    <n v="10.928851174934726"/>
    <n v="7.327747715463178"/>
    <n v="2024"/>
    <x v="5"/>
    <n v="11"/>
  </r>
  <r>
    <s v="CAMP1540"/>
    <x v="2"/>
    <x v="1"/>
    <d v="2024-12-03T00:00:00"/>
    <n v="138904"/>
    <n v="3961"/>
    <n v="452"/>
    <n v="1844.82"/>
    <n v="29536.85"/>
    <n v="2.8516097448597594E-2"/>
    <n v="0.1141125978288311"/>
    <n v="4.0814601769911505"/>
    <n v="16.010694810333799"/>
    <n v="2024"/>
    <x v="4"/>
    <n v="12"/>
  </r>
  <r>
    <s v="CAMP1541"/>
    <x v="0"/>
    <x v="4"/>
    <d v="2024-07-12T00:00:00"/>
    <n v="106046"/>
    <n v="2041"/>
    <n v="45"/>
    <n v="2709.01"/>
    <n v="4992.03"/>
    <n v="1.924636478509326E-2"/>
    <n v="2.2048015678588925E-2"/>
    <n v="60.20022222222223"/>
    <n v="1.8427506727549914"/>
    <n v="2024"/>
    <x v="10"/>
    <n v="7"/>
  </r>
  <r>
    <s v="CAMP1542"/>
    <x v="3"/>
    <x v="4"/>
    <d v="2024-11-06T00:00:00"/>
    <n v="30244"/>
    <n v="678"/>
    <n v="93"/>
    <n v="3079.11"/>
    <n v="10023.1"/>
    <n v="2.2417669620420581E-2"/>
    <n v="0.13716814159292035"/>
    <n v="33.108709677419355"/>
    <n v="3.255193870956218"/>
    <n v="2024"/>
    <x v="5"/>
    <n v="11"/>
  </r>
  <r>
    <s v="CAMP1543"/>
    <x v="0"/>
    <x v="0"/>
    <d v="2024-09-03T00:00:00"/>
    <n v="39164"/>
    <n v="2864"/>
    <n v="258"/>
    <n v="205.76"/>
    <n v="29353.56"/>
    <n v="7.3128383209069558E-2"/>
    <n v="9.0083798882681559E-2"/>
    <n v="0.79751937984496124"/>
    <n v="142.65921461897358"/>
    <n v="2024"/>
    <x v="11"/>
    <n v="9"/>
  </r>
  <r>
    <s v="CAMP1544"/>
    <x v="3"/>
    <x v="1"/>
    <d v="2024-08-03T00:00:00"/>
    <n v="102092"/>
    <n v="7272"/>
    <n v="804"/>
    <n v="2258.9899999999998"/>
    <n v="91529.1"/>
    <n v="7.1229871096657918E-2"/>
    <n v="0.11056105610561057"/>
    <n v="2.809689054726368"/>
    <n v="40.517709241740782"/>
    <n v="2024"/>
    <x v="1"/>
    <n v="8"/>
  </r>
  <r>
    <s v="CAMP1545"/>
    <x v="6"/>
    <x v="2"/>
    <d v="2024-06-28T00:00:00"/>
    <n v="30615"/>
    <n v="1217"/>
    <n v="64"/>
    <n v="3876.12"/>
    <n v="7104.55"/>
    <n v="3.9751755675322555E-2"/>
    <n v="5.2588331963845519E-2"/>
    <n v="60.564374999999998"/>
    <n v="1.832902490118985"/>
    <n v="2024"/>
    <x v="2"/>
    <n v="6"/>
  </r>
  <r>
    <s v="CAMP1546"/>
    <x v="0"/>
    <x v="3"/>
    <d v="2024-11-02T00:00:00"/>
    <n v="147535"/>
    <n v="5695"/>
    <n v="253"/>
    <n v="3603.91"/>
    <n v="25032.39"/>
    <n v="3.8601009929847156E-2"/>
    <n v="4.4424934152765584E-2"/>
    <n v="14.244703557312253"/>
    <n v="6.9458976500523049"/>
    <n v="2024"/>
    <x v="5"/>
    <n v="11"/>
  </r>
  <r>
    <s v="CAMP1547"/>
    <x v="0"/>
    <x v="1"/>
    <d v="2024-01-04T00:00:00"/>
    <n v="103311"/>
    <n v="5766"/>
    <n v="630"/>
    <n v="1716.33"/>
    <n v="35423"/>
    <n v="5.5812062607079597E-2"/>
    <n v="0.10926118626430802"/>
    <n v="2.7243333333333331"/>
    <n v="20.638804891833157"/>
    <n v="2024"/>
    <x v="0"/>
    <n v="1"/>
  </r>
  <r>
    <s v="CAMP1548"/>
    <x v="2"/>
    <x v="2"/>
    <d v="2024-11-29T00:00:00"/>
    <n v="71488"/>
    <n v="2022"/>
    <n v="181"/>
    <n v="2910.42"/>
    <n v="14695.04"/>
    <n v="2.828446732318711E-2"/>
    <n v="8.9515331355093972E-2"/>
    <n v="16.079668508287295"/>
    <n v="5.0491131864129581"/>
    <n v="2024"/>
    <x v="5"/>
    <n v="11"/>
  </r>
  <r>
    <s v="CAMP1549"/>
    <x v="3"/>
    <x v="4"/>
    <d v="2024-07-30T00:00:00"/>
    <n v="149730"/>
    <n v="9712"/>
    <n v="803"/>
    <n v="1977.02"/>
    <n v="60619.38"/>
    <n v="6.4863420824150142E-2"/>
    <n v="8.2681219110378915E-2"/>
    <n v="2.4620423412204233"/>
    <n v="30.66199633792273"/>
    <n v="2024"/>
    <x v="10"/>
    <n v="7"/>
  </r>
  <r>
    <s v="CAMP1550"/>
    <x v="5"/>
    <x v="3"/>
    <d v="2024-10-22T00:00:00"/>
    <n v="95270"/>
    <n v="6115"/>
    <n v="438"/>
    <n v="862.73"/>
    <n v="46595.78"/>
    <n v="6.4185997690773586E-2"/>
    <n v="7.162714636140638E-2"/>
    <n v="1.9697031963470319"/>
    <n v="54.009690169577965"/>
    <n v="2024"/>
    <x v="3"/>
    <n v="10"/>
  </r>
  <r>
    <s v="CAMP1551"/>
    <x v="0"/>
    <x v="4"/>
    <d v="2024-08-16T00:00:00"/>
    <n v="47413"/>
    <n v="806"/>
    <n v="69"/>
    <n v="3973.19"/>
    <n v="6905.89"/>
    <n v="1.6999557083500306E-2"/>
    <n v="8.5607940446650127E-2"/>
    <n v="57.582463768115943"/>
    <n v="1.7381222644776615"/>
    <n v="2024"/>
    <x v="1"/>
    <n v="8"/>
  </r>
  <r>
    <s v="CAMP1552"/>
    <x v="4"/>
    <x v="4"/>
    <d v="2024-07-18T00:00:00"/>
    <n v="6386"/>
    <n v="423"/>
    <n v="53"/>
    <n v="2464.0100000000002"/>
    <n v="4241.3"/>
    <n v="6.6238647040400875E-2"/>
    <n v="0.12529550827423167"/>
    <n v="46.490754716981137"/>
    <n v="1.7212998323870439"/>
    <n v="2024"/>
    <x v="10"/>
    <n v="7"/>
  </r>
  <r>
    <s v="CAMP1553"/>
    <x v="0"/>
    <x v="0"/>
    <d v="2024-05-14T00:00:00"/>
    <n v="63135"/>
    <n v="2270"/>
    <n v="225"/>
    <n v="3677.57"/>
    <n v="25440.41"/>
    <n v="3.5954700245505664E-2"/>
    <n v="9.9118942731277526E-2"/>
    <n v="16.344755555555555"/>
    <n v="6.9177228441606822"/>
    <n v="2024"/>
    <x v="8"/>
    <n v="5"/>
  </r>
  <r>
    <s v="CAMP1554"/>
    <x v="3"/>
    <x v="1"/>
    <d v="2024-12-01T00:00:00"/>
    <n v="141578"/>
    <n v="4254"/>
    <n v="617"/>
    <n v="475.82"/>
    <n v="60071.64"/>
    <n v="3.0047041206967183E-2"/>
    <n v="0.14503996238834038"/>
    <n v="0.77118314424635326"/>
    <n v="126.24866546172923"/>
    <n v="2024"/>
    <x v="4"/>
    <n v="12"/>
  </r>
  <r>
    <s v="CAMP1555"/>
    <x v="2"/>
    <x v="2"/>
    <d v="2024-08-12T00:00:00"/>
    <n v="7807"/>
    <n v="188"/>
    <n v="19"/>
    <n v="4058.77"/>
    <n v="923.41"/>
    <n v="2.4080952990905596E-2"/>
    <n v="0.10106382978723404"/>
    <n v="213.61947368421053"/>
    <n v="0.22750981208592749"/>
    <n v="2024"/>
    <x v="1"/>
    <n v="8"/>
  </r>
  <r>
    <s v="CAMP1556"/>
    <x v="4"/>
    <x v="1"/>
    <d v="2024-09-18T00:00:00"/>
    <n v="140217"/>
    <n v="8257"/>
    <n v="825"/>
    <n v="3435.32"/>
    <n v="46178.55"/>
    <n v="5.8887296119586069E-2"/>
    <n v="9.9915223446772436E-2"/>
    <n v="4.1640242424242428"/>
    <n v="13.44228485264837"/>
    <n v="2024"/>
    <x v="11"/>
    <n v="9"/>
  </r>
  <r>
    <s v="CAMP1557"/>
    <x v="4"/>
    <x v="4"/>
    <d v="2024-02-14T00:00:00"/>
    <n v="77335"/>
    <n v="4994"/>
    <n v="329"/>
    <n v="2096.69"/>
    <n v="25862.04"/>
    <n v="6.4576194478567273E-2"/>
    <n v="6.5879054865839004E-2"/>
    <n v="6.3729179331306991"/>
    <n v="12.334698977912806"/>
    <n v="2024"/>
    <x v="9"/>
    <n v="2"/>
  </r>
  <r>
    <s v="CAMP1558"/>
    <x v="4"/>
    <x v="0"/>
    <d v="2024-02-16T00:00:00"/>
    <n v="149072"/>
    <n v="4459"/>
    <n v="570"/>
    <n v="4592.04"/>
    <n v="31241.43"/>
    <n v="2.9911720510894066E-2"/>
    <n v="0.12783135232114823"/>
    <n v="8.0562105263157893"/>
    <n v="6.8033880366895758"/>
    <n v="2024"/>
    <x v="9"/>
    <n v="2"/>
  </r>
  <r>
    <s v="CAMP1559"/>
    <x v="5"/>
    <x v="4"/>
    <d v="2024-11-06T00:00:00"/>
    <n v="55993"/>
    <n v="2342"/>
    <n v="169"/>
    <n v="222.33"/>
    <n v="6338.09"/>
    <n v="4.1826656903541516E-2"/>
    <n v="7.2160546541417597E-2"/>
    <n v="1.3155621301775149"/>
    <n v="28.507578824270229"/>
    <n v="2024"/>
    <x v="5"/>
    <n v="11"/>
  </r>
  <r>
    <s v="CAMP1560"/>
    <x v="0"/>
    <x v="1"/>
    <d v="2024-02-07T00:00:00"/>
    <n v="136902"/>
    <n v="4188"/>
    <n v="599"/>
    <n v="4054.12"/>
    <n v="69286.89"/>
    <n v="3.059122584038217E-2"/>
    <n v="0.14302769818529132"/>
    <n v="6.7681469115191986"/>
    <n v="17.090488194725367"/>
    <n v="2024"/>
    <x v="9"/>
    <n v="2"/>
  </r>
  <r>
    <s v="CAMP1561"/>
    <x v="5"/>
    <x v="2"/>
    <d v="2024-07-12T00:00:00"/>
    <n v="131780"/>
    <n v="8420"/>
    <n v="997"/>
    <n v="4813.95"/>
    <n v="65687.19"/>
    <n v="6.3894369403551379E-2"/>
    <n v="0.11840855106888361"/>
    <n v="4.8284353059177532"/>
    <n v="13.645174960271712"/>
    <n v="2024"/>
    <x v="10"/>
    <n v="7"/>
  </r>
  <r>
    <s v="CAMP1562"/>
    <x v="6"/>
    <x v="1"/>
    <d v="2024-01-15T00:00:00"/>
    <n v="131345"/>
    <n v="2382"/>
    <n v="68"/>
    <n v="3241.58"/>
    <n v="8120.55"/>
    <n v="1.8135444820891546E-2"/>
    <n v="2.8547439126784216E-2"/>
    <n v="47.67029411764706"/>
    <n v="2.5051209595320802"/>
    <n v="2024"/>
    <x v="0"/>
    <n v="1"/>
  </r>
  <r>
    <s v="CAMP1563"/>
    <x v="1"/>
    <x v="3"/>
    <d v="2024-07-30T00:00:00"/>
    <n v="97562"/>
    <n v="4503"/>
    <n v="95"/>
    <n v="4194.45"/>
    <n v="4258.45"/>
    <n v="4.6155265369713615E-2"/>
    <n v="2.1097046413502109E-2"/>
    <n v="44.152105263157893"/>
    <n v="1.0152582579360823"/>
    <n v="2024"/>
    <x v="10"/>
    <n v="7"/>
  </r>
  <r>
    <s v="CAMP1564"/>
    <x v="0"/>
    <x v="2"/>
    <d v="2024-12-10T00:00:00"/>
    <n v="94651"/>
    <n v="1450"/>
    <n v="204"/>
    <n v="2487.4699999999998"/>
    <n v="11292.17"/>
    <n v="1.5319436667335791E-2"/>
    <n v="0.1406896551724138"/>
    <n v="12.193480392156863"/>
    <n v="4.5396205783386332"/>
    <n v="2024"/>
    <x v="4"/>
    <n v="12"/>
  </r>
  <r>
    <s v="CAMP1565"/>
    <x v="5"/>
    <x v="4"/>
    <d v="2025-01-17T00:00:00"/>
    <n v="54851"/>
    <n v="2464"/>
    <n v="113"/>
    <n v="3730.06"/>
    <n v="12121.99"/>
    <n v="4.4921696960857599E-2"/>
    <n v="4.5860389610389608E-2"/>
    <n v="33.009380530973452"/>
    <n v="3.2498109949973997"/>
    <n v="2025"/>
    <x v="0"/>
    <n v="1"/>
  </r>
  <r>
    <s v="CAMP1566"/>
    <x v="1"/>
    <x v="4"/>
    <d v="2024-04-13T00:00:00"/>
    <n v="70456"/>
    <n v="4829"/>
    <n v="320"/>
    <n v="3938.9"/>
    <n v="10236.11"/>
    <n v="6.8539230157829006E-2"/>
    <n v="6.6266307724166487E-2"/>
    <n v="12.3090625"/>
    <n v="2.598722993729214"/>
    <n v="2024"/>
    <x v="7"/>
    <n v="4"/>
  </r>
  <r>
    <s v="CAMP1567"/>
    <x v="0"/>
    <x v="2"/>
    <d v="2024-11-10T00:00:00"/>
    <n v="6736"/>
    <n v="427"/>
    <n v="38"/>
    <n v="402.86"/>
    <n v="2592.71"/>
    <n v="6.3390736342042758E-2"/>
    <n v="8.899297423887588E-2"/>
    <n v="10.601578947368422"/>
    <n v="6.4357593208558805"/>
    <n v="2024"/>
    <x v="5"/>
    <n v="11"/>
  </r>
  <r>
    <s v="CAMP1568"/>
    <x v="7"/>
    <x v="2"/>
    <d v="2024-10-21T00:00:00"/>
    <n v="77019"/>
    <n v="3416"/>
    <n v="505"/>
    <n v="4596.83"/>
    <n v="24253.46"/>
    <n v="4.4352692192835531E-2"/>
    <n v="0.14783372365339578"/>
    <n v="9.1026336633663369"/>
    <n v="5.2761272442095963"/>
    <n v="2024"/>
    <x v="3"/>
    <n v="10"/>
  </r>
  <r>
    <s v="CAMP1569"/>
    <x v="1"/>
    <x v="1"/>
    <d v="2024-03-06T00:00:00"/>
    <n v="19194"/>
    <n v="898"/>
    <n v="67"/>
    <n v="4710.34"/>
    <n v="1558.17"/>
    <n v="4.678545378764197E-2"/>
    <n v="7.4610244988864149E-2"/>
    <n v="70.303582089552236"/>
    <n v="0.3307977768059206"/>
    <n v="2024"/>
    <x v="6"/>
    <n v="3"/>
  </r>
  <r>
    <s v="CAMP1570"/>
    <x v="7"/>
    <x v="2"/>
    <d v="2024-12-17T00:00:00"/>
    <n v="50822"/>
    <n v="2134"/>
    <n v="76"/>
    <n v="2687.38"/>
    <n v="3918.95"/>
    <n v="4.1989689504545277E-2"/>
    <n v="3.5613870665417061E-2"/>
    <n v="35.360263157894735"/>
    <n v="1.4582790673444022"/>
    <n v="2024"/>
    <x v="4"/>
    <n v="12"/>
  </r>
  <r>
    <s v="CAMP1571"/>
    <x v="4"/>
    <x v="0"/>
    <d v="2024-12-11T00:00:00"/>
    <n v="60247"/>
    <n v="2202"/>
    <n v="72"/>
    <n v="1935.69"/>
    <n v="7645.26"/>
    <n v="3.6549537736318818E-2"/>
    <n v="3.2697547683923703E-2"/>
    <n v="26.884583333333335"/>
    <n v="3.949630364366195"/>
    <n v="2024"/>
    <x v="4"/>
    <n v="12"/>
  </r>
  <r>
    <s v="CAMP1572"/>
    <x v="2"/>
    <x v="1"/>
    <d v="2024-05-14T00:00:00"/>
    <n v="67164"/>
    <n v="1938"/>
    <n v="280"/>
    <n v="1846.86"/>
    <n v="10749.58"/>
    <n v="2.8854743612649635E-2"/>
    <n v="0.14447884416924664"/>
    <n v="6.5959285714285709"/>
    <n v="5.8204628396305083"/>
    <n v="2024"/>
    <x v="8"/>
    <n v="5"/>
  </r>
  <r>
    <s v="CAMP1573"/>
    <x v="3"/>
    <x v="4"/>
    <d v="2024-08-02T00:00:00"/>
    <n v="102598"/>
    <n v="3647"/>
    <n v="262"/>
    <n v="2363.5"/>
    <n v="20210.93"/>
    <n v="3.554650188112829E-2"/>
    <n v="7.1839868384973957E-2"/>
    <n v="9.020992366412214"/>
    <n v="8.551271419504971"/>
    <n v="2024"/>
    <x v="1"/>
    <n v="8"/>
  </r>
  <r>
    <s v="CAMP1574"/>
    <x v="1"/>
    <x v="0"/>
    <d v="2025-01-04T00:00:00"/>
    <n v="75765"/>
    <n v="5022"/>
    <n v="462"/>
    <n v="4310.28"/>
    <n v="18298.12"/>
    <n v="6.6283904177390621E-2"/>
    <n v="9.199522102747909E-2"/>
    <n v="9.329610389610389"/>
    <n v="4.2452276882244311"/>
    <n v="2025"/>
    <x v="0"/>
    <n v="1"/>
  </r>
  <r>
    <s v="CAMP1575"/>
    <x v="2"/>
    <x v="2"/>
    <d v="2025-02-16T00:00:00"/>
    <n v="7553"/>
    <n v="168"/>
    <n v="14"/>
    <n v="4978.7"/>
    <n v="1469.15"/>
    <n v="2.2242817423540315E-2"/>
    <n v="8.3333333333333329E-2"/>
    <n v="355.62142857142857"/>
    <n v="0.29508707092212827"/>
    <n v="2025"/>
    <x v="9"/>
    <n v="2"/>
  </r>
  <r>
    <s v="CAMP1576"/>
    <x v="7"/>
    <x v="2"/>
    <d v="2024-06-02T00:00:00"/>
    <n v="70791"/>
    <n v="3493"/>
    <n v="327"/>
    <n v="2112.33"/>
    <n v="29120.76"/>
    <n v="4.934243053495501E-2"/>
    <n v="9.3615803034640704E-2"/>
    <n v="6.4597247706422012"/>
    <n v="13.786084560651034"/>
    <n v="2024"/>
    <x v="2"/>
    <n v="6"/>
  </r>
  <r>
    <s v="CAMP1577"/>
    <x v="4"/>
    <x v="4"/>
    <d v="2025-02-20T00:00:00"/>
    <n v="71660"/>
    <n v="3107"/>
    <n v="316"/>
    <n v="2359.3000000000002"/>
    <n v="16895.150000000001"/>
    <n v="4.3357521629919064E-2"/>
    <n v="0.10170582555519794"/>
    <n v="7.4661392405063296"/>
    <n v="7.1610859153138646"/>
    <n v="2025"/>
    <x v="9"/>
    <n v="2"/>
  </r>
  <r>
    <s v="CAMP1578"/>
    <x v="7"/>
    <x v="3"/>
    <d v="2024-10-13T00:00:00"/>
    <n v="72558"/>
    <n v="2473"/>
    <n v="181"/>
    <n v="1885.23"/>
    <n v="15920.5"/>
    <n v="3.4083078364894291E-2"/>
    <n v="7.3190456934896883E-2"/>
    <n v="10.415635359116022"/>
    <n v="8.4448581870647086"/>
    <n v="2024"/>
    <x v="3"/>
    <n v="10"/>
  </r>
  <r>
    <s v="CAMP1579"/>
    <x v="1"/>
    <x v="1"/>
    <d v="2024-10-21T00:00:00"/>
    <n v="146148"/>
    <n v="3247"/>
    <n v="394"/>
    <n v="1904.52"/>
    <n v="34403.800000000003"/>
    <n v="2.221720447765279E-2"/>
    <n v="0.12134277794887588"/>
    <n v="4.8338071065989849"/>
    <n v="18.06428916472392"/>
    <n v="2024"/>
    <x v="3"/>
    <n v="10"/>
  </r>
  <r>
    <s v="CAMP1580"/>
    <x v="6"/>
    <x v="2"/>
    <d v="2024-02-10T00:00:00"/>
    <n v="104895"/>
    <n v="5554"/>
    <n v="445"/>
    <n v="4791.6499999999996"/>
    <n v="47537.47"/>
    <n v="5.2948186281519614E-2"/>
    <n v="8.0122434281598848E-2"/>
    <n v="10.767752808988764"/>
    <n v="9.9208978118184774"/>
    <n v="2024"/>
    <x v="9"/>
    <n v="2"/>
  </r>
  <r>
    <s v="CAMP1581"/>
    <x v="7"/>
    <x v="2"/>
    <d v="2024-11-19T00:00:00"/>
    <n v="111108"/>
    <n v="7713"/>
    <n v="225"/>
    <n v="977.6"/>
    <n v="9634.9"/>
    <n v="6.9418943730424454E-2"/>
    <n v="2.9171528588098017E-2"/>
    <n v="4.3448888888888888"/>
    <n v="9.8556669394435339"/>
    <n v="2024"/>
    <x v="5"/>
    <n v="11"/>
  </r>
  <r>
    <s v="CAMP1582"/>
    <x v="7"/>
    <x v="3"/>
    <d v="2024-12-29T00:00:00"/>
    <n v="75116"/>
    <n v="3934"/>
    <n v="280"/>
    <n v="4460.92"/>
    <n v="27467.27"/>
    <n v="5.237233079503701E-2"/>
    <n v="7.1174377224199295E-2"/>
    <n v="15.931857142857144"/>
    <n v="6.1573105996072561"/>
    <n v="2024"/>
    <x v="4"/>
    <n v="12"/>
  </r>
  <r>
    <s v="CAMP1583"/>
    <x v="7"/>
    <x v="1"/>
    <d v="2024-09-23T00:00:00"/>
    <n v="123040"/>
    <n v="4796"/>
    <n v="210"/>
    <n v="310.89"/>
    <n v="19483.22"/>
    <n v="3.8979193758127438E-2"/>
    <n v="4.3786488740617184E-2"/>
    <n v="1.4804285714285714"/>
    <n v="62.669175592653353"/>
    <n v="2024"/>
    <x v="11"/>
    <n v="9"/>
  </r>
  <r>
    <s v="CAMP1584"/>
    <x v="5"/>
    <x v="0"/>
    <d v="2024-04-17T00:00:00"/>
    <n v="48754"/>
    <n v="1842"/>
    <n v="59"/>
    <n v="4696.6099999999997"/>
    <n v="3971.8"/>
    <n v="3.7781515362842022E-2"/>
    <n v="3.2030401737242128E-2"/>
    <n v="79.603559322033888"/>
    <n v="0.84567379450284363"/>
    <n v="2024"/>
    <x v="7"/>
    <n v="4"/>
  </r>
  <r>
    <s v="CAMP1585"/>
    <x v="4"/>
    <x v="0"/>
    <d v="2025-01-29T00:00:00"/>
    <n v="109074"/>
    <n v="5091"/>
    <n v="761"/>
    <n v="698.86"/>
    <n v="62257.58"/>
    <n v="4.6674734583860497E-2"/>
    <n v="0.14947947358082891"/>
    <n v="0.91834428383705657"/>
    <n v="89.084480439573014"/>
    <n v="2025"/>
    <x v="0"/>
    <n v="1"/>
  </r>
  <r>
    <s v="CAMP1586"/>
    <x v="0"/>
    <x v="2"/>
    <d v="2024-06-07T00:00:00"/>
    <n v="65124"/>
    <n v="1779"/>
    <n v="101"/>
    <n v="3207.11"/>
    <n v="3345.9"/>
    <n v="2.7317118113138014E-2"/>
    <n v="5.6773468240584601E-2"/>
    <n v="31.753564356435646"/>
    <n v="1.043275721755724"/>
    <n v="2024"/>
    <x v="2"/>
    <n v="6"/>
  </r>
  <r>
    <s v="CAMP1587"/>
    <x v="2"/>
    <x v="0"/>
    <d v="2024-01-18T00:00:00"/>
    <n v="98543"/>
    <n v="6920"/>
    <n v="430"/>
    <n v="2485.54"/>
    <n v="50524.21"/>
    <n v="7.0223151314654522E-2"/>
    <n v="6.2138728323699419E-2"/>
    <n v="5.7803255813953491"/>
    <n v="20.327256853641462"/>
    <n v="2024"/>
    <x v="0"/>
    <n v="1"/>
  </r>
  <r>
    <s v="CAMP1588"/>
    <x v="5"/>
    <x v="1"/>
    <d v="2024-08-15T00:00:00"/>
    <n v="40419"/>
    <n v="3147"/>
    <n v="348"/>
    <n v="1049.78"/>
    <n v="27755.93"/>
    <n v="7.7859422548801308E-2"/>
    <n v="0.11058150619637751"/>
    <n v="3.0166091954022987"/>
    <n v="26.439758806607099"/>
    <n v="2024"/>
    <x v="1"/>
    <n v="8"/>
  </r>
  <r>
    <s v="CAMP1589"/>
    <x v="3"/>
    <x v="1"/>
    <d v="2024-11-23T00:00:00"/>
    <n v="144928"/>
    <n v="4590"/>
    <n v="298"/>
    <n v="2790.41"/>
    <n v="29940.29"/>
    <n v="3.1670898653124308E-2"/>
    <n v="6.4923747276688454E-2"/>
    <n v="9.3637919463087247"/>
    <n v="10.729709970936172"/>
    <n v="2024"/>
    <x v="5"/>
    <n v="11"/>
  </r>
  <r>
    <s v="CAMP1590"/>
    <x v="6"/>
    <x v="3"/>
    <d v="2024-07-06T00:00:00"/>
    <n v="113056"/>
    <n v="3186"/>
    <n v="189"/>
    <n v="200.44"/>
    <n v="19190.68"/>
    <n v="2.8180724596660062E-2"/>
    <n v="5.9322033898305086E-2"/>
    <n v="1.0605291005291004"/>
    <n v="95.742765914987032"/>
    <n v="2024"/>
    <x v="10"/>
    <n v="7"/>
  </r>
  <r>
    <s v="CAMP1591"/>
    <x v="2"/>
    <x v="3"/>
    <d v="2024-05-26T00:00:00"/>
    <n v="127997"/>
    <n v="6074"/>
    <n v="664"/>
    <n v="2561.27"/>
    <n v="63443.39"/>
    <n v="4.745423720868458E-2"/>
    <n v="0.10931840632202831"/>
    <n v="3.8573343373493976"/>
    <n v="24.770285834761662"/>
    <n v="2024"/>
    <x v="8"/>
    <n v="5"/>
  </r>
  <r>
    <s v="CAMP1592"/>
    <x v="5"/>
    <x v="0"/>
    <d v="2025-01-27T00:00:00"/>
    <n v="117836"/>
    <n v="7760"/>
    <n v="757"/>
    <n v="4024.48"/>
    <n v="56639.66"/>
    <n v="6.5854238093621648E-2"/>
    <n v="9.7551546391752578E-2"/>
    <n v="5.3163540290620874"/>
    <n v="14.073783445314675"/>
    <n v="2025"/>
    <x v="0"/>
    <n v="1"/>
  </r>
  <r>
    <s v="CAMP1593"/>
    <x v="1"/>
    <x v="2"/>
    <d v="2024-10-14T00:00:00"/>
    <n v="119584"/>
    <n v="4500"/>
    <n v="185"/>
    <n v="3738.17"/>
    <n v="10909.88"/>
    <n v="3.763045223441263E-2"/>
    <n v="4.1111111111111112E-2"/>
    <n v="20.206324324324324"/>
    <n v="2.9185082540387408"/>
    <n v="2024"/>
    <x v="3"/>
    <n v="10"/>
  </r>
  <r>
    <s v="CAMP1594"/>
    <x v="3"/>
    <x v="4"/>
    <d v="2024-05-14T00:00:00"/>
    <n v="25764"/>
    <n v="1019"/>
    <n v="52"/>
    <n v="3869.78"/>
    <n v="5771.76"/>
    <n v="3.9551311908088804E-2"/>
    <n v="5.1030421982335622E-2"/>
    <n v="74.418846153846161"/>
    <n v="1.4914956405790509"/>
    <n v="2024"/>
    <x v="8"/>
    <n v="5"/>
  </r>
  <r>
    <s v="CAMP1595"/>
    <x v="5"/>
    <x v="3"/>
    <d v="2024-11-28T00:00:00"/>
    <n v="144445"/>
    <n v="9622"/>
    <n v="708"/>
    <n v="4296.71"/>
    <n v="27074.43"/>
    <n v="6.6613589947730964E-2"/>
    <n v="7.3581376013302849E-2"/>
    <n v="6.0687994350282484"/>
    <n v="6.3012002206339268"/>
    <n v="2024"/>
    <x v="5"/>
    <n v="11"/>
  </r>
  <r>
    <s v="CAMP1596"/>
    <x v="5"/>
    <x v="0"/>
    <d v="2024-11-22T00:00:00"/>
    <n v="124365"/>
    <n v="6621"/>
    <n v="366"/>
    <n v="3189.22"/>
    <n v="14193.09"/>
    <n v="5.3238451332770477E-2"/>
    <n v="5.5278658812868149E-2"/>
    <n v="8.7137158469945355"/>
    <n v="4.4503326832266197"/>
    <n v="2024"/>
    <x v="5"/>
    <n v="11"/>
  </r>
  <r>
    <s v="CAMP1597"/>
    <x v="4"/>
    <x v="4"/>
    <d v="2024-01-26T00:00:00"/>
    <n v="145239"/>
    <n v="1677"/>
    <n v="245"/>
    <n v="1554.15"/>
    <n v="7963.46"/>
    <n v="1.1546485448123438E-2"/>
    <n v="0.14609421586165772"/>
    <n v="6.3434693877551025"/>
    <n v="5.1239970401827364"/>
    <n v="2024"/>
    <x v="0"/>
    <n v="1"/>
  </r>
  <r>
    <s v="CAMP1598"/>
    <x v="6"/>
    <x v="0"/>
    <d v="2024-04-29T00:00:00"/>
    <n v="28644"/>
    <n v="588"/>
    <n v="49"/>
    <n v="1841.18"/>
    <n v="2506.73"/>
    <n v="2.0527859237536656E-2"/>
    <n v="8.3333333333333329E-2"/>
    <n v="37.575102040816326"/>
    <n v="1.361480137737755"/>
    <n v="2024"/>
    <x v="7"/>
    <n v="4"/>
  </r>
  <r>
    <s v="CAMP1599"/>
    <x v="6"/>
    <x v="3"/>
    <d v="2024-08-25T00:00:00"/>
    <n v="13319"/>
    <n v="441"/>
    <n v="57"/>
    <n v="4767.8900000000003"/>
    <n v="1459.42"/>
    <n v="3.3110593888430059E-2"/>
    <n v="0.12925170068027211"/>
    <n v="83.647192982456147"/>
    <n v="0.30609347111615409"/>
    <n v="2024"/>
    <x v="1"/>
    <n v="8"/>
  </r>
  <r>
    <s v="CAMP1600"/>
    <x v="3"/>
    <x v="0"/>
    <d v="2024-10-05T00:00:00"/>
    <n v="128246"/>
    <n v="2912"/>
    <n v="397"/>
    <n v="1400.38"/>
    <n v="23088.62"/>
    <n v="2.2706361212045601E-2"/>
    <n v="0.13633241758241757"/>
    <n v="3.5274055415617132"/>
    <n v="16.487396278153071"/>
    <n v="2024"/>
    <x v="3"/>
    <n v="10"/>
  </r>
  <r>
    <s v="CAMP1601"/>
    <x v="4"/>
    <x v="0"/>
    <d v="2025-01-28T00:00:00"/>
    <n v="70263"/>
    <n v="2595"/>
    <n v="380"/>
    <n v="1386.38"/>
    <n v="45392.35"/>
    <n v="3.6932667264420821E-2"/>
    <n v="0.1464354527938343"/>
    <n v="3.6483684210526319"/>
    <n v="32.741636492159437"/>
    <n v="2025"/>
    <x v="0"/>
    <n v="1"/>
  </r>
  <r>
    <s v="CAMP1602"/>
    <x v="1"/>
    <x v="2"/>
    <d v="2025-01-11T00:00:00"/>
    <n v="29631"/>
    <n v="1377"/>
    <n v="203"/>
    <n v="2469.56"/>
    <n v="17893.28"/>
    <n v="4.6471600688468159E-2"/>
    <n v="0.14742193173565724"/>
    <n v="12.165320197044334"/>
    <n v="7.2455336173245435"/>
    <n v="2025"/>
    <x v="0"/>
    <n v="1"/>
  </r>
  <r>
    <s v="CAMP1603"/>
    <x v="5"/>
    <x v="3"/>
    <d v="2024-03-22T00:00:00"/>
    <n v="16058"/>
    <n v="997"/>
    <n v="91"/>
    <n v="786.28"/>
    <n v="6199.19"/>
    <n v="6.2087433055174994E-2"/>
    <n v="9.1273821464393182E-2"/>
    <n v="8.6404395604395603"/>
    <n v="7.8842015566973593"/>
    <n v="2024"/>
    <x v="6"/>
    <n v="3"/>
  </r>
  <r>
    <s v="CAMP1604"/>
    <x v="5"/>
    <x v="4"/>
    <d v="2024-07-03T00:00:00"/>
    <n v="18654"/>
    <n v="1314"/>
    <n v="63"/>
    <n v="742.06"/>
    <n v="5247.33"/>
    <n v="7.0440656159536832E-2"/>
    <n v="4.7945205479452052E-2"/>
    <n v="11.778730158730157"/>
    <n v="7.0713015120071159"/>
    <n v="2024"/>
    <x v="10"/>
    <n v="7"/>
  </r>
  <r>
    <s v="CAMP1605"/>
    <x v="7"/>
    <x v="0"/>
    <d v="2024-03-26T00:00:00"/>
    <n v="77377"/>
    <n v="3940"/>
    <n v="281"/>
    <n v="1366.83"/>
    <n v="32844.26"/>
    <n v="5.0919523889527897E-2"/>
    <n v="7.1319796954314715E-2"/>
    <n v="4.8641637010676151"/>
    <n v="24.029513545942073"/>
    <n v="2024"/>
    <x v="6"/>
    <n v="3"/>
  </r>
  <r>
    <s v="CAMP1606"/>
    <x v="6"/>
    <x v="1"/>
    <d v="2024-03-20T00:00:00"/>
    <n v="102359"/>
    <n v="6546"/>
    <n v="342"/>
    <n v="2599.61"/>
    <n v="30299.31"/>
    <n v="6.3951386785724748E-2"/>
    <n v="5.2245646196150318E-2"/>
    <n v="7.6011988304093574"/>
    <n v="11.655329068591058"/>
    <n v="2024"/>
    <x v="6"/>
    <n v="3"/>
  </r>
  <r>
    <s v="CAMP1607"/>
    <x v="7"/>
    <x v="0"/>
    <d v="2024-01-31T00:00:00"/>
    <n v="98196"/>
    <n v="5412"/>
    <n v="601"/>
    <n v="3999.04"/>
    <n v="19582.23"/>
    <n v="5.5114261273371622E-2"/>
    <n v="0.11104951958610496"/>
    <n v="6.653976705490849"/>
    <n v="4.8967327158518046"/>
    <n v="2024"/>
    <x v="0"/>
    <n v="1"/>
  </r>
  <r>
    <s v="CAMP1608"/>
    <x v="1"/>
    <x v="3"/>
    <d v="2024-10-12T00:00:00"/>
    <n v="96047"/>
    <n v="6376"/>
    <n v="491"/>
    <n v="1126.23"/>
    <n v="43662.17"/>
    <n v="6.6384166085354052E-2"/>
    <n v="7.7007528230865749E-2"/>
    <n v="2.2937474541751528"/>
    <n v="38.768430959928253"/>
    <n v="2024"/>
    <x v="3"/>
    <n v="10"/>
  </r>
  <r>
    <s v="CAMP1609"/>
    <x v="7"/>
    <x v="4"/>
    <d v="2024-05-08T00:00:00"/>
    <n v="15351"/>
    <n v="675"/>
    <n v="51"/>
    <n v="1614.63"/>
    <n v="4574.8900000000003"/>
    <n v="4.3971076802814146E-2"/>
    <n v="7.5555555555555556E-2"/>
    <n v="31.659411764705883"/>
    <n v="2.8333983637118103"/>
    <n v="2024"/>
    <x v="8"/>
    <n v="5"/>
  </r>
  <r>
    <s v="CAMP1610"/>
    <x v="1"/>
    <x v="1"/>
    <d v="2024-04-05T00:00:00"/>
    <n v="147506"/>
    <n v="5064"/>
    <n v="583"/>
    <n v="1521.56"/>
    <n v="60127.68"/>
    <n v="3.4330806882431904E-2"/>
    <n v="0.11512638230647709"/>
    <n v="2.6098799313893655"/>
    <n v="39.517127158968428"/>
    <n v="2024"/>
    <x v="7"/>
    <n v="4"/>
  </r>
  <r>
    <s v="CAMP1611"/>
    <x v="2"/>
    <x v="0"/>
    <d v="2024-09-28T00:00:00"/>
    <n v="45638"/>
    <n v="1892"/>
    <n v="239"/>
    <n v="2799.71"/>
    <n v="15632.49"/>
    <n v="4.1456680836145315E-2"/>
    <n v="0.1263213530655391"/>
    <n v="11.714267782426779"/>
    <n v="5.5836104453675555"/>
    <n v="2024"/>
    <x v="11"/>
    <n v="9"/>
  </r>
  <r>
    <s v="CAMP1612"/>
    <x v="3"/>
    <x v="4"/>
    <d v="2024-01-10T00:00:00"/>
    <n v="100440"/>
    <n v="6460"/>
    <n v="329"/>
    <n v="3660.82"/>
    <n v="28237.72"/>
    <n v="6.4317005177220235E-2"/>
    <n v="5.0928792569659445E-2"/>
    <n v="11.12711246200608"/>
    <n v="7.7134958834359511"/>
    <n v="2024"/>
    <x v="0"/>
    <n v="1"/>
  </r>
  <r>
    <s v="CAMP1613"/>
    <x v="3"/>
    <x v="4"/>
    <d v="2024-09-25T00:00:00"/>
    <n v="135429"/>
    <n v="8613"/>
    <n v="344"/>
    <n v="1559.02"/>
    <n v="20977.279999999999"/>
    <n v="6.3597900006645544E-2"/>
    <n v="3.9939626146522696E-2"/>
    <n v="4.5320348837209306"/>
    <n v="13.455427127297916"/>
    <n v="2024"/>
    <x v="11"/>
    <n v="9"/>
  </r>
  <r>
    <s v="CAMP1614"/>
    <x v="7"/>
    <x v="0"/>
    <d v="2024-02-19T00:00:00"/>
    <n v="142153"/>
    <n v="7977"/>
    <n v="204"/>
    <n v="4701.4399999999996"/>
    <n v="7724.23"/>
    <n v="5.6115593761651178E-2"/>
    <n v="2.5573523881158331E-2"/>
    <n v="23.046274509803919"/>
    <n v="1.6429498196297305"/>
    <n v="2024"/>
    <x v="9"/>
    <n v="2"/>
  </r>
  <r>
    <s v="CAMP1615"/>
    <x v="4"/>
    <x v="4"/>
    <d v="2024-02-24T00:00:00"/>
    <n v="132236"/>
    <n v="3096"/>
    <n v="74"/>
    <n v="3280.41"/>
    <n v="4355.63"/>
    <n v="2.3412686409147281E-2"/>
    <n v="2.3901808785529714E-2"/>
    <n v="44.329864864864859"/>
    <n v="1.3277700043592113"/>
    <n v="2024"/>
    <x v="9"/>
    <n v="2"/>
  </r>
  <r>
    <s v="CAMP1616"/>
    <x v="6"/>
    <x v="1"/>
    <d v="2024-11-15T00:00:00"/>
    <n v="72092"/>
    <n v="968"/>
    <n v="47"/>
    <n v="3645.66"/>
    <n v="1001.5"/>
    <n v="1.342728735504633E-2"/>
    <n v="4.8553719008264461E-2"/>
    <n v="77.567234042553181"/>
    <n v="0.27471020336509716"/>
    <n v="2024"/>
    <x v="5"/>
    <n v="11"/>
  </r>
  <r>
    <s v="CAMP1617"/>
    <x v="1"/>
    <x v="2"/>
    <d v="2024-02-10T00:00:00"/>
    <n v="127698"/>
    <n v="8437"/>
    <n v="235"/>
    <n v="2878.5"/>
    <n v="26748.73"/>
    <n v="6.6069946279503203E-2"/>
    <n v="2.7853502429773615E-2"/>
    <n v="12.248936170212765"/>
    <n v="9.2925933645996182"/>
    <n v="2024"/>
    <x v="9"/>
    <n v="2"/>
  </r>
  <r>
    <s v="CAMP1618"/>
    <x v="3"/>
    <x v="3"/>
    <d v="2025-02-10T00:00:00"/>
    <n v="20283"/>
    <n v="1372"/>
    <n v="74"/>
    <n v="395.14"/>
    <n v="2000.87"/>
    <n v="6.7642853621259186E-2"/>
    <n v="5.393586005830904E-2"/>
    <n v="5.3397297297297293"/>
    <n v="5.063698942147087"/>
    <n v="2025"/>
    <x v="9"/>
    <n v="2"/>
  </r>
  <r>
    <s v="CAMP1619"/>
    <x v="5"/>
    <x v="0"/>
    <d v="2024-04-20T00:00:00"/>
    <n v="141179"/>
    <n v="2371"/>
    <n v="270"/>
    <n v="2751.97"/>
    <n v="10515.43"/>
    <n v="1.6794282435773026E-2"/>
    <n v="0.11387600168705188"/>
    <n v="10.192481481481481"/>
    <n v="3.82105546208716"/>
    <n v="2024"/>
    <x v="7"/>
    <n v="4"/>
  </r>
  <r>
    <s v="CAMP1620"/>
    <x v="1"/>
    <x v="1"/>
    <d v="2024-11-16T00:00:00"/>
    <n v="51897"/>
    <n v="2547"/>
    <n v="235"/>
    <n v="3781.32"/>
    <n v="22707.66"/>
    <n v="4.9077981386207295E-2"/>
    <n v="9.2265410286611699E-2"/>
    <n v="16.090723404255321"/>
    <n v="6.0052203992256672"/>
    <n v="2024"/>
    <x v="5"/>
    <n v="11"/>
  </r>
  <r>
    <s v="CAMP1621"/>
    <x v="7"/>
    <x v="2"/>
    <d v="2024-12-25T00:00:00"/>
    <n v="116955"/>
    <n v="8397"/>
    <n v="350"/>
    <n v="1065.9000000000001"/>
    <n v="21054.5"/>
    <n v="7.1796844940361676E-2"/>
    <n v="4.1681552935572228E-2"/>
    <n v="3.0454285714285718"/>
    <n v="19.752791068580542"/>
    <n v="2024"/>
    <x v="4"/>
    <n v="12"/>
  </r>
  <r>
    <s v="CAMP1622"/>
    <x v="7"/>
    <x v="4"/>
    <d v="2024-09-30T00:00:00"/>
    <n v="121132"/>
    <n v="9126"/>
    <n v="1253"/>
    <n v="2840.39"/>
    <n v="149965.34"/>
    <n v="7.533929927682198E-2"/>
    <n v="0.13730002191540652"/>
    <n v="2.266871508379888"/>
    <n v="52.797446829484684"/>
    <n v="2024"/>
    <x v="11"/>
    <n v="9"/>
  </r>
  <r>
    <s v="CAMP1623"/>
    <x v="7"/>
    <x v="2"/>
    <d v="2025-01-26T00:00:00"/>
    <n v="117876"/>
    <n v="7995"/>
    <n v="496"/>
    <n v="1355.47"/>
    <n v="36983.06"/>
    <n v="6.7825511554514911E-2"/>
    <n v="6.2038774233896185E-2"/>
    <n v="2.7328024193548388"/>
    <n v="27.284307288246879"/>
    <n v="2025"/>
    <x v="0"/>
    <n v="1"/>
  </r>
  <r>
    <s v="CAMP1624"/>
    <x v="3"/>
    <x v="1"/>
    <d v="2025-01-16T00:00:00"/>
    <n v="71607"/>
    <n v="2520"/>
    <n v="198"/>
    <n v="4807.16"/>
    <n v="3963.87"/>
    <n v="3.5192090158783357E-2"/>
    <n v="7.857142857142857E-2"/>
    <n v="24.278585858585856"/>
    <n v="0.82457625708318427"/>
    <n v="2025"/>
    <x v="0"/>
    <n v="1"/>
  </r>
  <r>
    <s v="CAMP1625"/>
    <x v="4"/>
    <x v="3"/>
    <d v="2024-11-01T00:00:00"/>
    <n v="9273"/>
    <n v="428"/>
    <n v="63"/>
    <n v="1648.84"/>
    <n v="3152.1"/>
    <n v="4.6155505230238328E-2"/>
    <n v="0.14719626168224298"/>
    <n v="26.17206349206349"/>
    <n v="1.9117076247543727"/>
    <n v="2024"/>
    <x v="5"/>
    <n v="11"/>
  </r>
  <r>
    <s v="CAMP1626"/>
    <x v="1"/>
    <x v="4"/>
    <d v="2024-06-10T00:00:00"/>
    <n v="10688"/>
    <n v="684"/>
    <n v="97"/>
    <n v="4147.22"/>
    <n v="10855.39"/>
    <n v="6.399700598802395E-2"/>
    <n v="0.14181286549707603"/>
    <n v="42.754845360824746"/>
    <n v="2.6175100428720923"/>
    <n v="2024"/>
    <x v="2"/>
    <n v="6"/>
  </r>
  <r>
    <s v="CAMP1627"/>
    <x v="2"/>
    <x v="0"/>
    <d v="2024-01-20T00:00:00"/>
    <n v="125683"/>
    <n v="4385"/>
    <n v="166"/>
    <n v="1962"/>
    <n v="12983.78"/>
    <n v="3.4889364512304767E-2"/>
    <n v="3.7856328392246293E-2"/>
    <n v="11.819277108433734"/>
    <n v="6.6176248725790012"/>
    <n v="2024"/>
    <x v="0"/>
    <n v="1"/>
  </r>
  <r>
    <s v="CAMP1628"/>
    <x v="1"/>
    <x v="3"/>
    <d v="2025-02-19T00:00:00"/>
    <n v="83722"/>
    <n v="1375"/>
    <n v="98"/>
    <n v="4605.83"/>
    <n v="9155.81"/>
    <n v="1.6423401256539499E-2"/>
    <n v="7.1272727272727279E-2"/>
    <n v="46.998265306122448"/>
    <n v="1.9878740639580705"/>
    <n v="2025"/>
    <x v="9"/>
    <n v="2"/>
  </r>
  <r>
    <s v="CAMP1629"/>
    <x v="7"/>
    <x v="2"/>
    <d v="2024-03-29T00:00:00"/>
    <n v="132998"/>
    <n v="9017"/>
    <n v="988"/>
    <n v="2965.92"/>
    <n v="109436.38"/>
    <n v="6.7798012000180458E-2"/>
    <n v="0.10957081069091716"/>
    <n v="3.0019433198380567"/>
    <n v="36.897954091816366"/>
    <n v="2024"/>
    <x v="6"/>
    <n v="3"/>
  </r>
  <r>
    <s v="CAMP1630"/>
    <x v="5"/>
    <x v="0"/>
    <d v="2025-01-09T00:00:00"/>
    <n v="105020"/>
    <n v="1627"/>
    <n v="44"/>
    <n v="3900.33"/>
    <n v="2410.89"/>
    <n v="1.5492287183393639E-2"/>
    <n v="2.7043638598647817E-2"/>
    <n v="88.643863636363633"/>
    <n v="0.61812462022444248"/>
    <n v="2025"/>
    <x v="0"/>
    <n v="1"/>
  </r>
  <r>
    <s v="CAMP1631"/>
    <x v="3"/>
    <x v="2"/>
    <d v="2024-03-02T00:00:00"/>
    <n v="64432"/>
    <n v="4016"/>
    <n v="523"/>
    <n v="4657.54"/>
    <n v="43612.3"/>
    <n v="6.2329277377700519E-2"/>
    <n v="0.13022908366533864"/>
    <n v="8.9054302103250471"/>
    <n v="9.3638057858869708"/>
    <n v="2024"/>
    <x v="6"/>
    <n v="3"/>
  </r>
  <r>
    <s v="CAMP1632"/>
    <x v="3"/>
    <x v="0"/>
    <d v="2024-06-05T00:00:00"/>
    <n v="142463"/>
    <n v="1835"/>
    <n v="165"/>
    <n v="917.98"/>
    <n v="11589.63"/>
    <n v="1.2880537402694034E-2"/>
    <n v="8.9918256130790186E-2"/>
    <n v="5.5635151515151513"/>
    <n v="12.625144338656614"/>
    <n v="2024"/>
    <x v="2"/>
    <n v="6"/>
  </r>
  <r>
    <s v="CAMP1633"/>
    <x v="1"/>
    <x v="4"/>
    <d v="2024-01-26T00:00:00"/>
    <n v="107991"/>
    <n v="8420"/>
    <n v="992"/>
    <n v="2961.22"/>
    <n v="28776.23"/>
    <n v="7.7969460417997793E-2"/>
    <n v="0.1178147268408551"/>
    <n v="2.9851008064516127"/>
    <n v="9.717694058529931"/>
    <n v="2024"/>
    <x v="0"/>
    <n v="1"/>
  </r>
  <r>
    <s v="CAMP1634"/>
    <x v="3"/>
    <x v="3"/>
    <d v="2025-02-06T00:00:00"/>
    <n v="108369"/>
    <n v="2206"/>
    <n v="140"/>
    <n v="2484.1"/>
    <n v="13234.41"/>
    <n v="2.0356374978084138E-2"/>
    <n v="6.3463281958295564E-2"/>
    <n v="17.743571428571428"/>
    <n v="5.3276478402640794"/>
    <n v="2025"/>
    <x v="9"/>
    <n v="2"/>
  </r>
  <r>
    <s v="CAMP1635"/>
    <x v="3"/>
    <x v="3"/>
    <d v="2024-02-13T00:00:00"/>
    <n v="109471"/>
    <n v="4940"/>
    <n v="595"/>
    <n v="825.8"/>
    <n v="19924.810000000001"/>
    <n v="4.5126106457417943E-2"/>
    <n v="0.12044534412955465"/>
    <n v="1.3878991596638655"/>
    <n v="24.127888108500851"/>
    <n v="2024"/>
    <x v="9"/>
    <n v="2"/>
  </r>
  <r>
    <s v="CAMP1636"/>
    <x v="1"/>
    <x v="2"/>
    <d v="2024-07-21T00:00:00"/>
    <n v="56406"/>
    <n v="2779"/>
    <n v="415"/>
    <n v="2716.39"/>
    <n v="18356.080000000002"/>
    <n v="4.9267808389178457E-2"/>
    <n v="0.1493342929111191"/>
    <n v="6.5455180722891564"/>
    <n v="6.757527453716146"/>
    <n v="2024"/>
    <x v="10"/>
    <n v="7"/>
  </r>
  <r>
    <s v="CAMP1637"/>
    <x v="5"/>
    <x v="2"/>
    <d v="2024-06-14T00:00:00"/>
    <n v="28486"/>
    <n v="509"/>
    <n v="37"/>
    <n v="1953.28"/>
    <n v="1444.81"/>
    <n v="1.7868426595520608E-2"/>
    <n v="7.269155206286837E-2"/>
    <n v="52.791351351351352"/>
    <n v="0.73968401867627787"/>
    <n v="2024"/>
    <x v="2"/>
    <n v="6"/>
  </r>
  <r>
    <s v="CAMP1638"/>
    <x v="7"/>
    <x v="1"/>
    <d v="2024-12-01T00:00:00"/>
    <n v="11345"/>
    <n v="724"/>
    <n v="30"/>
    <n v="1878.64"/>
    <n v="3064.75"/>
    <n v="6.3816659321286912E-2"/>
    <n v="4.1436464088397788E-2"/>
    <n v="62.62133333333334"/>
    <n v="1.6313663075416258"/>
    <n v="2024"/>
    <x v="4"/>
    <n v="12"/>
  </r>
  <r>
    <s v="CAMP1639"/>
    <x v="6"/>
    <x v="1"/>
    <d v="2024-03-15T00:00:00"/>
    <n v="120464"/>
    <n v="1583"/>
    <n v="200"/>
    <n v="1158.49"/>
    <n v="11476.42"/>
    <n v="1.314085535927746E-2"/>
    <n v="0.12634238787113075"/>
    <n v="5.7924499999999997"/>
    <n v="9.9063608663000977"/>
    <n v="2024"/>
    <x v="6"/>
    <n v="3"/>
  </r>
  <r>
    <s v="CAMP1640"/>
    <x v="0"/>
    <x v="0"/>
    <d v="2025-01-13T00:00:00"/>
    <n v="19296"/>
    <n v="521"/>
    <n v="52"/>
    <n v="908.85"/>
    <n v="5368.71"/>
    <n v="2.7000414593698174E-2"/>
    <n v="9.9808061420345484E-2"/>
    <n v="17.477884615384617"/>
    <n v="5.9071463937943554"/>
    <n v="2025"/>
    <x v="0"/>
    <n v="1"/>
  </r>
  <r>
    <s v="CAMP1641"/>
    <x v="5"/>
    <x v="0"/>
    <d v="2024-06-24T00:00:00"/>
    <n v="34170"/>
    <n v="1071"/>
    <n v="87"/>
    <n v="1793.01"/>
    <n v="8178.11"/>
    <n v="3.134328358208955E-2"/>
    <n v="8.1232492997198882E-2"/>
    <n v="20.609310344827588"/>
    <n v="4.5611067422936848"/>
    <n v="2024"/>
    <x v="2"/>
    <n v="6"/>
  </r>
  <r>
    <s v="CAMP1642"/>
    <x v="1"/>
    <x v="4"/>
    <d v="2024-10-06T00:00:00"/>
    <n v="142171"/>
    <n v="8889"/>
    <n v="811"/>
    <n v="3190.6"/>
    <n v="96695.7"/>
    <n v="6.2523299407052077E-2"/>
    <n v="9.1236359545505685E-2"/>
    <n v="3.9341553637484585"/>
    <n v="30.30643139221463"/>
    <n v="2024"/>
    <x v="3"/>
    <n v="10"/>
  </r>
  <r>
    <s v="CAMP1643"/>
    <x v="4"/>
    <x v="2"/>
    <d v="2024-10-25T00:00:00"/>
    <n v="143097"/>
    <n v="1866"/>
    <n v="78"/>
    <n v="1563.26"/>
    <n v="7715.67"/>
    <n v="1.3040105662592507E-2"/>
    <n v="4.1800643086816719E-2"/>
    <n v="20.04179487179487"/>
    <n v="4.935628110487059"/>
    <n v="2024"/>
    <x v="3"/>
    <n v="10"/>
  </r>
  <r>
    <s v="CAMP1644"/>
    <x v="5"/>
    <x v="0"/>
    <d v="2024-08-26T00:00:00"/>
    <n v="7184"/>
    <n v="105"/>
    <n v="11"/>
    <n v="3382.31"/>
    <n v="1224.1600000000001"/>
    <n v="1.4615812917594655E-2"/>
    <n v="0.10476190476190476"/>
    <n v="307.48272727272729"/>
    <n v="0.36193016015681595"/>
    <n v="2024"/>
    <x v="1"/>
    <n v="8"/>
  </r>
  <r>
    <s v="CAMP1645"/>
    <x v="7"/>
    <x v="0"/>
    <d v="2024-01-10T00:00:00"/>
    <n v="81675"/>
    <n v="5775"/>
    <n v="603"/>
    <n v="1309.6099999999999"/>
    <n v="35016.28"/>
    <n v="7.0707070707070704E-2"/>
    <n v="0.10441558441558442"/>
    <n v="2.1718242122719733"/>
    <n v="26.737944884354885"/>
    <n v="2024"/>
    <x v="0"/>
    <n v="1"/>
  </r>
  <r>
    <s v="CAMP1646"/>
    <x v="0"/>
    <x v="3"/>
    <d v="2024-09-05T00:00:00"/>
    <n v="144345"/>
    <n v="2332"/>
    <n v="106"/>
    <n v="4840.6000000000004"/>
    <n v="8063.29"/>
    <n v="1.6155737988846168E-2"/>
    <n v="4.5454545454545456E-2"/>
    <n v="45.666037735849059"/>
    <n v="1.6657625087799033"/>
    <n v="2024"/>
    <x v="11"/>
    <n v="9"/>
  </r>
  <r>
    <s v="CAMP1647"/>
    <x v="4"/>
    <x v="0"/>
    <d v="2024-05-06T00:00:00"/>
    <n v="143783"/>
    <n v="4506"/>
    <n v="377"/>
    <n v="3773.08"/>
    <n v="8232.6299999999992"/>
    <n v="3.1338892636820763E-2"/>
    <n v="8.3666222814025748E-2"/>
    <n v="10.008169761273209"/>
    <n v="2.1819388934239399"/>
    <n v="2024"/>
    <x v="8"/>
    <n v="5"/>
  </r>
  <r>
    <s v="CAMP1648"/>
    <x v="7"/>
    <x v="3"/>
    <d v="2024-11-16T00:00:00"/>
    <n v="84253"/>
    <n v="2235"/>
    <n v="328"/>
    <n v="2606.0100000000002"/>
    <n v="33190.089999999997"/>
    <n v="2.65272453206414E-2"/>
    <n v="0.14675615212527965"/>
    <n v="7.9451524390243913"/>
    <n v="12.735979524253549"/>
    <n v="2024"/>
    <x v="5"/>
    <n v="11"/>
  </r>
  <r>
    <s v="CAMP1649"/>
    <x v="5"/>
    <x v="2"/>
    <d v="2025-02-21T00:00:00"/>
    <n v="12724"/>
    <n v="968"/>
    <n v="138"/>
    <n v="1282.8"/>
    <n v="7476.65"/>
    <n v="7.6076705438541337E-2"/>
    <n v="0.14256198347107438"/>
    <n v="9.2956521739130427"/>
    <n v="5.8283832241970686"/>
    <n v="2025"/>
    <x v="9"/>
    <n v="2"/>
  </r>
  <r>
    <s v="CAMP1650"/>
    <x v="3"/>
    <x v="4"/>
    <d v="2024-02-14T00:00:00"/>
    <n v="105193"/>
    <n v="4886"/>
    <n v="528"/>
    <n v="4388.97"/>
    <n v="46808.43"/>
    <n v="4.6447957563716218E-2"/>
    <n v="0.10806385591485879"/>
    <n v="8.3124431818181819"/>
    <n v="10.665014798460685"/>
    <n v="2024"/>
    <x v="9"/>
    <n v="2"/>
  </r>
  <r>
    <s v="CAMP1651"/>
    <x v="3"/>
    <x v="4"/>
    <d v="2024-10-20T00:00:00"/>
    <n v="45042"/>
    <n v="1795"/>
    <n v="108"/>
    <n v="3105.77"/>
    <n v="7011.03"/>
    <n v="3.9851693974512679E-2"/>
    <n v="6.0167130919220053E-2"/>
    <n v="28.757129629629631"/>
    <n v="2.2574208650350798"/>
    <n v="2024"/>
    <x v="3"/>
    <n v="10"/>
  </r>
  <r>
    <s v="CAMP1652"/>
    <x v="2"/>
    <x v="4"/>
    <d v="2024-11-30T00:00:00"/>
    <n v="41327"/>
    <n v="2094"/>
    <n v="228"/>
    <n v="1171.0899999999999"/>
    <n v="7708.9"/>
    <n v="5.0669054129261738E-2"/>
    <n v="0.10888252148997135"/>
    <n v="5.1363596491228067"/>
    <n v="6.582670845110111"/>
    <n v="2024"/>
    <x v="5"/>
    <n v="11"/>
  </r>
  <r>
    <s v="CAMP1653"/>
    <x v="2"/>
    <x v="2"/>
    <d v="2025-01-29T00:00:00"/>
    <n v="43050"/>
    <n v="2408"/>
    <n v="224"/>
    <n v="958.63"/>
    <n v="5999.03"/>
    <n v="5.5934959349593499E-2"/>
    <n v="9.3023255813953487E-2"/>
    <n v="4.2795982142857145"/>
    <n v="6.2579201568905622"/>
    <n v="2025"/>
    <x v="0"/>
    <n v="1"/>
  </r>
  <r>
    <s v="CAMP1654"/>
    <x v="0"/>
    <x v="4"/>
    <d v="2024-06-11T00:00:00"/>
    <n v="43147"/>
    <n v="2627"/>
    <n v="313"/>
    <n v="4424.63"/>
    <n v="19219.46"/>
    <n v="6.0884881915312765E-2"/>
    <n v="0.11914731633041492"/>
    <n v="14.136198083067093"/>
    <n v="4.3437439966731679"/>
    <n v="2024"/>
    <x v="2"/>
    <n v="6"/>
  </r>
  <r>
    <s v="CAMP1655"/>
    <x v="3"/>
    <x v="3"/>
    <d v="2024-08-14T00:00:00"/>
    <n v="76774"/>
    <n v="1584"/>
    <n v="70"/>
    <n v="831.42"/>
    <n v="1583.39"/>
    <n v="2.0631984786516268E-2"/>
    <n v="4.4191919191919192E-2"/>
    <n v="11.87742857142857"/>
    <n v="1.904440595607515"/>
    <n v="2024"/>
    <x v="1"/>
    <n v="8"/>
  </r>
  <r>
    <s v="CAMP1656"/>
    <x v="5"/>
    <x v="1"/>
    <d v="2024-10-17T00:00:00"/>
    <n v="65532"/>
    <n v="3390"/>
    <n v="169"/>
    <n v="325.20999999999998"/>
    <n v="4723.13"/>
    <n v="5.1730452298113898E-2"/>
    <n v="4.9852507374631268E-2"/>
    <n v="1.9243195266272188"/>
    <n v="14.523323391039638"/>
    <n v="2024"/>
    <x v="3"/>
    <n v="10"/>
  </r>
  <r>
    <s v="CAMP1657"/>
    <x v="6"/>
    <x v="4"/>
    <d v="2024-09-14T00:00:00"/>
    <n v="127883"/>
    <n v="7652"/>
    <n v="525"/>
    <n v="4290.22"/>
    <n v="36300.89"/>
    <n v="5.9835943792372719E-2"/>
    <n v="6.8609513852587553E-2"/>
    <n v="8.1718476190476199"/>
    <n v="8.4613120073096475"/>
    <n v="2024"/>
    <x v="11"/>
    <n v="9"/>
  </r>
  <r>
    <s v="CAMP1658"/>
    <x v="2"/>
    <x v="4"/>
    <d v="2024-04-08T00:00:00"/>
    <n v="64316"/>
    <n v="788"/>
    <n v="94"/>
    <n v="272.07"/>
    <n v="4416.67"/>
    <n v="1.2252005721748865E-2"/>
    <n v="0.11928934010152284"/>
    <n v="2.8943617021276595"/>
    <n v="16.233579593486972"/>
    <n v="2024"/>
    <x v="7"/>
    <n v="4"/>
  </r>
  <r>
    <s v="CAMP1659"/>
    <x v="3"/>
    <x v="4"/>
    <d v="2025-01-15T00:00:00"/>
    <n v="58171"/>
    <n v="3667"/>
    <n v="104"/>
    <n v="4650.1000000000004"/>
    <n v="12330.53"/>
    <n v="6.3038283680871915E-2"/>
    <n v="2.8361058085628579E-2"/>
    <n v="44.712500000000006"/>
    <n v="2.6516698565622243"/>
    <n v="2025"/>
    <x v="0"/>
    <n v="1"/>
  </r>
  <r>
    <s v="CAMP1660"/>
    <x v="6"/>
    <x v="3"/>
    <d v="2024-08-22T00:00:00"/>
    <n v="69692"/>
    <n v="2782"/>
    <n v="336"/>
    <n v="3118.06"/>
    <n v="34417.440000000002"/>
    <n v="3.9918498536417379E-2"/>
    <n v="0.1207764198418404"/>
    <n v="9.2799404761904754"/>
    <n v="11.038094199598468"/>
    <n v="2024"/>
    <x v="1"/>
    <n v="8"/>
  </r>
  <r>
    <s v="CAMP1661"/>
    <x v="7"/>
    <x v="2"/>
    <d v="2024-11-09T00:00:00"/>
    <n v="145550"/>
    <n v="6806"/>
    <n v="910"/>
    <n v="3977.22"/>
    <n v="65579.070000000007"/>
    <n v="4.6760563380281693E-2"/>
    <n v="0.13370555392300912"/>
    <n v="4.3705714285714281"/>
    <n v="16.488670478374345"/>
    <n v="2024"/>
    <x v="5"/>
    <n v="11"/>
  </r>
  <r>
    <s v="CAMP1662"/>
    <x v="6"/>
    <x v="2"/>
    <d v="2025-02-27T00:00:00"/>
    <n v="16119"/>
    <n v="1151"/>
    <n v="59"/>
    <n v="2781.77"/>
    <n v="6984.6"/>
    <n v="7.1406414789999373E-2"/>
    <n v="5.1259774109470024E-2"/>
    <n v="47.14864406779661"/>
    <n v="2.5108474101022011"/>
    <n v="2025"/>
    <x v="9"/>
    <n v="2"/>
  </r>
  <r>
    <s v="CAMP1663"/>
    <x v="4"/>
    <x v="1"/>
    <d v="2024-07-17T00:00:00"/>
    <n v="140299"/>
    <n v="8917"/>
    <n v="1294"/>
    <n v="1111.28"/>
    <n v="82758.27"/>
    <n v="6.3557117299481825E-2"/>
    <n v="0.14511607042727376"/>
    <n v="0.85879443585780524"/>
    <n v="74.471123389244838"/>
    <n v="2024"/>
    <x v="10"/>
    <n v="7"/>
  </r>
  <r>
    <s v="CAMP1664"/>
    <x v="5"/>
    <x v="3"/>
    <d v="2024-08-24T00:00:00"/>
    <n v="48643"/>
    <n v="1924"/>
    <n v="191"/>
    <n v="461.82"/>
    <n v="13694.12"/>
    <n v="3.9553481487572727E-2"/>
    <n v="9.9272349272349278E-2"/>
    <n v="2.4179057591623034"/>
    <n v="29.652505305097225"/>
    <n v="2024"/>
    <x v="1"/>
    <n v="8"/>
  </r>
  <r>
    <s v="CAMP1665"/>
    <x v="2"/>
    <x v="2"/>
    <d v="2025-02-28T00:00:00"/>
    <n v="123409"/>
    <n v="2015"/>
    <n v="171"/>
    <n v="1062.9000000000001"/>
    <n v="13431.16"/>
    <n v="1.6327820499315283E-2"/>
    <n v="8.4863523573200997E-2"/>
    <n v="6.215789473684211"/>
    <n v="12.636334556402295"/>
    <n v="2025"/>
    <x v="9"/>
    <n v="2"/>
  </r>
  <r>
    <s v="CAMP1666"/>
    <x v="2"/>
    <x v="2"/>
    <d v="2024-07-30T00:00:00"/>
    <n v="89793"/>
    <n v="3731"/>
    <n v="161"/>
    <n v="3033.51"/>
    <n v="14693.41"/>
    <n v="4.1551123138774737E-2"/>
    <n v="4.3151969981238276E-2"/>
    <n v="18.841677018633543"/>
    <n v="4.8436992131227514"/>
    <n v="2024"/>
    <x v="10"/>
    <n v="7"/>
  </r>
  <r>
    <s v="CAMP1667"/>
    <x v="1"/>
    <x v="2"/>
    <d v="2024-02-16T00:00:00"/>
    <n v="70557"/>
    <n v="2306"/>
    <n v="240"/>
    <n v="3615.05"/>
    <n v="8735.86"/>
    <n v="3.2682795470328957E-2"/>
    <n v="0.10407632263660017"/>
    <n v="15.062708333333335"/>
    <n v="2.4165253592619744"/>
    <n v="2024"/>
    <x v="9"/>
    <n v="2"/>
  </r>
  <r>
    <s v="CAMP1668"/>
    <x v="0"/>
    <x v="0"/>
    <d v="2024-02-28T00:00:00"/>
    <n v="122807"/>
    <n v="6678"/>
    <n v="207"/>
    <n v="3594.94"/>
    <n v="19186.29"/>
    <n v="5.4378007768286822E-2"/>
    <n v="3.0997304582210242E-2"/>
    <n v="17.366859903381641"/>
    <n v="5.3370264872292728"/>
    <n v="2024"/>
    <x v="9"/>
    <n v="2"/>
  </r>
  <r>
    <s v="CAMP1669"/>
    <x v="2"/>
    <x v="2"/>
    <d v="2024-10-08T00:00:00"/>
    <n v="104773"/>
    <n v="1369"/>
    <n v="57"/>
    <n v="1808.93"/>
    <n v="6106.44"/>
    <n v="1.306634342817329E-2"/>
    <n v="4.1636230825420013E-2"/>
    <n v="31.735614035087721"/>
    <n v="3.3757193479017982"/>
    <n v="2024"/>
    <x v="3"/>
    <n v="10"/>
  </r>
  <r>
    <s v="CAMP1670"/>
    <x v="2"/>
    <x v="4"/>
    <d v="2024-03-15T00:00:00"/>
    <n v="51888"/>
    <n v="3312"/>
    <n v="88"/>
    <n v="1678.7"/>
    <n v="8185.42"/>
    <n v="6.3829787234042548E-2"/>
    <n v="2.6570048309178744E-2"/>
    <n v="19.076136363636365"/>
    <n v="4.876046941085364"/>
    <n v="2024"/>
    <x v="6"/>
    <n v="3"/>
  </r>
  <r>
    <s v="CAMP1671"/>
    <x v="6"/>
    <x v="3"/>
    <d v="2024-11-16T00:00:00"/>
    <n v="52368"/>
    <n v="954"/>
    <n v="35"/>
    <n v="1173.69"/>
    <n v="2878.96"/>
    <n v="1.8217231897341889E-2"/>
    <n v="3.668763102725367E-2"/>
    <n v="33.533999999999999"/>
    <n v="2.4529134609649907"/>
    <n v="2024"/>
    <x v="5"/>
    <n v="11"/>
  </r>
  <r>
    <s v="CAMP1672"/>
    <x v="5"/>
    <x v="0"/>
    <d v="2024-08-22T00:00:00"/>
    <n v="135450"/>
    <n v="9465"/>
    <n v="858"/>
    <n v="227.6"/>
    <n v="92895.91"/>
    <n v="6.98781838316722E-2"/>
    <n v="9.0649762282091914E-2"/>
    <n v="0.26526806526806523"/>
    <n v="408.15426186291745"/>
    <n v="2024"/>
    <x v="1"/>
    <n v="8"/>
  </r>
  <r>
    <s v="CAMP1673"/>
    <x v="1"/>
    <x v="4"/>
    <d v="2024-10-28T00:00:00"/>
    <n v="129705"/>
    <n v="5416"/>
    <n v="419"/>
    <n v="3085.84"/>
    <n v="8655.41"/>
    <n v="4.1756293126710614E-2"/>
    <n v="7.7363367799113736E-2"/>
    <n v="7.3647732696897377"/>
    <n v="2.8048797086044641"/>
    <n v="2024"/>
    <x v="3"/>
    <n v="10"/>
  </r>
  <r>
    <s v="CAMP1674"/>
    <x v="5"/>
    <x v="1"/>
    <d v="2024-11-17T00:00:00"/>
    <n v="59430"/>
    <n v="797"/>
    <n v="31"/>
    <n v="3335.73"/>
    <n v="733.84"/>
    <n v="1.3410735318862527E-2"/>
    <n v="3.889585947302384E-2"/>
    <n v="107.6041935483871"/>
    <n v="0.2199938244402275"/>
    <n v="2024"/>
    <x v="5"/>
    <n v="11"/>
  </r>
  <r>
    <s v="CAMP1675"/>
    <x v="4"/>
    <x v="1"/>
    <d v="2024-11-04T00:00:00"/>
    <n v="83234"/>
    <n v="2761"/>
    <n v="86"/>
    <n v="722.66"/>
    <n v="10266.120000000001"/>
    <n v="3.3171540476247686E-2"/>
    <n v="3.1148134733792104E-2"/>
    <n v="8.4030232558139524"/>
    <n v="14.206016660670302"/>
    <n v="2024"/>
    <x v="5"/>
    <n v="11"/>
  </r>
  <r>
    <s v="CAMP1676"/>
    <x v="2"/>
    <x v="3"/>
    <d v="2024-11-08T00:00:00"/>
    <n v="51509"/>
    <n v="3999"/>
    <n v="469"/>
    <n v="1928.91"/>
    <n v="11060.9"/>
    <n v="7.7636917820186765E-2"/>
    <n v="0.11727931982995748"/>
    <n v="4.1128144989339024"/>
    <n v="5.7342747976836659"/>
    <n v="2024"/>
    <x v="5"/>
    <n v="11"/>
  </r>
  <r>
    <s v="CAMP1677"/>
    <x v="5"/>
    <x v="3"/>
    <d v="2024-07-07T00:00:00"/>
    <n v="104336"/>
    <n v="7034"/>
    <n v="834"/>
    <n v="4247.8900000000003"/>
    <n v="22094.82"/>
    <n v="6.7416807238153659E-2"/>
    <n v="0.11856696047767984"/>
    <n v="5.093393285371703"/>
    <n v="5.2013635004672905"/>
    <n v="2024"/>
    <x v="10"/>
    <n v="7"/>
  </r>
  <r>
    <s v="CAMP1678"/>
    <x v="6"/>
    <x v="4"/>
    <d v="2024-03-03T00:00:00"/>
    <n v="76937"/>
    <n v="2542"/>
    <n v="187"/>
    <n v="1207.26"/>
    <n v="7649.25"/>
    <n v="3.3040019756424087E-2"/>
    <n v="7.3564122738001572E-2"/>
    <n v="6.4559358288770055"/>
    <n v="6.336041946225337"/>
    <n v="2024"/>
    <x v="6"/>
    <n v="3"/>
  </r>
  <r>
    <s v="CAMP1679"/>
    <x v="4"/>
    <x v="0"/>
    <d v="2024-10-19T00:00:00"/>
    <n v="143660"/>
    <n v="11363"/>
    <n v="941"/>
    <n v="3505.54"/>
    <n v="106699.21"/>
    <n v="7.9096477794793257E-2"/>
    <n v="8.2812637507700432E-2"/>
    <n v="3.7253347502656746"/>
    <n v="30.437310656846023"/>
    <n v="2024"/>
    <x v="3"/>
    <n v="10"/>
  </r>
  <r>
    <s v="CAMP1680"/>
    <x v="5"/>
    <x v="2"/>
    <d v="2024-11-07T00:00:00"/>
    <n v="87965"/>
    <n v="2478"/>
    <n v="234"/>
    <n v="3191.57"/>
    <n v="26374.27"/>
    <n v="2.817029500369465E-2"/>
    <n v="9.4430992736077482E-2"/>
    <n v="13.639188034188034"/>
    <n v="8.2637291364438195"/>
    <n v="2024"/>
    <x v="5"/>
    <n v="11"/>
  </r>
  <r>
    <s v="CAMP1681"/>
    <x v="6"/>
    <x v="1"/>
    <d v="2025-01-08T00:00:00"/>
    <n v="135479"/>
    <n v="6025"/>
    <n v="261"/>
    <n v="3125.15"/>
    <n v="23714.12"/>
    <n v="4.4471836963662262E-2"/>
    <n v="4.33195020746888E-2"/>
    <n v="11.97375478927203"/>
    <n v="7.5881541685999068"/>
    <n v="2025"/>
    <x v="0"/>
    <n v="1"/>
  </r>
  <r>
    <s v="CAMP1682"/>
    <x v="1"/>
    <x v="0"/>
    <d v="2024-03-01T00:00:00"/>
    <n v="11287"/>
    <n v="480"/>
    <n v="59"/>
    <n v="3739.85"/>
    <n v="2403.25"/>
    <n v="4.2526800744219016E-2"/>
    <n v="0.12291666666666666"/>
    <n v="63.387288135593217"/>
    <n v="0.64260598687113124"/>
    <n v="2024"/>
    <x v="6"/>
    <n v="3"/>
  </r>
  <r>
    <s v="CAMP1683"/>
    <x v="3"/>
    <x v="2"/>
    <d v="2024-01-24T00:00:00"/>
    <n v="92501"/>
    <n v="3189"/>
    <n v="397"/>
    <n v="1219.22"/>
    <n v="33372.550000000003"/>
    <n v="3.4475302969697627E-2"/>
    <n v="0.12449043587331451"/>
    <n v="3.0710831234256926"/>
    <n v="27.372049343022589"/>
    <n v="2024"/>
    <x v="0"/>
    <n v="1"/>
  </r>
  <r>
    <s v="CAMP1684"/>
    <x v="5"/>
    <x v="3"/>
    <d v="2025-02-08T00:00:00"/>
    <n v="22782"/>
    <n v="718"/>
    <n v="61"/>
    <n v="1754.83"/>
    <n v="1257.4000000000001"/>
    <n v="3.1516109209024666E-2"/>
    <n v="8.495821727019498E-2"/>
    <n v="28.767704918032784"/>
    <n v="0.71653664457525812"/>
    <n v="2025"/>
    <x v="9"/>
    <n v="2"/>
  </r>
  <r>
    <s v="CAMP1685"/>
    <x v="7"/>
    <x v="3"/>
    <d v="2024-07-21T00:00:00"/>
    <n v="12632"/>
    <n v="862"/>
    <n v="38"/>
    <n v="4202.3599999999997"/>
    <n v="4264.66"/>
    <n v="6.8239392020265993E-2"/>
    <n v="4.4083526682134569E-2"/>
    <n v="110.58842105263157"/>
    <n v="1.0148250030935"/>
    <n v="2024"/>
    <x v="10"/>
    <n v="7"/>
  </r>
  <r>
    <s v="CAMP1686"/>
    <x v="6"/>
    <x v="2"/>
    <d v="2025-02-12T00:00:00"/>
    <n v="14321"/>
    <n v="790"/>
    <n v="65"/>
    <n v="3210.56"/>
    <n v="7098.38"/>
    <n v="5.5163745548495215E-2"/>
    <n v="8.2278481012658222E-2"/>
    <n v="49.393230769230769"/>
    <n v="2.2109476228446128"/>
    <n v="2025"/>
    <x v="9"/>
    <n v="2"/>
  </r>
  <r>
    <s v="CAMP1687"/>
    <x v="7"/>
    <x v="2"/>
    <d v="2025-02-05T00:00:00"/>
    <n v="113515"/>
    <n v="8507"/>
    <n v="232"/>
    <n v="2701.15"/>
    <n v="17746.669999999998"/>
    <n v="7.4941637669030531E-2"/>
    <n v="2.7271658634066064E-2"/>
    <n v="11.642887931034483"/>
    <n v="6.5700423893526825"/>
    <n v="2025"/>
    <x v="9"/>
    <n v="2"/>
  </r>
  <r>
    <s v="CAMP1688"/>
    <x v="7"/>
    <x v="1"/>
    <d v="2024-10-01T00:00:00"/>
    <n v="9906"/>
    <n v="243"/>
    <n v="26"/>
    <n v="4037.77"/>
    <n v="2828.88"/>
    <n v="2.4530587522713507E-2"/>
    <n v="0.10699588477366255"/>
    <n v="155.29884615384614"/>
    <n v="0.70060454161579289"/>
    <n v="2024"/>
    <x v="3"/>
    <n v="10"/>
  </r>
  <r>
    <s v="CAMP1689"/>
    <x v="7"/>
    <x v="0"/>
    <d v="2024-03-17T00:00:00"/>
    <n v="78520"/>
    <n v="5406"/>
    <n v="346"/>
    <n v="2001.16"/>
    <n v="25405.85"/>
    <n v="6.8848700967906268E-2"/>
    <n v="6.4002959674435811E-2"/>
    <n v="5.7836994219653182"/>
    <n v="12.695561574286913"/>
    <n v="2024"/>
    <x v="6"/>
    <n v="3"/>
  </r>
  <r>
    <s v="CAMP1690"/>
    <x v="2"/>
    <x v="1"/>
    <d v="2024-11-06T00:00:00"/>
    <n v="107122"/>
    <n v="2476"/>
    <n v="87"/>
    <n v="3955.25"/>
    <n v="4422.05"/>
    <n v="2.3113832826123486E-2"/>
    <n v="3.5137318255250405E-2"/>
    <n v="45.462643678160923"/>
    <n v="1.1180203526957841"/>
    <n v="2024"/>
    <x v="5"/>
    <n v="11"/>
  </r>
  <r>
    <s v="CAMP1691"/>
    <x v="7"/>
    <x v="0"/>
    <d v="2024-05-19T00:00:00"/>
    <n v="113493"/>
    <n v="1824"/>
    <n v="244"/>
    <n v="1983.6"/>
    <n v="25118.76"/>
    <n v="1.6071475773836271E-2"/>
    <n v="0.1337719298245614"/>
    <n v="8.1295081967213108"/>
    <n v="12.663218390804598"/>
    <n v="2024"/>
    <x v="8"/>
    <n v="5"/>
  </r>
  <r>
    <s v="CAMP1692"/>
    <x v="5"/>
    <x v="4"/>
    <d v="2024-09-25T00:00:00"/>
    <n v="84250"/>
    <n v="1874"/>
    <n v="128"/>
    <n v="379.5"/>
    <n v="5146.8599999999997"/>
    <n v="2.22433234421365E-2"/>
    <n v="6.8303094983991466E-2"/>
    <n v="2.96484375"/>
    <n v="13.562213438735178"/>
    <n v="2024"/>
    <x v="11"/>
    <n v="9"/>
  </r>
  <r>
    <s v="CAMP1693"/>
    <x v="0"/>
    <x v="2"/>
    <d v="2024-09-16T00:00:00"/>
    <n v="11536"/>
    <n v="760"/>
    <n v="104"/>
    <n v="939.57"/>
    <n v="5617.21"/>
    <n v="6.5880721220527044E-2"/>
    <n v="0.1368421052631579"/>
    <n v="9.0343269230769234"/>
    <n v="5.9784901603925196"/>
    <n v="2024"/>
    <x v="11"/>
    <n v="9"/>
  </r>
  <r>
    <s v="CAMP1694"/>
    <x v="6"/>
    <x v="1"/>
    <d v="2024-06-07T00:00:00"/>
    <n v="90809"/>
    <n v="1818"/>
    <n v="242"/>
    <n v="4146.26"/>
    <n v="27540.18"/>
    <n v="2.0020042066315014E-2"/>
    <n v="0.13311331133113311"/>
    <n v="17.133305785123969"/>
    <n v="6.6421739109462496"/>
    <n v="2024"/>
    <x v="2"/>
    <n v="6"/>
  </r>
  <r>
    <s v="CAMP1695"/>
    <x v="2"/>
    <x v="4"/>
    <d v="2025-01-05T00:00:00"/>
    <n v="14582"/>
    <n v="614"/>
    <n v="69"/>
    <n v="2707.26"/>
    <n v="1408.36"/>
    <n v="4.210670689891647E-2"/>
    <n v="0.11237785016286644"/>
    <n v="39.235652173913046"/>
    <n v="0.52021601176096854"/>
    <n v="2025"/>
    <x v="0"/>
    <n v="1"/>
  </r>
  <r>
    <s v="CAMP1696"/>
    <x v="4"/>
    <x v="1"/>
    <d v="2024-02-14T00:00:00"/>
    <n v="92369"/>
    <n v="3942"/>
    <n v="102"/>
    <n v="2698.77"/>
    <n v="8761.64"/>
    <n v="4.2676655587913691E-2"/>
    <n v="2.5875190258751901E-2"/>
    <n v="26.458529411764705"/>
    <n v="3.2465308270063766"/>
    <n v="2024"/>
    <x v="9"/>
    <n v="2"/>
  </r>
  <r>
    <s v="CAMP1697"/>
    <x v="5"/>
    <x v="0"/>
    <d v="2024-10-22T00:00:00"/>
    <n v="86826"/>
    <n v="4751"/>
    <n v="224"/>
    <n v="1162.67"/>
    <n v="10899.11"/>
    <n v="5.4718632667634118E-2"/>
    <n v="4.7147968848663437E-2"/>
    <n v="5.1904910714285721"/>
    <n v="9.3742076427533174"/>
    <n v="2024"/>
    <x v="3"/>
    <n v="10"/>
  </r>
  <r>
    <s v="CAMP1698"/>
    <x v="7"/>
    <x v="2"/>
    <d v="2024-12-09T00:00:00"/>
    <n v="35841"/>
    <n v="1042"/>
    <n v="42"/>
    <n v="749.41"/>
    <n v="4864.8500000000004"/>
    <n v="2.9072849529868029E-2"/>
    <n v="4.0307101727447218E-2"/>
    <n v="17.843095238095238"/>
    <n v="6.4915733710518948"/>
    <n v="2024"/>
    <x v="4"/>
    <n v="12"/>
  </r>
  <r>
    <s v="CAMP1699"/>
    <x v="0"/>
    <x v="4"/>
    <d v="2024-10-04T00:00:00"/>
    <n v="96833"/>
    <n v="4692"/>
    <n v="259"/>
    <n v="4727.7299999999996"/>
    <n v="26003.67"/>
    <n v="4.8454555781603376E-2"/>
    <n v="5.5200341005967601E-2"/>
    <n v="18.253783783783781"/>
    <n v="5.5002443032914314"/>
    <n v="2024"/>
    <x v="3"/>
    <n v="10"/>
  </r>
  <r>
    <s v="CAMP1700"/>
    <x v="1"/>
    <x v="4"/>
    <d v="2024-02-06T00:00:00"/>
    <n v="86625"/>
    <n v="4584"/>
    <n v="293"/>
    <n v="2329.5100000000002"/>
    <n v="9671.17"/>
    <n v="5.2917748917748919E-2"/>
    <n v="6.3917975567190227E-2"/>
    <n v="7.9505460750853247"/>
    <n v="4.1515898193182252"/>
    <n v="2024"/>
    <x v="9"/>
    <n v="2"/>
  </r>
  <r>
    <s v="CAMP1701"/>
    <x v="6"/>
    <x v="0"/>
    <d v="2024-02-24T00:00:00"/>
    <n v="105558"/>
    <n v="1453"/>
    <n v="109"/>
    <n v="1059.1199999999999"/>
    <n v="8677.7199999999993"/>
    <n v="1.3764944390761476E-2"/>
    <n v="7.501720578114246E-2"/>
    <n v="9.7166972477064206"/>
    <n v="8.1933303119570962"/>
    <n v="2024"/>
    <x v="9"/>
    <n v="2"/>
  </r>
  <r>
    <s v="CAMP1702"/>
    <x v="6"/>
    <x v="1"/>
    <d v="2024-07-01T00:00:00"/>
    <n v="86904"/>
    <n v="2890"/>
    <n v="132"/>
    <n v="3840.33"/>
    <n v="13322.76"/>
    <n v="3.3255086071987482E-2"/>
    <n v="4.5674740484429065E-2"/>
    <n v="29.093409090909091"/>
    <n v="3.4691706181500028"/>
    <n v="2024"/>
    <x v="10"/>
    <n v="7"/>
  </r>
  <r>
    <s v="CAMP1703"/>
    <x v="0"/>
    <x v="2"/>
    <d v="2024-10-17T00:00:00"/>
    <n v="39549"/>
    <n v="652"/>
    <n v="81"/>
    <n v="3553.28"/>
    <n v="2407.83"/>
    <n v="1.6485878277579712E-2"/>
    <n v="0.12423312883435583"/>
    <n v="43.867654320987654"/>
    <n v="0.67763587445965412"/>
    <n v="2024"/>
    <x v="3"/>
    <n v="10"/>
  </r>
  <r>
    <s v="CAMP1704"/>
    <x v="5"/>
    <x v="2"/>
    <d v="2024-08-28T00:00:00"/>
    <n v="65737"/>
    <n v="5017"/>
    <n v="194"/>
    <n v="4499.3599999999997"/>
    <n v="8886.2199999999993"/>
    <n v="7.6319272251547832E-2"/>
    <n v="3.8668527008172214E-2"/>
    <n v="23.192577319587627"/>
    <n v="1.9749964439386936"/>
    <n v="2024"/>
    <x v="1"/>
    <n v="8"/>
  </r>
  <r>
    <s v="CAMP1705"/>
    <x v="7"/>
    <x v="2"/>
    <d v="2024-04-03T00:00:00"/>
    <n v="91593"/>
    <n v="5973"/>
    <n v="804"/>
    <n v="2375.7600000000002"/>
    <n v="18513.240000000002"/>
    <n v="6.5212407061675012E-2"/>
    <n v="0.13460572576594676"/>
    <n v="2.9549253731343286"/>
    <n v="7.7925548035155066"/>
    <n v="2024"/>
    <x v="7"/>
    <n v="4"/>
  </r>
  <r>
    <s v="CAMP1706"/>
    <x v="6"/>
    <x v="0"/>
    <d v="2024-06-28T00:00:00"/>
    <n v="130475"/>
    <n v="5517"/>
    <n v="232"/>
    <n v="3886.12"/>
    <n v="18663.009999999998"/>
    <n v="4.2283962444912816E-2"/>
    <n v="4.2051839767989853E-2"/>
    <n v="16.75051724137931"/>
    <n v="4.8024790793902401"/>
    <n v="2024"/>
    <x v="2"/>
    <n v="6"/>
  </r>
  <r>
    <s v="CAMP1707"/>
    <x v="2"/>
    <x v="1"/>
    <d v="2024-02-22T00:00:00"/>
    <n v="111348"/>
    <n v="7485"/>
    <n v="924"/>
    <n v="1764.17"/>
    <n v="78489.31"/>
    <n v="6.7221683371052915E-2"/>
    <n v="0.12344689378757515"/>
    <n v="1.9092748917748918"/>
    <n v="44.490786035359399"/>
    <n v="2024"/>
    <x v="9"/>
    <n v="2"/>
  </r>
  <r>
    <s v="CAMP1708"/>
    <x v="5"/>
    <x v="1"/>
    <d v="2024-08-24T00:00:00"/>
    <n v="110071"/>
    <n v="5650"/>
    <n v="288"/>
    <n v="1369.72"/>
    <n v="10339.780000000001"/>
    <n v="5.133050485595661E-2"/>
    <n v="5.0973451327433632E-2"/>
    <n v="4.7559722222222227"/>
    <n v="7.5488274975907492"/>
    <n v="2024"/>
    <x v="1"/>
    <n v="8"/>
  </r>
  <r>
    <s v="CAMP1709"/>
    <x v="6"/>
    <x v="2"/>
    <d v="2024-02-03T00:00:00"/>
    <n v="94316"/>
    <n v="2317"/>
    <n v="255"/>
    <n v="2269.5100000000002"/>
    <n v="30095.23"/>
    <n v="2.4566351414394165E-2"/>
    <n v="0.11005610703495899"/>
    <n v="8.9000392156862755"/>
    <n v="13.26067300871113"/>
    <n v="2024"/>
    <x v="9"/>
    <n v="2"/>
  </r>
  <r>
    <s v="CAMP1710"/>
    <x v="7"/>
    <x v="1"/>
    <d v="2024-12-21T00:00:00"/>
    <n v="66906"/>
    <n v="1479"/>
    <n v="158"/>
    <n v="3748.96"/>
    <n v="14408.16"/>
    <n v="2.2105640749708548E-2"/>
    <n v="0.1068289384719405"/>
    <n v="23.727594936708861"/>
    <n v="3.8432418590755835"/>
    <n v="2024"/>
    <x v="4"/>
    <n v="12"/>
  </r>
  <r>
    <s v="CAMP1711"/>
    <x v="6"/>
    <x v="0"/>
    <d v="2024-10-30T00:00:00"/>
    <n v="126348"/>
    <n v="4141"/>
    <n v="135"/>
    <n v="2337.04"/>
    <n v="6858.48"/>
    <n v="3.2774559154082374E-2"/>
    <n v="3.2600821057715529E-2"/>
    <n v="17.311407407407408"/>
    <n v="2.934686612124739"/>
    <n v="2024"/>
    <x v="3"/>
    <n v="10"/>
  </r>
  <r>
    <s v="CAMP1712"/>
    <x v="3"/>
    <x v="0"/>
    <d v="2024-11-02T00:00:00"/>
    <n v="33506"/>
    <n v="1942"/>
    <n v="189"/>
    <n v="4135.3599999999997"/>
    <n v="9968.02"/>
    <n v="5.795976839968961E-2"/>
    <n v="9.7322348094747685E-2"/>
    <n v="21.880211640211638"/>
    <n v="2.4104358508086361"/>
    <n v="2024"/>
    <x v="5"/>
    <n v="11"/>
  </r>
  <r>
    <s v="CAMP1713"/>
    <x v="4"/>
    <x v="0"/>
    <d v="2024-04-21T00:00:00"/>
    <n v="41416"/>
    <n v="2986"/>
    <n v="410"/>
    <n v="3253.44"/>
    <n v="8207.56"/>
    <n v="7.2097740003863237E-2"/>
    <n v="0.13730743469524448"/>
    <n v="7.9352195121951219"/>
    <n v="2.5227328612176647"/>
    <n v="2024"/>
    <x v="7"/>
    <n v="4"/>
  </r>
  <r>
    <s v="CAMP1714"/>
    <x v="2"/>
    <x v="4"/>
    <d v="2024-08-19T00:00:00"/>
    <n v="144265"/>
    <n v="4386"/>
    <n v="438"/>
    <n v="2346.37"/>
    <n v="17767.98"/>
    <n v="3.0402384500745158E-2"/>
    <n v="9.9863201094391243E-2"/>
    <n v="5.3570091324200915"/>
    <n v="7.5725397102758727"/>
    <n v="2024"/>
    <x v="1"/>
    <n v="8"/>
  </r>
  <r>
    <s v="CAMP1715"/>
    <x v="7"/>
    <x v="3"/>
    <d v="2024-10-18T00:00:00"/>
    <n v="84835"/>
    <n v="6302"/>
    <n v="893"/>
    <n v="3645.4"/>
    <n v="99580.03"/>
    <n v="7.4285377497495142E-2"/>
    <n v="0.14170104728657568"/>
    <n v="4.0821948488241881"/>
    <n v="27.316626433313214"/>
    <n v="2024"/>
    <x v="3"/>
    <n v="10"/>
  </r>
  <r>
    <s v="CAMP1716"/>
    <x v="0"/>
    <x v="1"/>
    <d v="2024-01-05T00:00:00"/>
    <n v="138804"/>
    <n v="5315"/>
    <n v="194"/>
    <n v="1612.09"/>
    <n v="11042.92"/>
    <n v="3.8291403705945075E-2"/>
    <n v="3.6500470366886174E-2"/>
    <n v="8.3097422680412372"/>
    <n v="6.8500642023708354"/>
    <n v="2024"/>
    <x v="0"/>
    <n v="1"/>
  </r>
  <r>
    <s v="CAMP1717"/>
    <x v="4"/>
    <x v="0"/>
    <d v="2024-12-26T00:00:00"/>
    <n v="99173"/>
    <n v="1753"/>
    <n v="99"/>
    <n v="349.69"/>
    <n v="6253.98"/>
    <n v="1.7676182025349641E-2"/>
    <n v="5.6474614945807189E-2"/>
    <n v="3.5322222222222224"/>
    <n v="17.884354714175412"/>
    <n v="2024"/>
    <x v="4"/>
    <n v="12"/>
  </r>
  <r>
    <s v="CAMP1718"/>
    <x v="3"/>
    <x v="3"/>
    <d v="2024-12-30T00:00:00"/>
    <n v="105346"/>
    <n v="4047"/>
    <n v="309"/>
    <n v="1213.8399999999999"/>
    <n v="11538.37"/>
    <n v="3.8416266398344501E-2"/>
    <n v="7.6352853965900663E-2"/>
    <n v="3.9282847896440125"/>
    <n v="9.505676201146775"/>
    <n v="2024"/>
    <x v="4"/>
    <n v="12"/>
  </r>
  <r>
    <s v="CAMP1719"/>
    <x v="2"/>
    <x v="4"/>
    <d v="2024-10-11T00:00:00"/>
    <n v="105819"/>
    <n v="7304"/>
    <n v="488"/>
    <n v="2202.73"/>
    <n v="23837.38"/>
    <n v="6.9023521295797544E-2"/>
    <n v="6.6812705366922229E-2"/>
    <n v="4.5137909836065573"/>
    <n v="10.821743926854404"/>
    <n v="2024"/>
    <x v="3"/>
    <n v="10"/>
  </r>
  <r>
    <s v="CAMP1720"/>
    <x v="2"/>
    <x v="4"/>
    <d v="2024-01-06T00:00:00"/>
    <n v="23807"/>
    <n v="1318"/>
    <n v="51"/>
    <n v="4447.47"/>
    <n v="4375.43"/>
    <n v="5.5361868358045956E-2"/>
    <n v="3.8694992412746584E-2"/>
    <n v="87.205294117647057"/>
    <n v="0.98380202677027617"/>
    <n v="2024"/>
    <x v="0"/>
    <n v="1"/>
  </r>
  <r>
    <s v="CAMP1721"/>
    <x v="2"/>
    <x v="0"/>
    <d v="2024-03-11T00:00:00"/>
    <n v="114014"/>
    <n v="8005"/>
    <n v="1090"/>
    <n v="3537.87"/>
    <n v="123203.9"/>
    <n v="7.021067588190924E-2"/>
    <n v="0.13616489693941286"/>
    <n v="3.2457522935779815"/>
    <n v="34.824315195301125"/>
    <n v="2024"/>
    <x v="6"/>
    <n v="3"/>
  </r>
  <r>
    <s v="CAMP1722"/>
    <x v="2"/>
    <x v="2"/>
    <d v="2024-09-17T00:00:00"/>
    <n v="116181"/>
    <n v="5651"/>
    <n v="443"/>
    <n v="1905.47"/>
    <n v="17090.54"/>
    <n v="4.8639622657749543E-2"/>
    <n v="7.8393204742523453E-2"/>
    <n v="4.3012866817155757"/>
    <n v="8.9691992001973269"/>
    <n v="2024"/>
    <x v="11"/>
    <n v="9"/>
  </r>
  <r>
    <s v="CAMP1723"/>
    <x v="4"/>
    <x v="1"/>
    <d v="2024-09-12T00:00:00"/>
    <n v="67062"/>
    <n v="4013"/>
    <n v="220"/>
    <n v="4647.51"/>
    <n v="17079.75"/>
    <n v="5.9840147922817694E-2"/>
    <n v="5.4821829055569399E-2"/>
    <n v="21.125045454545454"/>
    <n v="3.6750324367241811"/>
    <n v="2024"/>
    <x v="11"/>
    <n v="9"/>
  </r>
  <r>
    <s v="CAMP1724"/>
    <x v="4"/>
    <x v="0"/>
    <d v="2024-10-17T00:00:00"/>
    <n v="131685"/>
    <n v="7814"/>
    <n v="271"/>
    <n v="2511.36"/>
    <n v="24132.48"/>
    <n v="5.9338573110073282E-2"/>
    <n v="3.4681341182492963E-2"/>
    <n v="9.2670110701107014"/>
    <n v="9.6093272171253812"/>
    <n v="2024"/>
    <x v="3"/>
    <n v="10"/>
  </r>
  <r>
    <s v="CAMP1725"/>
    <x v="2"/>
    <x v="1"/>
    <d v="2025-01-19T00:00:00"/>
    <n v="78248"/>
    <n v="3329"/>
    <n v="100"/>
    <n v="4471.59"/>
    <n v="2884.46"/>
    <n v="4.2544218382578471E-2"/>
    <n v="3.0039050765995796E-2"/>
    <n v="44.715900000000005"/>
    <n v="0.64506361271941304"/>
    <n v="2025"/>
    <x v="0"/>
    <n v="1"/>
  </r>
  <r>
    <s v="CAMP1726"/>
    <x v="6"/>
    <x v="0"/>
    <d v="2024-12-16T00:00:00"/>
    <n v="146347"/>
    <n v="9639"/>
    <n v="584"/>
    <n v="453.32"/>
    <n v="31743.1"/>
    <n v="6.5864008145025174E-2"/>
    <n v="6.0587197842099802E-2"/>
    <n v="0.77623287671232877"/>
    <n v="70.023603635401045"/>
    <n v="2024"/>
    <x v="4"/>
    <n v="12"/>
  </r>
  <r>
    <s v="CAMP1727"/>
    <x v="4"/>
    <x v="2"/>
    <d v="2024-08-20T00:00:00"/>
    <n v="139391"/>
    <n v="10234"/>
    <n v="968"/>
    <n v="1791.27"/>
    <n v="53522.13"/>
    <n v="7.3419374278109781E-2"/>
    <n v="9.4586671878053544E-2"/>
    <n v="1.8504855371900826"/>
    <n v="29.879431911437134"/>
    <n v="2024"/>
    <x v="1"/>
    <n v="8"/>
  </r>
  <r>
    <s v="CAMP1728"/>
    <x v="5"/>
    <x v="3"/>
    <d v="2024-03-26T00:00:00"/>
    <n v="14260"/>
    <n v="836"/>
    <n v="81"/>
    <n v="1659.54"/>
    <n v="7978.67"/>
    <n v="5.8625525946704067E-2"/>
    <n v="9.6889952153110054E-2"/>
    <n v="20.488148148148149"/>
    <n v="4.807759981681671"/>
    <n v="2024"/>
    <x v="6"/>
    <n v="3"/>
  </r>
  <r>
    <s v="CAMP1729"/>
    <x v="5"/>
    <x v="0"/>
    <d v="2024-11-18T00:00:00"/>
    <n v="129036"/>
    <n v="6512"/>
    <n v="615"/>
    <n v="3350.34"/>
    <n v="30242.82"/>
    <n v="5.0466536470442358E-2"/>
    <n v="9.4441031941031942E-2"/>
    <n v="5.4477073170731707"/>
    <n v="9.0267913107326407"/>
    <n v="2024"/>
    <x v="5"/>
    <n v="11"/>
  </r>
  <r>
    <s v="CAMP1730"/>
    <x v="4"/>
    <x v="3"/>
    <d v="2024-09-05T00:00:00"/>
    <n v="26629"/>
    <n v="502"/>
    <n v="15"/>
    <n v="3962.06"/>
    <n v="678.08"/>
    <n v="1.8851627924443275E-2"/>
    <n v="2.9880478087649404E-2"/>
    <n v="264.13733333333334"/>
    <n v="0.17114329414496501"/>
    <n v="2024"/>
    <x v="11"/>
    <n v="9"/>
  </r>
  <r>
    <s v="CAMP1731"/>
    <x v="5"/>
    <x v="3"/>
    <d v="2024-05-11T00:00:00"/>
    <n v="8723"/>
    <n v="539"/>
    <n v="53"/>
    <n v="4568.63"/>
    <n v="4976.53"/>
    <n v="6.1790668348045398E-2"/>
    <n v="9.8330241187384038E-2"/>
    <n v="86.200566037735854"/>
    <n v="1.0892827828035976"/>
    <n v="2024"/>
    <x v="8"/>
    <n v="5"/>
  </r>
  <r>
    <s v="CAMP1732"/>
    <x v="6"/>
    <x v="3"/>
    <d v="2025-02-17T00:00:00"/>
    <n v="50979"/>
    <n v="1442"/>
    <n v="160"/>
    <n v="2527.61"/>
    <n v="15989.95"/>
    <n v="2.8286157045057769E-2"/>
    <n v="0.11095700416088766"/>
    <n v="15.797562500000002"/>
    <n v="6.3261143926476002"/>
    <n v="2025"/>
    <x v="9"/>
    <n v="2"/>
  </r>
  <r>
    <s v="CAMP1733"/>
    <x v="4"/>
    <x v="3"/>
    <d v="2024-02-13T00:00:00"/>
    <n v="43029"/>
    <n v="2224"/>
    <n v="282"/>
    <n v="4220.55"/>
    <n v="26867.87"/>
    <n v="5.168607218387599E-2"/>
    <n v="0.12679856115107913"/>
    <n v="14.966489361702129"/>
    <n v="6.3659641515916165"/>
    <n v="2024"/>
    <x v="9"/>
    <n v="2"/>
  </r>
  <r>
    <s v="CAMP1734"/>
    <x v="3"/>
    <x v="2"/>
    <d v="2024-05-01T00:00:00"/>
    <n v="120391"/>
    <n v="7322"/>
    <n v="305"/>
    <n v="2973.24"/>
    <n v="31775.91"/>
    <n v="6.0818499721739999E-2"/>
    <n v="4.1655285441136301E-2"/>
    <n v="9.7483278688524582"/>
    <n v="10.687300722444203"/>
    <n v="2024"/>
    <x v="8"/>
    <n v="5"/>
  </r>
  <r>
    <s v="CAMP1735"/>
    <x v="4"/>
    <x v="3"/>
    <d v="2025-01-21T00:00:00"/>
    <n v="35407"/>
    <n v="484"/>
    <n v="38"/>
    <n v="2485.91"/>
    <n v="2569.81"/>
    <n v="1.3669613353291721E-2"/>
    <n v="7.8512396694214878E-2"/>
    <n v="65.418684210526308"/>
    <n v="1.0337502162186081"/>
    <n v="2025"/>
    <x v="0"/>
    <n v="1"/>
  </r>
  <r>
    <s v="CAMP1736"/>
    <x v="1"/>
    <x v="2"/>
    <d v="2024-12-15T00:00:00"/>
    <n v="107254"/>
    <n v="4635"/>
    <n v="180"/>
    <n v="4377.33"/>
    <n v="3813.53"/>
    <n v="4.321517146213661E-2"/>
    <n v="3.8834951456310676E-2"/>
    <n v="24.3185"/>
    <n v="0.87120002375877537"/>
    <n v="2024"/>
    <x v="4"/>
    <n v="12"/>
  </r>
  <r>
    <s v="CAMP1737"/>
    <x v="6"/>
    <x v="2"/>
    <d v="2024-12-13T00:00:00"/>
    <n v="87755"/>
    <n v="6785"/>
    <n v="738"/>
    <n v="396.88"/>
    <n v="82487.16"/>
    <n v="7.7317531764571817E-2"/>
    <n v="0.10876934414148857"/>
    <n v="0.5377777777777778"/>
    <n v="207.83904454747028"/>
    <n v="2024"/>
    <x v="4"/>
    <n v="12"/>
  </r>
  <r>
    <s v="CAMP1738"/>
    <x v="7"/>
    <x v="2"/>
    <d v="2024-11-08T00:00:00"/>
    <n v="76457"/>
    <n v="2557"/>
    <n v="139"/>
    <n v="671.73"/>
    <n v="11875.37"/>
    <n v="3.34436349843703E-2"/>
    <n v="5.4360578803285098E-2"/>
    <n v="4.8325899280575539"/>
    <n v="17.678784630729609"/>
    <n v="2024"/>
    <x v="5"/>
    <n v="11"/>
  </r>
  <r>
    <s v="CAMP1739"/>
    <x v="3"/>
    <x v="2"/>
    <d v="2025-01-30T00:00:00"/>
    <n v="68385"/>
    <n v="4198"/>
    <n v="405"/>
    <n v="1135.6400000000001"/>
    <n v="21764.97"/>
    <n v="6.1387731227608391E-2"/>
    <n v="9.6474511672224872E-2"/>
    <n v="2.8040493827160495"/>
    <n v="19.165378112782218"/>
    <n v="2025"/>
    <x v="0"/>
    <n v="1"/>
  </r>
  <r>
    <s v="CAMP1740"/>
    <x v="2"/>
    <x v="3"/>
    <d v="2024-10-07T00:00:00"/>
    <n v="7772"/>
    <n v="443"/>
    <n v="56"/>
    <n v="257.41000000000003"/>
    <n v="1667.11"/>
    <n v="5.6999485331960885E-2"/>
    <n v="0.12641083521444696"/>
    <n v="4.5966071428571436"/>
    <n v="6.4764772153373986"/>
    <n v="2024"/>
    <x v="3"/>
    <n v="10"/>
  </r>
  <r>
    <s v="CAMP1741"/>
    <x v="0"/>
    <x v="2"/>
    <d v="2024-06-28T00:00:00"/>
    <n v="62518"/>
    <n v="3799"/>
    <n v="200"/>
    <n v="363.4"/>
    <n v="16387.939999999999"/>
    <n v="6.0766499248216511E-2"/>
    <n v="5.2645433008686494E-2"/>
    <n v="1.8169999999999999"/>
    <n v="45.096147495872316"/>
    <n v="2024"/>
    <x v="2"/>
    <n v="6"/>
  </r>
  <r>
    <s v="CAMP1742"/>
    <x v="4"/>
    <x v="1"/>
    <d v="2024-12-02T00:00:00"/>
    <n v="61839"/>
    <n v="4732"/>
    <n v="487"/>
    <n v="3598.76"/>
    <n v="15582.89"/>
    <n v="7.6521289154093688E-2"/>
    <n v="0.10291631445477599"/>
    <n v="7.3896509240246413"/>
    <n v="4.3300720248085449"/>
    <n v="2024"/>
    <x v="4"/>
    <n v="12"/>
  </r>
  <r>
    <s v="CAMP1743"/>
    <x v="2"/>
    <x v="2"/>
    <d v="2024-12-02T00:00:00"/>
    <n v="53435"/>
    <n v="3885"/>
    <n v="429"/>
    <n v="1416.01"/>
    <n v="28612.39"/>
    <n v="7.2705155796762427E-2"/>
    <n v="0.11042471042471043"/>
    <n v="3.3007226107226106"/>
    <n v="20.206347412800756"/>
    <n v="2024"/>
    <x v="4"/>
    <n v="12"/>
  </r>
  <r>
    <s v="CAMP1744"/>
    <x v="0"/>
    <x v="2"/>
    <d v="2024-05-21T00:00:00"/>
    <n v="116931"/>
    <n v="6835"/>
    <n v="729"/>
    <n v="3896.57"/>
    <n v="33339.839999999997"/>
    <n v="5.8453275863543458E-2"/>
    <n v="0.10665691294806146"/>
    <n v="5.3450891632373114"/>
    <n v="8.5562019930348985"/>
    <n v="2024"/>
    <x v="8"/>
    <n v="5"/>
  </r>
  <r>
    <s v="CAMP1745"/>
    <x v="0"/>
    <x v="3"/>
    <d v="2025-02-01T00:00:00"/>
    <n v="21354"/>
    <n v="785"/>
    <n v="49"/>
    <n v="488.28"/>
    <n v="5662.47"/>
    <n v="3.676126252692704E-2"/>
    <n v="6.2420382165605096E-2"/>
    <n v="9.9648979591836735"/>
    <n v="11.596768247726715"/>
    <n v="2025"/>
    <x v="9"/>
    <n v="2"/>
  </r>
  <r>
    <s v="CAMP1746"/>
    <x v="5"/>
    <x v="4"/>
    <d v="2024-08-13T00:00:00"/>
    <n v="23192"/>
    <n v="1030"/>
    <n v="144"/>
    <n v="3129.45"/>
    <n v="5449.57"/>
    <n v="4.4411866160745085E-2"/>
    <n v="0.13980582524271845"/>
    <n v="21.732291666666665"/>
    <n v="1.7413826710763873"/>
    <n v="2024"/>
    <x v="1"/>
    <n v="8"/>
  </r>
  <r>
    <s v="CAMP1747"/>
    <x v="6"/>
    <x v="0"/>
    <d v="2024-03-14T00:00:00"/>
    <n v="146723"/>
    <n v="9362"/>
    <n v="453"/>
    <n v="3288.02"/>
    <n v="50401.2"/>
    <n v="6.380731037397E-2"/>
    <n v="4.8387096774193547E-2"/>
    <n v="7.2583222958057396"/>
    <n v="15.328738876284207"/>
    <n v="2024"/>
    <x v="6"/>
    <n v="3"/>
  </r>
  <r>
    <s v="CAMP1748"/>
    <x v="5"/>
    <x v="0"/>
    <d v="2024-01-18T00:00:00"/>
    <n v="24115"/>
    <n v="360"/>
    <n v="41"/>
    <n v="3930.74"/>
    <n v="896.94"/>
    <n v="1.4928467758656437E-2"/>
    <n v="0.11388888888888889"/>
    <n v="95.87170731707316"/>
    <n v="0.22818604130519957"/>
    <n v="2024"/>
    <x v="0"/>
    <n v="1"/>
  </r>
  <r>
    <s v="CAMP1749"/>
    <x v="6"/>
    <x v="4"/>
    <d v="2024-11-30T00:00:00"/>
    <n v="5227"/>
    <n v="393"/>
    <n v="41"/>
    <n v="1478.9"/>
    <n v="3690.23"/>
    <n v="7.5186531471207199E-2"/>
    <n v="0.10432569974554708"/>
    <n v="36.070731707317073"/>
    <n v="2.4952532287510985"/>
    <n v="2024"/>
    <x v="5"/>
    <n v="11"/>
  </r>
  <r>
    <s v="CAMP1750"/>
    <x v="3"/>
    <x v="1"/>
    <d v="2024-01-02T00:00:00"/>
    <n v="140104"/>
    <n v="8340"/>
    <n v="1002"/>
    <n v="2495.0700000000002"/>
    <n v="60512.06"/>
    <n v="5.9527208359504369E-2"/>
    <n v="0.12014388489208633"/>
    <n v="2.4900898203592816"/>
    <n v="24.252650226246153"/>
    <n v="2024"/>
    <x v="0"/>
    <n v="1"/>
  </r>
  <r>
    <s v="CAMP1751"/>
    <x v="0"/>
    <x v="1"/>
    <d v="2024-04-25T00:00:00"/>
    <n v="5867"/>
    <n v="216"/>
    <n v="23"/>
    <n v="3943.18"/>
    <n v="738.77"/>
    <n v="3.6816089994886655E-2"/>
    <n v="0.10648148148148148"/>
    <n v="171.44260869565215"/>
    <n v="0.18735386160408604"/>
    <n v="2024"/>
    <x v="7"/>
    <n v="4"/>
  </r>
  <r>
    <s v="CAMP1752"/>
    <x v="7"/>
    <x v="3"/>
    <d v="2024-12-15T00:00:00"/>
    <n v="84384"/>
    <n v="3210"/>
    <n v="328"/>
    <n v="4802.3500000000004"/>
    <n v="9533.8799999999992"/>
    <n v="3.8040386803185437E-2"/>
    <n v="0.10218068535825545"/>
    <n v="14.641310975609757"/>
    <n v="1.9852530531927075"/>
    <n v="2024"/>
    <x v="4"/>
    <n v="12"/>
  </r>
  <r>
    <s v="CAMP1753"/>
    <x v="7"/>
    <x v="0"/>
    <d v="2024-08-23T00:00:00"/>
    <n v="81010"/>
    <n v="4483"/>
    <n v="192"/>
    <n v="388.79"/>
    <n v="11215.94"/>
    <n v="5.5338847055919023E-2"/>
    <n v="4.2828463082757083E-2"/>
    <n v="2.0249479166666666"/>
    <n v="28.848324288176137"/>
    <n v="2024"/>
    <x v="1"/>
    <n v="8"/>
  </r>
  <r>
    <s v="CAMP1754"/>
    <x v="1"/>
    <x v="3"/>
    <d v="2024-12-22T00:00:00"/>
    <n v="107263"/>
    <n v="7803"/>
    <n v="795"/>
    <n v="1924.45"/>
    <n v="22646.57"/>
    <n v="7.2746427006516692E-2"/>
    <n v="0.10188389081122645"/>
    <n v="2.4206918238993711"/>
    <n v="11.767814180674998"/>
    <n v="2024"/>
    <x v="4"/>
    <n v="12"/>
  </r>
  <r>
    <s v="CAMP1755"/>
    <x v="6"/>
    <x v="4"/>
    <d v="2024-03-12T00:00:00"/>
    <n v="14358"/>
    <n v="337"/>
    <n v="38"/>
    <n v="3046.14"/>
    <n v="2619.08"/>
    <n v="2.3471235548126482E-2"/>
    <n v="0.11275964391691394"/>
    <n v="80.161578947368412"/>
    <n v="0.85980289809398125"/>
    <n v="2024"/>
    <x v="6"/>
    <n v="3"/>
  </r>
  <r>
    <s v="CAMP1756"/>
    <x v="0"/>
    <x v="1"/>
    <d v="2024-11-25T00:00:00"/>
    <n v="85669"/>
    <n v="3853"/>
    <n v="560"/>
    <n v="4096.53"/>
    <n v="65328.15"/>
    <n v="4.4975428684821815E-2"/>
    <n v="0.14534129249935115"/>
    <n v="7.3152321428571421"/>
    <n v="15.947191891674175"/>
    <n v="2024"/>
    <x v="5"/>
    <n v="11"/>
  </r>
  <r>
    <s v="CAMP1757"/>
    <x v="4"/>
    <x v="0"/>
    <d v="2024-06-22T00:00:00"/>
    <n v="19694"/>
    <n v="662"/>
    <n v="75"/>
    <n v="2146.44"/>
    <n v="3087.59"/>
    <n v="3.3614298771199348E-2"/>
    <n v="0.11329305135951662"/>
    <n v="28.619199999999999"/>
    <n v="1.4384702111403067"/>
    <n v="2024"/>
    <x v="2"/>
    <n v="6"/>
  </r>
  <r>
    <s v="CAMP1758"/>
    <x v="6"/>
    <x v="1"/>
    <d v="2024-03-17T00:00:00"/>
    <n v="66075"/>
    <n v="4938"/>
    <n v="122"/>
    <n v="879.63"/>
    <n v="10416.74"/>
    <n v="7.4733257661748015E-2"/>
    <n v="2.4706358849736737E-2"/>
    <n v="7.2100819672131147"/>
    <n v="11.842183645396359"/>
    <n v="2024"/>
    <x v="6"/>
    <n v="3"/>
  </r>
  <r>
    <s v="CAMP1759"/>
    <x v="6"/>
    <x v="1"/>
    <d v="2024-01-24T00:00:00"/>
    <n v="68617"/>
    <n v="4054"/>
    <n v="149"/>
    <n v="1026.8"/>
    <n v="3724.37"/>
    <n v="5.9081568707463165E-2"/>
    <n v="3.6753823384311789E-2"/>
    <n v="6.8912751677852349"/>
    <n v="3.6271620568757306"/>
    <n v="2024"/>
    <x v="0"/>
    <n v="1"/>
  </r>
  <r>
    <s v="CAMP1760"/>
    <x v="5"/>
    <x v="0"/>
    <d v="2024-08-21T00:00:00"/>
    <n v="49745"/>
    <n v="3406"/>
    <n v="96"/>
    <n v="4123.8599999999997"/>
    <n v="3016.12"/>
    <n v="6.8469192883706911E-2"/>
    <n v="2.8185554903112156E-2"/>
    <n v="42.956874999999997"/>
    <n v="0.73138273365245188"/>
    <n v="2024"/>
    <x v="1"/>
    <n v="8"/>
  </r>
  <r>
    <s v="CAMP1761"/>
    <x v="1"/>
    <x v="0"/>
    <d v="2025-02-15T00:00:00"/>
    <n v="58121"/>
    <n v="2315"/>
    <n v="290"/>
    <n v="4914.53"/>
    <n v="25473.54"/>
    <n v="3.9830698026530859E-2"/>
    <n v="0.12526997840172785"/>
    <n v="16.946655172413791"/>
    <n v="5.1833115272467563"/>
    <n v="2025"/>
    <x v="9"/>
    <n v="2"/>
  </r>
  <r>
    <s v="CAMP1762"/>
    <x v="7"/>
    <x v="0"/>
    <d v="2024-12-16T00:00:00"/>
    <n v="148100"/>
    <n v="2904"/>
    <n v="373"/>
    <n v="4006.89"/>
    <n v="35965.699999999997"/>
    <n v="1.960837272113437E-2"/>
    <n v="0.12844352617079891"/>
    <n v="10.742332439678284"/>
    <n v="8.9759639021784974"/>
    <n v="2024"/>
    <x v="4"/>
    <n v="12"/>
  </r>
  <r>
    <s v="CAMP1763"/>
    <x v="2"/>
    <x v="3"/>
    <d v="2024-02-02T00:00:00"/>
    <n v="36652"/>
    <n v="1069"/>
    <n v="126"/>
    <n v="1006.64"/>
    <n v="7181.08"/>
    <n v="2.9166211939321184E-2"/>
    <n v="0.11786716557530402"/>
    <n v="7.9892063492063494"/>
    <n v="7.133712151315267"/>
    <n v="2024"/>
    <x v="9"/>
    <n v="2"/>
  </r>
  <r>
    <s v="CAMP1764"/>
    <x v="2"/>
    <x v="2"/>
    <d v="2024-05-04T00:00:00"/>
    <n v="15668"/>
    <n v="302"/>
    <n v="37"/>
    <n v="3234.53"/>
    <n v="2131.6799999999998"/>
    <n v="1.9274955322951239E-2"/>
    <n v="0.12251655629139073"/>
    <n v="87.419729729729738"/>
    <n v="0.65903856201673805"/>
    <n v="2024"/>
    <x v="8"/>
    <n v="5"/>
  </r>
  <r>
    <s v="CAMP1765"/>
    <x v="2"/>
    <x v="0"/>
    <d v="2024-09-06T00:00:00"/>
    <n v="26160"/>
    <n v="273"/>
    <n v="11"/>
    <n v="627.88"/>
    <n v="936.93"/>
    <n v="1.0435779816513762E-2"/>
    <n v="4.0293040293040296E-2"/>
    <n v="57.08"/>
    <n v="1.4922118876218384"/>
    <n v="2024"/>
    <x v="11"/>
    <n v="9"/>
  </r>
  <r>
    <s v="CAMP1766"/>
    <x v="5"/>
    <x v="2"/>
    <d v="2024-12-21T00:00:00"/>
    <n v="129783"/>
    <n v="7587"/>
    <n v="355"/>
    <n v="3271.16"/>
    <n v="25669.58"/>
    <n v="5.845912022375812E-2"/>
    <n v="4.6790562804797681E-2"/>
    <n v="9.2145352112676058"/>
    <n v="7.8472407341738108"/>
    <n v="2024"/>
    <x v="4"/>
    <n v="12"/>
  </r>
  <r>
    <s v="CAMP1767"/>
    <x v="3"/>
    <x v="4"/>
    <d v="2024-03-30T00:00:00"/>
    <n v="14862"/>
    <n v="768"/>
    <n v="86"/>
    <n v="3137.84"/>
    <n v="2476.98"/>
    <n v="5.1675413807024624E-2"/>
    <n v="0.11197916666666667"/>
    <n v="36.486511627906978"/>
    <n v="0.78939015373632815"/>
    <n v="2024"/>
    <x v="6"/>
    <n v="3"/>
  </r>
  <r>
    <s v="CAMP1768"/>
    <x v="5"/>
    <x v="3"/>
    <d v="2024-08-02T00:00:00"/>
    <n v="6198"/>
    <n v="303"/>
    <n v="13"/>
    <n v="4935.7"/>
    <n v="1529.83"/>
    <n v="4.8886737657308811E-2"/>
    <n v="4.2904290429042903E-2"/>
    <n v="379.66923076923075"/>
    <n v="0.3099519824948842"/>
    <n v="2024"/>
    <x v="1"/>
    <n v="8"/>
  </r>
  <r>
    <s v="CAMP1769"/>
    <x v="7"/>
    <x v="1"/>
    <d v="2024-09-16T00:00:00"/>
    <n v="62481"/>
    <n v="2655"/>
    <n v="269"/>
    <n v="1198.92"/>
    <n v="6807.56"/>
    <n v="4.2492917847025496E-2"/>
    <n v="0.10131826741996233"/>
    <n v="4.4569516728624539"/>
    <n v="5.6780769359089849"/>
    <n v="2024"/>
    <x v="11"/>
    <n v="9"/>
  </r>
  <r>
    <s v="CAMP1770"/>
    <x v="0"/>
    <x v="4"/>
    <d v="2024-12-16T00:00:00"/>
    <n v="129364"/>
    <n v="5798"/>
    <n v="236"/>
    <n v="4628.83"/>
    <n v="5995.05"/>
    <n v="4.4819269657710027E-2"/>
    <n v="4.0703690927906176E-2"/>
    <n v="19.613686440677967"/>
    <n v="1.2951544990850821"/>
    <n v="2024"/>
    <x v="4"/>
    <n v="12"/>
  </r>
  <r>
    <s v="CAMP1771"/>
    <x v="7"/>
    <x v="3"/>
    <d v="2024-04-17T00:00:00"/>
    <n v="118946"/>
    <n v="3282"/>
    <n v="328"/>
    <n v="4472.38"/>
    <n v="21423.24"/>
    <n v="2.7592352832377716E-2"/>
    <n v="9.9939061547836688E-2"/>
    <n v="13.63530487804878"/>
    <n v="4.7901206963630107"/>
    <n v="2024"/>
    <x v="7"/>
    <n v="4"/>
  </r>
  <r>
    <s v="CAMP1772"/>
    <x v="0"/>
    <x v="0"/>
    <d v="2024-10-02T00:00:00"/>
    <n v="51107"/>
    <n v="1076"/>
    <n v="25"/>
    <n v="2671.54"/>
    <n v="677.15"/>
    <n v="2.1053867376288962E-2"/>
    <n v="2.3234200743494422E-2"/>
    <n v="106.8616"/>
    <n v="0.25346803716208627"/>
    <n v="2024"/>
    <x v="3"/>
    <n v="10"/>
  </r>
  <r>
    <s v="CAMP1773"/>
    <x v="1"/>
    <x v="2"/>
    <d v="2024-10-30T00:00:00"/>
    <n v="90451"/>
    <n v="3557"/>
    <n v="416"/>
    <n v="4512.1899999999996"/>
    <n v="17890.63"/>
    <n v="3.9325159478612731E-2"/>
    <n v="0.11695248805172899"/>
    <n v="10.846610576923077"/>
    <n v="3.9649549331920868"/>
    <n v="2024"/>
    <x v="3"/>
    <n v="10"/>
  </r>
  <r>
    <s v="CAMP1774"/>
    <x v="0"/>
    <x v="3"/>
    <d v="2024-04-26T00:00:00"/>
    <n v="30706"/>
    <n v="816"/>
    <n v="60"/>
    <n v="1159.79"/>
    <n v="6548.19"/>
    <n v="2.6574610825245881E-2"/>
    <n v="7.3529411764705885E-2"/>
    <n v="19.329833333333333"/>
    <n v="5.6460135024444078"/>
    <n v="2024"/>
    <x v="7"/>
    <n v="4"/>
  </r>
  <r>
    <s v="CAMP1775"/>
    <x v="0"/>
    <x v="2"/>
    <d v="2024-10-26T00:00:00"/>
    <n v="131984"/>
    <n v="1821"/>
    <n v="139"/>
    <n v="1237.5899999999999"/>
    <n v="11251.13"/>
    <n v="1.3797126924475694E-2"/>
    <n v="7.6331685886875347E-2"/>
    <n v="8.9035251798561141"/>
    <n v="9.0911610468733581"/>
    <n v="2024"/>
    <x v="3"/>
    <n v="10"/>
  </r>
  <r>
    <s v="CAMP1776"/>
    <x v="2"/>
    <x v="2"/>
    <d v="2024-07-10T00:00:00"/>
    <n v="40757"/>
    <n v="1713"/>
    <n v="77"/>
    <n v="1921.23"/>
    <n v="3616.65"/>
    <n v="4.2029590009078195E-2"/>
    <n v="4.4950379451255108E-2"/>
    <n v="24.951038961038961"/>
    <n v="1.8824659202698271"/>
    <n v="2024"/>
    <x v="10"/>
    <n v="7"/>
  </r>
  <r>
    <s v="CAMP1777"/>
    <x v="7"/>
    <x v="4"/>
    <d v="2024-01-17T00:00:00"/>
    <n v="20637"/>
    <n v="611"/>
    <n v="21"/>
    <n v="2434.56"/>
    <n v="1298.27"/>
    <n v="2.9607016523719533E-2"/>
    <n v="3.4369885433715219E-2"/>
    <n v="115.93142857142857"/>
    <n v="0.53326679153522605"/>
    <n v="2024"/>
    <x v="0"/>
    <n v="1"/>
  </r>
  <r>
    <s v="CAMP1778"/>
    <x v="7"/>
    <x v="4"/>
    <d v="2024-05-31T00:00:00"/>
    <n v="46101"/>
    <n v="3008"/>
    <n v="309"/>
    <n v="3135.33"/>
    <n v="11431.01"/>
    <n v="6.5248042341814708E-2"/>
    <n v="0.10272606382978723"/>
    <n v="10.146699029126214"/>
    <n v="3.6458714074754495"/>
    <n v="2024"/>
    <x v="8"/>
    <n v="5"/>
  </r>
  <r>
    <s v="CAMP1779"/>
    <x v="1"/>
    <x v="0"/>
    <d v="2024-07-29T00:00:00"/>
    <n v="141778"/>
    <n v="6272"/>
    <n v="937"/>
    <n v="3039.59"/>
    <n v="97165.87"/>
    <n v="4.4238175175274022E-2"/>
    <n v="0.14939413265306123"/>
    <n v="3.2439594450373535"/>
    <n v="31.966768544441845"/>
    <n v="2024"/>
    <x v="10"/>
    <n v="7"/>
  </r>
  <r>
    <s v="CAMP1780"/>
    <x v="5"/>
    <x v="0"/>
    <d v="2025-01-08T00:00:00"/>
    <n v="117226"/>
    <n v="7213"/>
    <n v="375"/>
    <n v="1771.02"/>
    <n v="29230.01"/>
    <n v="6.1530718441301417E-2"/>
    <n v="5.1989463468737E-2"/>
    <n v="4.7227199999999998"/>
    <n v="16.504618807241023"/>
    <n v="2025"/>
    <x v="0"/>
    <n v="1"/>
  </r>
  <r>
    <s v="CAMP1781"/>
    <x v="2"/>
    <x v="1"/>
    <d v="2024-01-03T00:00:00"/>
    <n v="114516"/>
    <n v="9002"/>
    <n v="226"/>
    <n v="2459.13"/>
    <n v="21890.5"/>
    <n v="7.8609102658143845E-2"/>
    <n v="2.5105532103976893E-2"/>
    <n v="10.881106194690267"/>
    <n v="8.9017254069528651"/>
    <n v="2024"/>
    <x v="0"/>
    <n v="1"/>
  </r>
  <r>
    <s v="CAMP1782"/>
    <x v="4"/>
    <x v="2"/>
    <d v="2024-09-28T00:00:00"/>
    <n v="108368"/>
    <n v="4719"/>
    <n v="583"/>
    <n v="4142.2"/>
    <n v="38037.33"/>
    <n v="4.3546065259117084E-2"/>
    <n v="0.12354312354312354"/>
    <n v="7.104974271012007"/>
    <n v="9.1828810776881866"/>
    <n v="2024"/>
    <x v="11"/>
    <n v="9"/>
  </r>
  <r>
    <s v="CAMP1783"/>
    <x v="1"/>
    <x v="0"/>
    <d v="2024-10-12T00:00:00"/>
    <n v="8256"/>
    <n v="483"/>
    <n v="35"/>
    <n v="1246.43"/>
    <n v="1954.42"/>
    <n v="5.8502906976744186E-2"/>
    <n v="7.2463768115942032E-2"/>
    <n v="35.612285714285719"/>
    <n v="1.5680142486942708"/>
    <n v="2024"/>
    <x v="3"/>
    <n v="10"/>
  </r>
  <r>
    <s v="CAMP1784"/>
    <x v="1"/>
    <x v="0"/>
    <d v="2024-01-09T00:00:00"/>
    <n v="130772"/>
    <n v="7432"/>
    <n v="304"/>
    <n v="2404.56"/>
    <n v="23419.58"/>
    <n v="5.6831737680849113E-2"/>
    <n v="4.0904198062432721E-2"/>
    <n v="7.9097368421052634"/>
    <n v="9.7396529926473043"/>
    <n v="2024"/>
    <x v="0"/>
    <n v="1"/>
  </r>
  <r>
    <s v="CAMP1785"/>
    <x v="4"/>
    <x v="2"/>
    <d v="2024-08-25T00:00:00"/>
    <n v="41339"/>
    <n v="2943"/>
    <n v="213"/>
    <n v="3991.32"/>
    <n v="12149.96"/>
    <n v="7.119185272986768E-2"/>
    <n v="7.2375127420998983E-2"/>
    <n v="18.738591549295776"/>
    <n v="3.0440956876421832"/>
    <n v="2024"/>
    <x v="1"/>
    <n v="8"/>
  </r>
  <r>
    <s v="CAMP1786"/>
    <x v="6"/>
    <x v="0"/>
    <d v="2024-11-17T00:00:00"/>
    <n v="23533"/>
    <n v="869"/>
    <n v="95"/>
    <n v="2748.42"/>
    <n v="4717.6000000000004"/>
    <n v="3.692686865253049E-2"/>
    <n v="0.1093210586881473"/>
    <n v="28.930736842105265"/>
    <n v="1.716477103208389"/>
    <n v="2024"/>
    <x v="5"/>
    <n v="11"/>
  </r>
  <r>
    <s v="CAMP1787"/>
    <x v="5"/>
    <x v="1"/>
    <d v="2024-10-04T00:00:00"/>
    <n v="59302"/>
    <n v="3862"/>
    <n v="117"/>
    <n v="4428.07"/>
    <n v="10948.4"/>
    <n v="6.5124279113689246E-2"/>
    <n v="3.0295183842568619E-2"/>
    <n v="37.846752136752137"/>
    <n v="2.4724993055665334"/>
    <n v="2024"/>
    <x v="3"/>
    <n v="10"/>
  </r>
  <r>
    <s v="CAMP1788"/>
    <x v="4"/>
    <x v="1"/>
    <d v="2024-12-11T00:00:00"/>
    <n v="100417"/>
    <n v="7245"/>
    <n v="249"/>
    <n v="1954.84"/>
    <n v="20396.419999999998"/>
    <n v="7.21491380941474E-2"/>
    <n v="3.4368530020703933E-2"/>
    <n v="7.8507630522088352"/>
    <n v="10.433805324220907"/>
    <n v="2024"/>
    <x v="4"/>
    <n v="12"/>
  </r>
  <r>
    <s v="CAMP1789"/>
    <x v="7"/>
    <x v="3"/>
    <d v="2024-03-30T00:00:00"/>
    <n v="22565"/>
    <n v="1111"/>
    <n v="133"/>
    <n v="864.35"/>
    <n v="7114.56"/>
    <n v="4.923554176822513E-2"/>
    <n v="0.11971197119711971"/>
    <n v="6.4988721804511282"/>
    <n v="8.2311100827211199"/>
    <n v="2024"/>
    <x v="6"/>
    <n v="3"/>
  </r>
  <r>
    <s v="CAMP1790"/>
    <x v="0"/>
    <x v="2"/>
    <d v="2025-01-12T00:00:00"/>
    <n v="59996"/>
    <n v="3763"/>
    <n v="447"/>
    <n v="1738.23"/>
    <n v="49077.61"/>
    <n v="6.2720848056537104E-2"/>
    <n v="0.11878820090353441"/>
    <n v="3.8886577181208053"/>
    <n v="28.234244029846455"/>
    <n v="2025"/>
    <x v="0"/>
    <n v="1"/>
  </r>
  <r>
    <s v="CAMP1791"/>
    <x v="3"/>
    <x v="3"/>
    <d v="2024-01-28T00:00:00"/>
    <n v="21611"/>
    <n v="780"/>
    <n v="61"/>
    <n v="2606.96"/>
    <n v="6280.31"/>
    <n v="3.6092730553884594E-2"/>
    <n v="7.8205128205128205E-2"/>
    <n v="42.737049180327872"/>
    <n v="2.4090549912541812"/>
    <n v="2024"/>
    <x v="0"/>
    <n v="1"/>
  </r>
  <r>
    <s v="CAMP1792"/>
    <x v="6"/>
    <x v="1"/>
    <d v="2024-12-13T00:00:00"/>
    <n v="144684"/>
    <n v="10556"/>
    <n v="831"/>
    <n v="1967.1"/>
    <n v="72571.77"/>
    <n v="7.2959000304111024E-2"/>
    <n v="7.8723001136794243E-2"/>
    <n v="2.3671480144404331"/>
    <n v="36.892771084337355"/>
    <n v="2024"/>
    <x v="4"/>
    <n v="12"/>
  </r>
  <r>
    <s v="CAMP1793"/>
    <x v="0"/>
    <x v="4"/>
    <d v="2024-08-22T00:00:00"/>
    <n v="27887"/>
    <n v="435"/>
    <n v="59"/>
    <n v="1584.19"/>
    <n v="6824.1"/>
    <n v="1.5598666045110624E-2"/>
    <n v="0.13563218390804599"/>
    <n v="26.850677966101696"/>
    <n v="4.3076272416818693"/>
    <n v="2024"/>
    <x v="1"/>
    <n v="8"/>
  </r>
  <r>
    <s v="CAMP1794"/>
    <x v="0"/>
    <x v="4"/>
    <d v="2024-05-21T00:00:00"/>
    <n v="34366"/>
    <n v="2020"/>
    <n v="170"/>
    <n v="4399.97"/>
    <n v="12251.69"/>
    <n v="5.8779025781295464E-2"/>
    <n v="8.4158415841584164E-2"/>
    <n v="25.882176470588238"/>
    <n v="2.7844939851862627"/>
    <n v="2024"/>
    <x v="8"/>
    <n v="5"/>
  </r>
  <r>
    <s v="CAMP1795"/>
    <x v="4"/>
    <x v="3"/>
    <d v="2024-08-01T00:00:00"/>
    <n v="146933"/>
    <n v="11052"/>
    <n v="901"/>
    <n v="2216.62"/>
    <n v="84487.6"/>
    <n v="7.5217956483567341E-2"/>
    <n v="8.1523706116539987E-2"/>
    <n v="2.4601775804661488"/>
    <n v="38.1155091986899"/>
    <n v="2024"/>
    <x v="1"/>
    <n v="8"/>
  </r>
  <r>
    <s v="CAMP1796"/>
    <x v="4"/>
    <x v="3"/>
    <d v="2024-04-06T00:00:00"/>
    <n v="21501"/>
    <n v="248"/>
    <n v="30"/>
    <n v="4207.75"/>
    <n v="2158.86"/>
    <n v="1.1534347239663272E-2"/>
    <n v="0.12096774193548387"/>
    <n v="140.25833333333333"/>
    <n v="0.513067553918365"/>
    <n v="2024"/>
    <x v="7"/>
    <n v="4"/>
  </r>
  <r>
    <s v="CAMP1797"/>
    <x v="7"/>
    <x v="2"/>
    <d v="2024-10-23T00:00:00"/>
    <n v="94860"/>
    <n v="5302"/>
    <n v="648"/>
    <n v="2533.5100000000002"/>
    <n v="56107.43"/>
    <n v="5.589289479232553E-2"/>
    <n v="0.12221803093172388"/>
    <n v="3.9097376543209879"/>
    <n v="22.146125335996302"/>
    <n v="2024"/>
    <x v="3"/>
    <n v="10"/>
  </r>
  <r>
    <s v="CAMP1798"/>
    <x v="6"/>
    <x v="2"/>
    <d v="2024-06-04T00:00:00"/>
    <n v="39591"/>
    <n v="2885"/>
    <n v="172"/>
    <n v="3988.48"/>
    <n v="7340.65"/>
    <n v="7.2870096739157883E-2"/>
    <n v="5.9618717504332758E-2"/>
    <n v="23.188837209302324"/>
    <n v="1.8404630335365852"/>
    <n v="2024"/>
    <x v="2"/>
    <n v="6"/>
  </r>
  <r>
    <s v="CAMP1799"/>
    <x v="7"/>
    <x v="3"/>
    <d v="2025-01-29T00:00:00"/>
    <n v="17404"/>
    <n v="354"/>
    <n v="20"/>
    <n v="4789.83"/>
    <n v="1637.26"/>
    <n v="2.0340151689266835E-2"/>
    <n v="5.6497175141242938E-2"/>
    <n v="239.4915"/>
    <n v="0.34182006459519443"/>
    <n v="2025"/>
    <x v="0"/>
    <n v="1"/>
  </r>
  <r>
    <s v="CAMP1800"/>
    <x v="2"/>
    <x v="1"/>
    <d v="2024-05-26T00:00:00"/>
    <n v="52783"/>
    <n v="4123"/>
    <n v="532"/>
    <n v="3525.72"/>
    <n v="46090.14"/>
    <n v="7.8112270996343519E-2"/>
    <n v="0.12903225806451613"/>
    <n v="6.6272932330827068"/>
    <n v="13.072546884040706"/>
    <n v="2024"/>
    <x v="8"/>
    <n v="5"/>
  </r>
  <r>
    <s v="CAMP1801"/>
    <x v="2"/>
    <x v="4"/>
    <d v="2024-05-01T00:00:00"/>
    <n v="35649"/>
    <n v="459"/>
    <n v="28"/>
    <n v="807.07"/>
    <n v="1289.1400000000001"/>
    <n v="1.2875536480686695E-2"/>
    <n v="6.1002178649237473E-2"/>
    <n v="28.823928571428574"/>
    <n v="1.5973087836247166"/>
    <n v="2024"/>
    <x v="8"/>
    <n v="5"/>
  </r>
  <r>
    <s v="CAMP1802"/>
    <x v="2"/>
    <x v="4"/>
    <d v="2024-10-14T00:00:00"/>
    <n v="14093"/>
    <n v="797"/>
    <n v="117"/>
    <n v="910.13"/>
    <n v="7586.62"/>
    <n v="5.6552898602142909E-2"/>
    <n v="0.1468005018820577"/>
    <n v="7.778888888888889"/>
    <n v="8.335754232911782"/>
    <n v="2024"/>
    <x v="3"/>
    <n v="10"/>
  </r>
  <r>
    <s v="CAMP1803"/>
    <x v="2"/>
    <x v="1"/>
    <d v="2024-06-03T00:00:00"/>
    <n v="36847"/>
    <n v="2742"/>
    <n v="199"/>
    <n v="2597.1999999999998"/>
    <n v="6873.14"/>
    <n v="7.4415827611474472E-2"/>
    <n v="7.257476294675419E-2"/>
    <n v="13.051256281407035"/>
    <n v="2.6463653164946868"/>
    <n v="2024"/>
    <x v="2"/>
    <n v="6"/>
  </r>
  <r>
    <s v="CAMP1804"/>
    <x v="6"/>
    <x v="3"/>
    <d v="2024-03-20T00:00:00"/>
    <n v="6125"/>
    <n v="477"/>
    <n v="43"/>
    <n v="2635.56"/>
    <n v="3643.15"/>
    <n v="7.7877551020408164E-2"/>
    <n v="9.0146750524109018E-2"/>
    <n v="61.292093023255809"/>
    <n v="1.382305847713579"/>
    <n v="2024"/>
    <x v="6"/>
    <n v="3"/>
  </r>
  <r>
    <s v="CAMP1805"/>
    <x v="5"/>
    <x v="2"/>
    <d v="2024-05-28T00:00:00"/>
    <n v="43557"/>
    <n v="2873"/>
    <n v="329"/>
    <n v="4627"/>
    <n v="17722.72"/>
    <n v="6.5959547259912293E-2"/>
    <n v="0.11451444483118692"/>
    <n v="14.063829787234043"/>
    <n v="3.8302831208126218"/>
    <n v="2024"/>
    <x v="8"/>
    <n v="5"/>
  </r>
  <r>
    <s v="CAMP1806"/>
    <x v="0"/>
    <x v="2"/>
    <d v="2024-01-21T00:00:00"/>
    <n v="41548"/>
    <n v="2387"/>
    <n v="84"/>
    <n v="319.02"/>
    <n v="6867.18"/>
    <n v="5.7451622220082793E-2"/>
    <n v="3.519061583577713E-2"/>
    <n v="3.7978571428571426"/>
    <n v="21.52586044762084"/>
    <n v="2024"/>
    <x v="0"/>
    <n v="1"/>
  </r>
  <r>
    <s v="CAMP1807"/>
    <x v="1"/>
    <x v="2"/>
    <d v="2024-07-01T00:00:00"/>
    <n v="29243"/>
    <n v="960"/>
    <n v="95"/>
    <n v="1136.72"/>
    <n v="6901.12"/>
    <n v="3.2828369182368429E-2"/>
    <n v="9.8958333333333329E-2"/>
    <n v="11.965473684210526"/>
    <n v="6.071081708776128"/>
    <n v="2024"/>
    <x v="10"/>
    <n v="7"/>
  </r>
  <r>
    <s v="CAMP1808"/>
    <x v="5"/>
    <x v="4"/>
    <d v="2024-01-12T00:00:00"/>
    <n v="26912"/>
    <n v="1283"/>
    <n v="99"/>
    <n v="3423.48"/>
    <n v="2845.03"/>
    <n v="4.7673900118906064E-2"/>
    <n v="7.7162899454403744E-2"/>
    <n v="34.580606060606058"/>
    <n v="0.83103450290347836"/>
    <n v="2024"/>
    <x v="0"/>
    <n v="1"/>
  </r>
  <r>
    <s v="CAMP1809"/>
    <x v="3"/>
    <x v="4"/>
    <d v="2024-09-08T00:00:00"/>
    <n v="88298"/>
    <n v="4611"/>
    <n v="398"/>
    <n v="469.03"/>
    <n v="34497.300000000003"/>
    <n v="5.2220888355342138E-2"/>
    <n v="8.631533289958794E-2"/>
    <n v="1.1784673366834171"/>
    <n v="73.55030595057886"/>
    <n v="2024"/>
    <x v="11"/>
    <n v="9"/>
  </r>
  <r>
    <s v="CAMP1810"/>
    <x v="3"/>
    <x v="4"/>
    <d v="2025-01-01T00:00:00"/>
    <n v="117103"/>
    <n v="4200"/>
    <n v="287"/>
    <n v="1566.32"/>
    <n v="15823.89"/>
    <n v="3.5865861677326798E-2"/>
    <n v="6.8333333333333329E-2"/>
    <n v="5.4575609756097556"/>
    <n v="10.102590786046274"/>
    <n v="2025"/>
    <x v="0"/>
    <n v="1"/>
  </r>
  <r>
    <s v="CAMP1811"/>
    <x v="6"/>
    <x v="1"/>
    <d v="2024-02-14T00:00:00"/>
    <n v="61543"/>
    <n v="3751"/>
    <n v="291"/>
    <n v="4964.47"/>
    <n v="29207.25"/>
    <n v="6.0949254992444309E-2"/>
    <n v="7.7579312183417751E-2"/>
    <n v="17.06003436426117"/>
    <n v="5.8832564201213824"/>
    <n v="2024"/>
    <x v="9"/>
    <n v="2"/>
  </r>
  <r>
    <s v="CAMP1812"/>
    <x v="5"/>
    <x v="4"/>
    <d v="2025-02-16T00:00:00"/>
    <n v="116105"/>
    <n v="7082"/>
    <n v="522"/>
    <n v="4210.46"/>
    <n v="41652.239999999998"/>
    <n v="6.0996511778131861E-2"/>
    <n v="7.3707992092629196E-2"/>
    <n v="8.0660153256704987"/>
    <n v="9.8925628078642234"/>
    <n v="2025"/>
    <x v="9"/>
    <n v="2"/>
  </r>
  <r>
    <s v="CAMP1813"/>
    <x v="2"/>
    <x v="4"/>
    <d v="2024-06-04T00:00:00"/>
    <n v="129416"/>
    <n v="10248"/>
    <n v="904"/>
    <n v="1810"/>
    <n v="102437.03"/>
    <n v="7.9186499350930334E-2"/>
    <n v="8.8212334113973459E-2"/>
    <n v="2.002212389380531"/>
    <n v="56.595044198895025"/>
    <n v="2024"/>
    <x v="2"/>
    <n v="6"/>
  </r>
  <r>
    <s v="CAMP1814"/>
    <x v="3"/>
    <x v="0"/>
    <d v="2024-01-04T00:00:00"/>
    <n v="112337"/>
    <n v="6146"/>
    <n v="341"/>
    <n v="1039.49"/>
    <n v="22578.29"/>
    <n v="5.4710380373340931E-2"/>
    <n v="5.5483241132443864E-2"/>
    <n v="3.0483577712609971"/>
    <n v="21.720545652194826"/>
    <n v="2024"/>
    <x v="0"/>
    <n v="1"/>
  </r>
  <r>
    <s v="CAMP1815"/>
    <x v="2"/>
    <x v="4"/>
    <d v="2024-04-05T00:00:00"/>
    <n v="105078"/>
    <n v="3179"/>
    <n v="266"/>
    <n v="4149.4399999999996"/>
    <n v="13353.01"/>
    <n v="3.0253716286948742E-2"/>
    <n v="8.3674111355772254E-2"/>
    <n v="15.5993984962406"/>
    <n v="3.2180270108737568"/>
    <n v="2024"/>
    <x v="7"/>
    <n v="4"/>
  </r>
  <r>
    <s v="CAMP1816"/>
    <x v="5"/>
    <x v="2"/>
    <d v="2024-10-13T00:00:00"/>
    <n v="126491"/>
    <n v="3252"/>
    <n v="399"/>
    <n v="939.32"/>
    <n v="19956.759999999998"/>
    <n v="2.5709339004356041E-2"/>
    <n v="0.12269372693726938"/>
    <n v="2.3541854636591482"/>
    <n v="21.245965166290507"/>
    <n v="2024"/>
    <x v="3"/>
    <n v="10"/>
  </r>
  <r>
    <s v="CAMP1817"/>
    <x v="6"/>
    <x v="0"/>
    <d v="2024-11-30T00:00:00"/>
    <n v="80415"/>
    <n v="3152"/>
    <n v="264"/>
    <n v="3501.65"/>
    <n v="11741.41"/>
    <n v="3.9196667288441213E-2"/>
    <n v="8.3756345177664976E-2"/>
    <n v="13.263825757575757"/>
    <n v="3.3531078205988605"/>
    <n v="2024"/>
    <x v="5"/>
    <n v="11"/>
  </r>
  <r>
    <s v="CAMP1818"/>
    <x v="0"/>
    <x v="3"/>
    <d v="2024-09-09T00:00:00"/>
    <n v="22491"/>
    <n v="1167"/>
    <n v="78"/>
    <n v="2506.33"/>
    <n v="4961.33"/>
    <n v="5.1887421635320792E-2"/>
    <n v="6.6838046272493568E-2"/>
    <n v="32.132435897435897"/>
    <n v="1.9795198557253035"/>
    <n v="2024"/>
    <x v="11"/>
    <n v="9"/>
  </r>
  <r>
    <s v="CAMP1819"/>
    <x v="5"/>
    <x v="2"/>
    <d v="2024-12-21T00:00:00"/>
    <n v="36348"/>
    <n v="1313"/>
    <n v="151"/>
    <n v="284.22000000000003"/>
    <n v="6939.01"/>
    <n v="3.6123032904148783E-2"/>
    <n v="0.115003808073115"/>
    <n v="1.8822516556291393"/>
    <n v="24.414221377805923"/>
    <n v="2024"/>
    <x v="4"/>
    <n v="12"/>
  </r>
  <r>
    <s v="CAMP1820"/>
    <x v="4"/>
    <x v="4"/>
    <d v="2024-06-12T00:00:00"/>
    <n v="125859"/>
    <n v="8996"/>
    <n v="338"/>
    <n v="983.88"/>
    <n v="15976.26"/>
    <n v="7.1476811352386399E-2"/>
    <n v="3.7572254335260118E-2"/>
    <n v="2.910887573964497"/>
    <n v="16.238016831320895"/>
    <n v="2024"/>
    <x v="2"/>
    <n v="6"/>
  </r>
  <r>
    <s v="CAMP1821"/>
    <x v="3"/>
    <x v="3"/>
    <d v="2024-01-25T00:00:00"/>
    <n v="80984"/>
    <n v="2463"/>
    <n v="253"/>
    <n v="568.77"/>
    <n v="9963.52"/>
    <n v="3.0413414995554677E-2"/>
    <n v="0.1027202598457166"/>
    <n v="2.2481027667984188"/>
    <n v="17.51766091741829"/>
    <n v="2024"/>
    <x v="0"/>
    <n v="1"/>
  </r>
  <r>
    <s v="CAMP1822"/>
    <x v="2"/>
    <x v="0"/>
    <d v="2024-11-02T00:00:00"/>
    <n v="48813"/>
    <n v="2345"/>
    <n v="312"/>
    <n v="4168.75"/>
    <n v="27610.98"/>
    <n v="4.8040481019400567E-2"/>
    <n v="0.13304904051172708"/>
    <n v="13.361378205128204"/>
    <n v="6.6233235382308848"/>
    <n v="2024"/>
    <x v="5"/>
    <n v="11"/>
  </r>
  <r>
    <s v="CAMP1823"/>
    <x v="5"/>
    <x v="3"/>
    <d v="2024-12-16T00:00:00"/>
    <n v="100033"/>
    <n v="1671"/>
    <n v="159"/>
    <n v="4151.91"/>
    <n v="3385.07"/>
    <n v="1.670448751911869E-2"/>
    <n v="9.515260323159784E-2"/>
    <n v="26.11264150943396"/>
    <n v="0.81530428164387003"/>
    <n v="2024"/>
    <x v="4"/>
    <n v="12"/>
  </r>
  <r>
    <s v="CAMP1824"/>
    <x v="5"/>
    <x v="3"/>
    <d v="2025-02-02T00:00:00"/>
    <n v="132113"/>
    <n v="5131"/>
    <n v="716"/>
    <n v="982.54"/>
    <n v="29919.94"/>
    <n v="3.8837964469809937E-2"/>
    <n v="0.13954394854804131"/>
    <n v="1.3722625698324022"/>
    <n v="30.451625379119424"/>
    <n v="2025"/>
    <x v="9"/>
    <n v="2"/>
  </r>
  <r>
    <s v="CAMP1825"/>
    <x v="1"/>
    <x v="4"/>
    <d v="2025-02-11T00:00:00"/>
    <n v="142796"/>
    <n v="9885"/>
    <n v="1113"/>
    <n v="3570.87"/>
    <n v="111587.19"/>
    <n v="6.9224628140844277E-2"/>
    <n v="0.1125948406676783"/>
    <n v="3.2083288409703501"/>
    <n v="31.249300590612375"/>
    <n v="2025"/>
    <x v="9"/>
    <n v="2"/>
  </r>
  <r>
    <s v="CAMP1826"/>
    <x v="3"/>
    <x v="2"/>
    <d v="2024-02-09T00:00:00"/>
    <n v="35556"/>
    <n v="2393"/>
    <n v="335"/>
    <n v="2501.69"/>
    <n v="17137.71"/>
    <n v="6.7302283721453485E-2"/>
    <n v="0.13999164229001254"/>
    <n v="7.4677313432835826"/>
    <n v="6.8504530937086523"/>
    <n v="2024"/>
    <x v="9"/>
    <n v="2"/>
  </r>
  <r>
    <s v="CAMP1827"/>
    <x v="7"/>
    <x v="4"/>
    <d v="2025-02-22T00:00:00"/>
    <n v="120851"/>
    <n v="8735"/>
    <n v="853"/>
    <n v="3865.23"/>
    <n v="46236.45"/>
    <n v="7.2279087471349021E-2"/>
    <n v="9.7653119633657692E-2"/>
    <n v="4.5313364595545131"/>
    <n v="11.962147142602122"/>
    <n v="2025"/>
    <x v="9"/>
    <n v="2"/>
  </r>
  <r>
    <s v="CAMP1828"/>
    <x v="5"/>
    <x v="0"/>
    <d v="2025-01-16T00:00:00"/>
    <n v="36089"/>
    <n v="922"/>
    <n v="121"/>
    <n v="883.32"/>
    <n v="5161.55"/>
    <n v="2.554795089916595E-2"/>
    <n v="0.13123644251626898"/>
    <n v="7.3001652892561983"/>
    <n v="5.8433523524883393"/>
    <n v="2025"/>
    <x v="0"/>
    <n v="1"/>
  </r>
  <r>
    <s v="CAMP1829"/>
    <x v="2"/>
    <x v="4"/>
    <d v="2024-03-07T00:00:00"/>
    <n v="25605"/>
    <n v="1017"/>
    <n v="121"/>
    <n v="736.27"/>
    <n v="2647.56"/>
    <n v="3.9718804920913883E-2"/>
    <n v="0.11897738446411013"/>
    <n v="6.0848760330578511"/>
    <n v="3.5959091094299644"/>
    <n v="2024"/>
    <x v="6"/>
    <n v="3"/>
  </r>
  <r>
    <s v="CAMP1830"/>
    <x v="6"/>
    <x v="2"/>
    <d v="2024-01-22T00:00:00"/>
    <n v="56472"/>
    <n v="990"/>
    <n v="121"/>
    <n v="2664.7"/>
    <n v="3137.11"/>
    <n v="1.7530811729706757E-2"/>
    <n v="0.12222222222222222"/>
    <n v="22.022314049586775"/>
    <n v="1.1772844973167713"/>
    <n v="2024"/>
    <x v="0"/>
    <n v="1"/>
  </r>
  <r>
    <s v="CAMP1831"/>
    <x v="0"/>
    <x v="3"/>
    <d v="2024-01-23T00:00:00"/>
    <n v="22366"/>
    <n v="695"/>
    <n v="14"/>
    <n v="663.22"/>
    <n v="453.31"/>
    <n v="3.107395153357775E-2"/>
    <n v="2.0143884892086329E-2"/>
    <n v="47.372857142857143"/>
    <n v="0.68349868821808746"/>
    <n v="2024"/>
    <x v="0"/>
    <n v="1"/>
  </r>
  <r>
    <s v="CAMP1832"/>
    <x v="1"/>
    <x v="1"/>
    <d v="2024-04-12T00:00:00"/>
    <n v="53439"/>
    <n v="3042"/>
    <n v="72"/>
    <n v="898.67"/>
    <n v="6812.63"/>
    <n v="5.6924717902655367E-2"/>
    <n v="2.3668639053254437E-2"/>
    <n v="12.481527777777778"/>
    <n v="7.5807916142744283"/>
    <n v="2024"/>
    <x v="7"/>
    <n v="4"/>
  </r>
  <r>
    <s v="CAMP1833"/>
    <x v="5"/>
    <x v="1"/>
    <d v="2024-06-27T00:00:00"/>
    <n v="97327"/>
    <n v="2067"/>
    <n v="175"/>
    <n v="3697.06"/>
    <n v="7731.89"/>
    <n v="2.1237683273911657E-2"/>
    <n v="8.4663763909046924E-2"/>
    <n v="21.126057142857142"/>
    <n v="2.0913617847695196"/>
    <n v="2024"/>
    <x v="2"/>
    <n v="6"/>
  </r>
  <r>
    <s v="CAMP1834"/>
    <x v="0"/>
    <x v="0"/>
    <d v="2025-02-23T00:00:00"/>
    <n v="8665"/>
    <n v="407"/>
    <n v="46"/>
    <n v="4828.47"/>
    <n v="1710.16"/>
    <n v="4.6970571263704561E-2"/>
    <n v="0.11302211302211303"/>
    <n v="104.96673913043479"/>
    <n v="0.35418258785909407"/>
    <n v="2025"/>
    <x v="9"/>
    <n v="2"/>
  </r>
  <r>
    <s v="CAMP1835"/>
    <x v="4"/>
    <x v="0"/>
    <d v="2024-04-19T00:00:00"/>
    <n v="137171"/>
    <n v="9545"/>
    <n v="779"/>
    <n v="3551.04"/>
    <n v="30001.3"/>
    <n v="6.9584678977334863E-2"/>
    <n v="8.1613410162388683E-2"/>
    <n v="4.5584595635430034"/>
    <n v="8.4485953410831751"/>
    <n v="2024"/>
    <x v="7"/>
    <n v="4"/>
  </r>
  <r>
    <s v="CAMP1836"/>
    <x v="0"/>
    <x v="4"/>
    <d v="2024-06-30T00:00:00"/>
    <n v="104513"/>
    <n v="4147"/>
    <n v="360"/>
    <n v="2156.37"/>
    <n v="34610.74"/>
    <n v="3.967927434864562E-2"/>
    <n v="8.6809741982155769E-2"/>
    <n v="5.9899166666666668"/>
    <n v="16.050464437921136"/>
    <n v="2024"/>
    <x v="2"/>
    <n v="6"/>
  </r>
  <r>
    <s v="CAMP1837"/>
    <x v="7"/>
    <x v="0"/>
    <d v="2024-08-26T00:00:00"/>
    <n v="33918"/>
    <n v="1573"/>
    <n v="132"/>
    <n v="1934"/>
    <n v="6445.18"/>
    <n v="4.6376555221416357E-2"/>
    <n v="8.3916083916083919E-2"/>
    <n v="14.651515151515152"/>
    <n v="3.3325646328852123"/>
    <n v="2024"/>
    <x v="1"/>
    <n v="8"/>
  </r>
  <r>
    <s v="CAMP1838"/>
    <x v="4"/>
    <x v="0"/>
    <d v="2024-06-16T00:00:00"/>
    <n v="134423"/>
    <n v="2433"/>
    <n v="138"/>
    <n v="3081.87"/>
    <n v="7065.7"/>
    <n v="1.8099581172864764E-2"/>
    <n v="5.6720098643649818E-2"/>
    <n v="22.332391304347826"/>
    <n v="2.2926664654901083"/>
    <n v="2024"/>
    <x v="2"/>
    <n v="6"/>
  </r>
  <r>
    <s v="CAMP1839"/>
    <x v="6"/>
    <x v="4"/>
    <d v="2024-10-10T00:00:00"/>
    <n v="111766"/>
    <n v="3391"/>
    <n v="444"/>
    <n v="1106.17"/>
    <n v="11970.65"/>
    <n v="3.0340175008499903E-2"/>
    <n v="0.13093482748451785"/>
    <n v="2.491373873873874"/>
    <n v="10.821709140548016"/>
    <n v="2024"/>
    <x v="3"/>
    <n v="10"/>
  </r>
  <r>
    <s v="CAMP1840"/>
    <x v="6"/>
    <x v="3"/>
    <d v="2024-04-01T00:00:00"/>
    <n v="8351"/>
    <n v="667"/>
    <n v="55"/>
    <n v="704.83"/>
    <n v="3509.32"/>
    <n v="7.9870674170757994E-2"/>
    <n v="8.2458770614692659E-2"/>
    <n v="12.815090909090911"/>
    <n v="4.9789594654030047"/>
    <n v="2024"/>
    <x v="7"/>
    <n v="4"/>
  </r>
  <r>
    <s v="CAMP1841"/>
    <x v="0"/>
    <x v="0"/>
    <d v="2024-03-14T00:00:00"/>
    <n v="108497"/>
    <n v="4127"/>
    <n v="399"/>
    <n v="688.27"/>
    <n v="44899.08"/>
    <n v="3.8037918099117947E-2"/>
    <n v="9.6680397383086994E-2"/>
    <n v="1.7249874686716791"/>
    <n v="65.234689874613167"/>
    <n v="2024"/>
    <x v="6"/>
    <n v="3"/>
  </r>
  <r>
    <s v="CAMP1842"/>
    <x v="2"/>
    <x v="0"/>
    <d v="2024-07-05T00:00:00"/>
    <n v="57189"/>
    <n v="1927"/>
    <n v="187"/>
    <n v="4955.17"/>
    <n v="6035.65"/>
    <n v="3.3695291052475124E-2"/>
    <n v="9.7042034250129736E-2"/>
    <n v="26.498235294117649"/>
    <n v="1.2180510456755267"/>
    <n v="2024"/>
    <x v="10"/>
    <n v="7"/>
  </r>
  <r>
    <s v="CAMP1843"/>
    <x v="3"/>
    <x v="2"/>
    <d v="2024-05-22T00:00:00"/>
    <n v="76558"/>
    <n v="4818"/>
    <n v="598"/>
    <n v="4727.4799999999996"/>
    <n v="33254.620000000003"/>
    <n v="6.2932678492123625E-2"/>
    <n v="0.12411789124117892"/>
    <n v="7.9054849498327755"/>
    <n v="7.0343227258497141"/>
    <n v="2024"/>
    <x v="8"/>
    <n v="5"/>
  </r>
  <r>
    <s v="CAMP1844"/>
    <x v="3"/>
    <x v="2"/>
    <d v="2024-09-18T00:00:00"/>
    <n v="78109"/>
    <n v="1586"/>
    <n v="125"/>
    <n v="786.51"/>
    <n v="8616.77"/>
    <n v="2.0304958455491684E-2"/>
    <n v="7.8814627994955866E-2"/>
    <n v="6.2920800000000003"/>
    <n v="10.955703042555086"/>
    <n v="2024"/>
    <x v="11"/>
    <n v="9"/>
  </r>
  <r>
    <s v="CAMP1845"/>
    <x v="1"/>
    <x v="4"/>
    <d v="2024-01-16T00:00:00"/>
    <n v="31110"/>
    <n v="1917"/>
    <n v="245"/>
    <n v="2591.0500000000002"/>
    <n v="5555.35"/>
    <n v="6.1620057859209258E-2"/>
    <n v="0.1278038601982264"/>
    <n v="10.575714285714286"/>
    <n v="2.144053569016422"/>
    <n v="2024"/>
    <x v="0"/>
    <n v="1"/>
  </r>
  <r>
    <s v="CAMP1846"/>
    <x v="2"/>
    <x v="2"/>
    <d v="2024-11-05T00:00:00"/>
    <n v="90709"/>
    <n v="1876"/>
    <n v="189"/>
    <n v="662.4"/>
    <n v="5226.18"/>
    <n v="2.0681520025576293E-2"/>
    <n v="0.10074626865671642"/>
    <n v="3.5047619047619047"/>
    <n v="7.8897644927536241"/>
    <n v="2024"/>
    <x v="5"/>
    <n v="11"/>
  </r>
  <r>
    <s v="CAMP1847"/>
    <x v="6"/>
    <x v="2"/>
    <d v="2024-04-13T00:00:00"/>
    <n v="81955"/>
    <n v="4617"/>
    <n v="386"/>
    <n v="1455.99"/>
    <n v="20983.56"/>
    <n v="5.6335794033310967E-2"/>
    <n v="8.3604071908165475E-2"/>
    <n v="3.7719948186528498"/>
    <n v="14.411884697010283"/>
    <n v="2024"/>
    <x v="7"/>
    <n v="4"/>
  </r>
  <r>
    <s v="CAMP1848"/>
    <x v="4"/>
    <x v="0"/>
    <d v="2024-08-08T00:00:00"/>
    <n v="36230"/>
    <n v="1335"/>
    <n v="81"/>
    <n v="2006.42"/>
    <n v="5343.22"/>
    <n v="3.6847916091636762E-2"/>
    <n v="6.0674157303370786E-2"/>
    <n v="24.770617283950617"/>
    <n v="2.6630615723527478"/>
    <n v="2024"/>
    <x v="1"/>
    <n v="8"/>
  </r>
  <r>
    <s v="CAMP1849"/>
    <x v="4"/>
    <x v="4"/>
    <d v="2024-10-12T00:00:00"/>
    <n v="84441"/>
    <n v="6073"/>
    <n v="251"/>
    <n v="2267.27"/>
    <n v="12862.74"/>
    <n v="7.1920038843689679E-2"/>
    <n v="4.1330479170097148E-2"/>
    <n v="9.0329482071713141"/>
    <n v="5.6732281554468589"/>
    <n v="2024"/>
    <x v="3"/>
    <n v="10"/>
  </r>
  <r>
    <s v="CAMP1850"/>
    <x v="3"/>
    <x v="2"/>
    <d v="2025-01-26T00:00:00"/>
    <n v="33673"/>
    <n v="1677"/>
    <n v="140"/>
    <n v="2858.16"/>
    <n v="10351.49"/>
    <n v="4.9802512398657676E-2"/>
    <n v="8.3482409063804414E-2"/>
    <n v="20.415428571428571"/>
    <n v="3.6217321633498476"/>
    <n v="2025"/>
    <x v="0"/>
    <n v="1"/>
  </r>
  <r>
    <s v="CAMP1851"/>
    <x v="6"/>
    <x v="2"/>
    <d v="2024-10-14T00:00:00"/>
    <n v="45975"/>
    <n v="2090"/>
    <n v="148"/>
    <n v="2574.52"/>
    <n v="17328.89"/>
    <n v="4.54594888526373E-2"/>
    <n v="7.0813397129186606E-2"/>
    <n v="17.395405405405405"/>
    <n v="6.730920715317807"/>
    <n v="2024"/>
    <x v="3"/>
    <n v="10"/>
  </r>
  <r>
    <s v="CAMP1852"/>
    <x v="7"/>
    <x v="3"/>
    <d v="2024-06-13T00:00:00"/>
    <n v="21101"/>
    <n v="252"/>
    <n v="6"/>
    <n v="4217.28"/>
    <n v="329.33"/>
    <n v="1.1942561963887967E-2"/>
    <n v="2.3809523809523808E-2"/>
    <n v="702.88"/>
    <n v="7.8090617649290539E-2"/>
    <n v="2024"/>
    <x v="2"/>
    <n v="6"/>
  </r>
  <r>
    <s v="CAMP1853"/>
    <x v="4"/>
    <x v="3"/>
    <d v="2024-07-13T00:00:00"/>
    <n v="30519"/>
    <n v="1219"/>
    <n v="181"/>
    <n v="2177.2600000000002"/>
    <n v="4641.7299999999996"/>
    <n v="3.9942331006913724E-2"/>
    <n v="0.14848236259228875"/>
    <n v="12.029060773480664"/>
    <n v="2.1319135059662142"/>
    <n v="2024"/>
    <x v="10"/>
    <n v="7"/>
  </r>
  <r>
    <s v="CAMP1854"/>
    <x v="1"/>
    <x v="4"/>
    <d v="2024-04-30T00:00:00"/>
    <n v="86815"/>
    <n v="4468"/>
    <n v="618"/>
    <n v="514.4"/>
    <n v="31203.59"/>
    <n v="5.1465760525254853E-2"/>
    <n v="0.13831692032229184"/>
    <n v="0.83236245954692556"/>
    <n v="60.660167185069987"/>
    <n v="2024"/>
    <x v="7"/>
    <n v="4"/>
  </r>
  <r>
    <s v="CAMP1855"/>
    <x v="7"/>
    <x v="4"/>
    <d v="2024-01-11T00:00:00"/>
    <n v="146142"/>
    <n v="4797"/>
    <n v="383"/>
    <n v="4344.17"/>
    <n v="29416.29"/>
    <n v="3.2824239438354476E-2"/>
    <n v="7.9841567646445691E-2"/>
    <n v="11.342480417754569"/>
    <n v="6.7714408045725651"/>
    <n v="2024"/>
    <x v="0"/>
    <n v="1"/>
  </r>
  <r>
    <s v="CAMP1856"/>
    <x v="3"/>
    <x v="3"/>
    <d v="2024-01-11T00:00:00"/>
    <n v="128129"/>
    <n v="6554"/>
    <n v="970"/>
    <n v="2013.14"/>
    <n v="57259.18"/>
    <n v="5.1151573804525126E-2"/>
    <n v="0.14800122062862375"/>
    <n v="2.0754020618556703"/>
    <n v="28.442721320921546"/>
    <n v="2024"/>
    <x v="0"/>
    <n v="1"/>
  </r>
  <r>
    <s v="CAMP1857"/>
    <x v="0"/>
    <x v="2"/>
    <d v="2024-02-21T00:00:00"/>
    <n v="58977"/>
    <n v="1976"/>
    <n v="168"/>
    <n v="3871.54"/>
    <n v="9064.26"/>
    <n v="3.3504586533733491E-2"/>
    <n v="8.5020242914979755E-2"/>
    <n v="23.044880952380954"/>
    <n v="2.3412543845601492"/>
    <n v="2024"/>
    <x v="9"/>
    <n v="2"/>
  </r>
  <r>
    <s v="CAMP1858"/>
    <x v="5"/>
    <x v="3"/>
    <d v="2024-08-11T00:00:00"/>
    <n v="57889"/>
    <n v="2592"/>
    <n v="337"/>
    <n v="3978.32"/>
    <n v="35060.82"/>
    <n v="4.4775345920641224E-2"/>
    <n v="0.13001543209876543"/>
    <n v="11.805103857566767"/>
    <n v="8.8129713044702278"/>
    <n v="2024"/>
    <x v="1"/>
    <n v="8"/>
  </r>
  <r>
    <s v="CAMP1859"/>
    <x v="1"/>
    <x v="3"/>
    <d v="2024-05-15T00:00:00"/>
    <n v="17460"/>
    <n v="537"/>
    <n v="50"/>
    <n v="4062.09"/>
    <n v="4122.8599999999997"/>
    <n v="3.0756013745704466E-2"/>
    <n v="9.3109869646182494E-2"/>
    <n v="81.241799999999998"/>
    <n v="1.0149602790681642"/>
    <n v="2024"/>
    <x v="8"/>
    <n v="5"/>
  </r>
  <r>
    <s v="CAMP1860"/>
    <x v="0"/>
    <x v="1"/>
    <d v="2024-02-18T00:00:00"/>
    <n v="93300"/>
    <n v="2718"/>
    <n v="254"/>
    <n v="2749.11"/>
    <n v="15928.49"/>
    <n v="2.9131832797427652E-2"/>
    <n v="9.3451066961000737E-2"/>
    <n v="10.823267716535433"/>
    <n v="5.7940533481744998"/>
    <n v="2024"/>
    <x v="9"/>
    <n v="2"/>
  </r>
  <r>
    <s v="CAMP1861"/>
    <x v="7"/>
    <x v="0"/>
    <d v="2024-11-29T00:00:00"/>
    <n v="84127"/>
    <n v="3813"/>
    <n v="224"/>
    <n v="3384.59"/>
    <n v="11499.11"/>
    <n v="4.5324331070880929E-2"/>
    <n v="5.8746393915552059E-2"/>
    <n v="15.109776785714287"/>
    <n v="3.3974897993553133"/>
    <n v="2024"/>
    <x v="5"/>
    <n v="11"/>
  </r>
  <r>
    <s v="CAMP1862"/>
    <x v="3"/>
    <x v="2"/>
    <d v="2024-05-08T00:00:00"/>
    <n v="140100"/>
    <n v="5845"/>
    <n v="697"/>
    <n v="1066.8800000000001"/>
    <n v="15236.65"/>
    <n v="4.1720199857244823E-2"/>
    <n v="0.11924721984602224"/>
    <n v="1.530674318507891"/>
    <n v="14.281503074385121"/>
    <n v="2024"/>
    <x v="8"/>
    <n v="5"/>
  </r>
  <r>
    <s v="CAMP1863"/>
    <x v="2"/>
    <x v="1"/>
    <d v="2024-09-12T00:00:00"/>
    <n v="60824"/>
    <n v="3421"/>
    <n v="434"/>
    <n v="4702.8900000000003"/>
    <n v="20308.419999999998"/>
    <n v="5.6244245692489807E-2"/>
    <n v="0.12686349020754165"/>
    <n v="10.83615207373272"/>
    <n v="4.3182851395631188"/>
    <n v="2024"/>
    <x v="11"/>
    <n v="9"/>
  </r>
  <r>
    <s v="CAMP1864"/>
    <x v="3"/>
    <x v="1"/>
    <d v="2025-01-07T00:00:00"/>
    <n v="20697"/>
    <n v="963"/>
    <n v="64"/>
    <n v="909.17"/>
    <n v="2243.02"/>
    <n v="4.6528482388751992E-2"/>
    <n v="6.6458982346832812E-2"/>
    <n v="14.205781249999999"/>
    <n v="2.4671073616595356"/>
    <n v="2025"/>
    <x v="0"/>
    <n v="1"/>
  </r>
  <r>
    <s v="CAMP1865"/>
    <x v="5"/>
    <x v="2"/>
    <d v="2024-07-29T00:00:00"/>
    <n v="88533"/>
    <n v="6216"/>
    <n v="860"/>
    <n v="3242.85"/>
    <n v="89953.16"/>
    <n v="7.021110772254413E-2"/>
    <n v="0.13835263835263836"/>
    <n v="3.7707558139534885"/>
    <n v="27.738921010839231"/>
    <n v="2024"/>
    <x v="10"/>
    <n v="7"/>
  </r>
  <r>
    <s v="CAMP1866"/>
    <x v="5"/>
    <x v="3"/>
    <d v="2024-11-26T00:00:00"/>
    <n v="47096"/>
    <n v="1316"/>
    <n v="129"/>
    <n v="2148.16"/>
    <n v="4044.91"/>
    <n v="2.794292508917955E-2"/>
    <n v="9.8024316109422499E-2"/>
    <n v="16.652403100775192"/>
    <n v="1.8829649560554149"/>
    <n v="2024"/>
    <x v="5"/>
    <n v="11"/>
  </r>
  <r>
    <s v="CAMP1867"/>
    <x v="1"/>
    <x v="0"/>
    <d v="2024-05-05T00:00:00"/>
    <n v="86406"/>
    <n v="3671"/>
    <n v="340"/>
    <n v="2293.44"/>
    <n v="28795.35"/>
    <n v="4.2485475545679698E-2"/>
    <n v="9.2617815309180063E-2"/>
    <n v="6.7454117647058824"/>
    <n v="12.555527940560903"/>
    <n v="2024"/>
    <x v="8"/>
    <n v="5"/>
  </r>
  <r>
    <s v="CAMP1868"/>
    <x v="4"/>
    <x v="4"/>
    <d v="2024-03-22T00:00:00"/>
    <n v="76489"/>
    <n v="1495"/>
    <n v="80"/>
    <n v="4056.98"/>
    <n v="6869.37"/>
    <n v="1.9545294094575692E-2"/>
    <n v="5.3511705685618728E-2"/>
    <n v="50.712249999999997"/>
    <n v="1.6932225448486311"/>
    <n v="2024"/>
    <x v="6"/>
    <n v="3"/>
  </r>
  <r>
    <s v="CAMP1869"/>
    <x v="2"/>
    <x v="0"/>
    <d v="2025-01-04T00:00:00"/>
    <n v="132360"/>
    <n v="8571"/>
    <n v="233"/>
    <n v="4503.2299999999996"/>
    <n v="11973.98"/>
    <n v="6.4755213055303712E-2"/>
    <n v="2.7184692567961733E-2"/>
    <n v="19.327167381974245"/>
    <n v="2.6589758906384975"/>
    <n v="2025"/>
    <x v="0"/>
    <n v="1"/>
  </r>
  <r>
    <s v="CAMP1870"/>
    <x v="5"/>
    <x v="0"/>
    <d v="2024-07-27T00:00:00"/>
    <n v="100272"/>
    <n v="5717"/>
    <n v="772"/>
    <n v="2105.1"/>
    <n v="80273.37"/>
    <n v="5.7014919419179834E-2"/>
    <n v="0.13503585796746545"/>
    <n v="2.7268134715025907"/>
    <n v="38.132806042468289"/>
    <n v="2024"/>
    <x v="10"/>
    <n v="7"/>
  </r>
  <r>
    <s v="CAMP1871"/>
    <x v="2"/>
    <x v="4"/>
    <d v="2024-02-27T00:00:00"/>
    <n v="136137"/>
    <n v="10251"/>
    <n v="900"/>
    <n v="4179.1099999999997"/>
    <n v="103470.71"/>
    <n v="7.5299147182617515E-2"/>
    <n v="8.7796312554872691E-2"/>
    <n v="4.6434555555555548"/>
    <n v="24.759030032710317"/>
    <n v="2024"/>
    <x v="9"/>
    <n v="2"/>
  </r>
  <r>
    <s v="CAMP1872"/>
    <x v="5"/>
    <x v="2"/>
    <d v="2024-02-16T00:00:00"/>
    <n v="67410"/>
    <n v="3504"/>
    <n v="422"/>
    <n v="1704.37"/>
    <n v="43564.5"/>
    <n v="5.1980418335558526E-2"/>
    <n v="0.1204337899543379"/>
    <n v="4.0387914691943125"/>
    <n v="25.560471024484123"/>
    <n v="2024"/>
    <x v="9"/>
    <n v="2"/>
  </r>
  <r>
    <s v="CAMP1873"/>
    <x v="3"/>
    <x v="4"/>
    <d v="2024-08-04T00:00:00"/>
    <n v="62149"/>
    <n v="1249"/>
    <n v="53"/>
    <n v="4855.63"/>
    <n v="3389.22"/>
    <n v="2.0096863988157493E-2"/>
    <n v="4.2433947157726179E-2"/>
    <n v="91.615660377358495"/>
    <n v="0.69799799408109753"/>
    <n v="2024"/>
    <x v="1"/>
    <n v="8"/>
  </r>
  <r>
    <s v="CAMP1874"/>
    <x v="5"/>
    <x v="1"/>
    <d v="2024-01-29T00:00:00"/>
    <n v="133544"/>
    <n v="6322"/>
    <n v="701"/>
    <n v="742.21"/>
    <n v="52276.73"/>
    <n v="4.7340202480081472E-2"/>
    <n v="0.11088263207845618"/>
    <n v="1.0587874465049929"/>
    <n v="70.433879899219903"/>
    <n v="2024"/>
    <x v="0"/>
    <n v="1"/>
  </r>
  <r>
    <s v="CAMP1875"/>
    <x v="6"/>
    <x v="4"/>
    <d v="2024-05-22T00:00:00"/>
    <n v="42987"/>
    <n v="1522"/>
    <n v="172"/>
    <n v="4142.55"/>
    <n v="3802.48"/>
    <n v="3.5406052992765252E-2"/>
    <n v="0.11300919842312747"/>
    <n v="24.084593023255817"/>
    <n v="0.91790805180384061"/>
    <n v="2024"/>
    <x v="8"/>
    <n v="5"/>
  </r>
  <r>
    <s v="CAMP1876"/>
    <x v="4"/>
    <x v="0"/>
    <d v="2024-12-19T00:00:00"/>
    <n v="67829"/>
    <n v="1879"/>
    <n v="131"/>
    <n v="3266.96"/>
    <n v="11798.08"/>
    <n v="2.7702015362160728E-2"/>
    <n v="6.9717935071846732E-2"/>
    <n v="24.938625954198475"/>
    <n v="3.6113328599064571"/>
    <n v="2024"/>
    <x v="4"/>
    <n v="12"/>
  </r>
  <r>
    <s v="CAMP1877"/>
    <x v="0"/>
    <x v="1"/>
    <d v="2024-05-01T00:00:00"/>
    <n v="120973"/>
    <n v="4499"/>
    <n v="622"/>
    <n v="2086.2800000000002"/>
    <n v="73271.16"/>
    <n v="3.7190116802922966E-2"/>
    <n v="0.13825294509891087"/>
    <n v="3.3541479099678462"/>
    <n v="35.120482389707995"/>
    <n v="2024"/>
    <x v="8"/>
    <n v="5"/>
  </r>
  <r>
    <s v="CAMP1878"/>
    <x v="5"/>
    <x v="3"/>
    <d v="2024-02-16T00:00:00"/>
    <n v="66724"/>
    <n v="2056"/>
    <n v="270"/>
    <n v="969.09"/>
    <n v="17248.84"/>
    <n v="3.0813500389664888E-2"/>
    <n v="0.13132295719844359"/>
    <n v="3.5892222222222223"/>
    <n v="17.799007316141946"/>
    <n v="2024"/>
    <x v="9"/>
    <n v="2"/>
  </r>
  <r>
    <s v="CAMP1879"/>
    <x v="7"/>
    <x v="2"/>
    <d v="2025-02-08T00:00:00"/>
    <n v="13881"/>
    <n v="405"/>
    <n v="12"/>
    <n v="3941.39"/>
    <n v="830.03"/>
    <n v="2.9176572293062461E-2"/>
    <n v="2.9629629629629631E-2"/>
    <n v="328.44916666666666"/>
    <n v="0.21059321711375936"/>
    <n v="2025"/>
    <x v="9"/>
    <n v="2"/>
  </r>
  <r>
    <s v="CAMP1880"/>
    <x v="3"/>
    <x v="3"/>
    <d v="2025-01-02T00:00:00"/>
    <n v="115720"/>
    <n v="8259"/>
    <n v="1045"/>
    <n v="4157.12"/>
    <n v="93891.39"/>
    <n v="7.1370549602488773E-2"/>
    <n v="0.12652863542801793"/>
    <n v="3.9781052631578948"/>
    <n v="22.585681914402279"/>
    <n v="2025"/>
    <x v="0"/>
    <n v="1"/>
  </r>
  <r>
    <s v="CAMP1881"/>
    <x v="0"/>
    <x v="3"/>
    <d v="2024-08-03T00:00:00"/>
    <n v="148583"/>
    <n v="9159"/>
    <n v="722"/>
    <n v="331.28"/>
    <n v="18201.54"/>
    <n v="6.1642314396667182E-2"/>
    <n v="7.8829566546566213E-2"/>
    <n v="0.45883656509695286"/>
    <n v="54.943069306930703"/>
    <n v="2024"/>
    <x v="1"/>
    <n v="8"/>
  </r>
  <r>
    <s v="CAMP1882"/>
    <x v="2"/>
    <x v="2"/>
    <d v="2025-02-09T00:00:00"/>
    <n v="40675"/>
    <n v="415"/>
    <n v="19"/>
    <n v="1666.63"/>
    <n v="1474.04"/>
    <n v="1.0202827289489859E-2"/>
    <n v="4.5783132530120479E-2"/>
    <n v="87.71736842105264"/>
    <n v="0.88444345775607058"/>
    <n v="2025"/>
    <x v="9"/>
    <n v="2"/>
  </r>
  <r>
    <s v="CAMP1883"/>
    <x v="0"/>
    <x v="4"/>
    <d v="2024-05-07T00:00:00"/>
    <n v="140362"/>
    <n v="8414"/>
    <n v="1007"/>
    <n v="3316.07"/>
    <n v="33240.36"/>
    <n v="5.9944999358800814E-2"/>
    <n v="0.11968148324221535"/>
    <n v="3.2930188679245282"/>
    <n v="10.024022412072121"/>
    <n v="2024"/>
    <x v="8"/>
    <n v="5"/>
  </r>
  <r>
    <s v="CAMP1884"/>
    <x v="3"/>
    <x v="3"/>
    <d v="2024-08-19T00:00:00"/>
    <n v="130400"/>
    <n v="9277"/>
    <n v="346"/>
    <n v="1032.7"/>
    <n v="27438.51"/>
    <n v="7.1142638036809813E-2"/>
    <n v="3.7296539829686323E-2"/>
    <n v="2.9846820809248555"/>
    <n v="26.569681417643068"/>
    <n v="2024"/>
    <x v="1"/>
    <n v="8"/>
  </r>
  <r>
    <s v="CAMP1885"/>
    <x v="7"/>
    <x v="3"/>
    <d v="2024-04-11T00:00:00"/>
    <n v="27124"/>
    <n v="1058"/>
    <n v="46"/>
    <n v="4406.67"/>
    <n v="5265.88"/>
    <n v="3.9006046305854594E-2"/>
    <n v="4.3478260869565216E-2"/>
    <n v="95.79717391304348"/>
    <n v="1.1949794289111733"/>
    <n v="2024"/>
    <x v="7"/>
    <n v="4"/>
  </r>
  <r>
    <s v="CAMP1886"/>
    <x v="1"/>
    <x v="0"/>
    <d v="2024-01-12T00:00:00"/>
    <n v="64954"/>
    <n v="4772"/>
    <n v="699"/>
    <n v="1151.68"/>
    <n v="62998.15"/>
    <n v="7.3467376912892207E-2"/>
    <n v="0.14647946353730093"/>
    <n v="1.6476108726752505"/>
    <n v="54.701088844123369"/>
    <n v="2024"/>
    <x v="0"/>
    <n v="1"/>
  </r>
  <r>
    <s v="CAMP1887"/>
    <x v="2"/>
    <x v="0"/>
    <d v="2024-07-24T00:00:00"/>
    <n v="117434"/>
    <n v="6109"/>
    <n v="240"/>
    <n v="4798.5600000000004"/>
    <n v="8882.9500000000007"/>
    <n v="5.2020709504913401E-2"/>
    <n v="3.9286298903257487E-2"/>
    <n v="19.994000000000003"/>
    <n v="1.8511699343136274"/>
    <n v="2024"/>
    <x v="10"/>
    <n v="7"/>
  </r>
  <r>
    <s v="CAMP1888"/>
    <x v="0"/>
    <x v="0"/>
    <d v="2025-01-02T00:00:00"/>
    <n v="142845"/>
    <n v="5779"/>
    <n v="806"/>
    <n v="2377.8000000000002"/>
    <n v="70412.97"/>
    <n v="4.0456438797297774E-2"/>
    <n v="0.13947049662571379"/>
    <n v="2.9501240694789086"/>
    <n v="29.612654554630328"/>
    <n v="2025"/>
    <x v="0"/>
    <n v="1"/>
  </r>
  <r>
    <s v="CAMP1889"/>
    <x v="0"/>
    <x v="4"/>
    <d v="2024-12-31T00:00:00"/>
    <n v="58253"/>
    <n v="1359"/>
    <n v="179"/>
    <n v="3954.19"/>
    <n v="8734.52"/>
    <n v="2.3329270595505811E-2"/>
    <n v="0.13171449595290655"/>
    <n v="22.090446927374302"/>
    <n v="2.2089277449996083"/>
    <n v="2024"/>
    <x v="4"/>
    <n v="12"/>
  </r>
  <r>
    <s v="CAMP1890"/>
    <x v="6"/>
    <x v="2"/>
    <d v="2024-03-07T00:00:00"/>
    <n v="118064"/>
    <n v="8257"/>
    <n v="809"/>
    <n v="4977"/>
    <n v="39072.050000000003"/>
    <n v="6.9936644531779377E-2"/>
    <n v="9.7977473658713815E-2"/>
    <n v="6.1520395550061808"/>
    <n v="7.8505224030540495"/>
    <n v="2024"/>
    <x v="6"/>
    <n v="3"/>
  </r>
  <r>
    <s v="CAMP1891"/>
    <x v="1"/>
    <x v="2"/>
    <d v="2024-04-02T00:00:00"/>
    <n v="112092"/>
    <n v="7338"/>
    <n v="174"/>
    <n v="4885.42"/>
    <n v="7577.45"/>
    <n v="6.5464083074617277E-2"/>
    <n v="2.3712183156173343E-2"/>
    <n v="28.077126436781608"/>
    <n v="1.5510334833033803"/>
    <n v="2024"/>
    <x v="7"/>
    <n v="4"/>
  </r>
  <r>
    <s v="CAMP1892"/>
    <x v="6"/>
    <x v="4"/>
    <d v="2024-07-08T00:00:00"/>
    <n v="125104"/>
    <n v="2001"/>
    <n v="161"/>
    <n v="4382.93"/>
    <n v="18907.830000000002"/>
    <n v="1.5994692415909964E-2"/>
    <n v="8.0459770114942528E-2"/>
    <n v="27.223167701863357"/>
    <n v="4.3139703349129466"/>
    <n v="2024"/>
    <x v="10"/>
    <n v="7"/>
  </r>
  <r>
    <s v="CAMP1893"/>
    <x v="3"/>
    <x v="4"/>
    <d v="2024-12-31T00:00:00"/>
    <n v="105531"/>
    <n v="6288"/>
    <n v="727"/>
    <n v="1429.88"/>
    <n v="21466.81"/>
    <n v="5.9584387525940245E-2"/>
    <n v="0.11561704834605598"/>
    <n v="1.9668225584594223"/>
    <n v="15.01301507818838"/>
    <n v="2024"/>
    <x v="4"/>
    <n v="12"/>
  </r>
  <r>
    <s v="CAMP1894"/>
    <x v="4"/>
    <x v="0"/>
    <d v="2024-06-19T00:00:00"/>
    <n v="66562"/>
    <n v="2859"/>
    <n v="188"/>
    <n v="3110.6"/>
    <n v="16370.88"/>
    <n v="4.2952435323457827E-2"/>
    <n v="6.5757257782441417E-2"/>
    <n v="16.545744680851062"/>
    <n v="5.2629331961679418"/>
    <n v="2024"/>
    <x v="2"/>
    <n v="6"/>
  </r>
  <r>
    <s v="CAMP1895"/>
    <x v="4"/>
    <x v="0"/>
    <d v="2024-05-09T00:00:00"/>
    <n v="137262"/>
    <n v="7326"/>
    <n v="434"/>
    <n v="2094.54"/>
    <n v="24777.11"/>
    <n v="5.3372382742492459E-2"/>
    <n v="5.9241059241059241E-2"/>
    <n v="4.8261290322580646"/>
    <n v="11.829380198038711"/>
    <n v="2024"/>
    <x v="8"/>
    <n v="5"/>
  </r>
  <r>
    <s v="CAMP1896"/>
    <x v="4"/>
    <x v="1"/>
    <d v="2024-04-01T00:00:00"/>
    <n v="73233"/>
    <n v="1603"/>
    <n v="134"/>
    <n v="1828.05"/>
    <n v="8952.34"/>
    <n v="2.1889039094397336E-2"/>
    <n v="8.3593262632563947E-2"/>
    <n v="13.642164179104478"/>
    <n v="4.8972074067995957"/>
    <n v="2024"/>
    <x v="7"/>
    <n v="4"/>
  </r>
  <r>
    <s v="CAMP1897"/>
    <x v="0"/>
    <x v="3"/>
    <d v="2024-12-29T00:00:00"/>
    <n v="144047"/>
    <n v="5805"/>
    <n v="312"/>
    <n v="1703.69"/>
    <n v="36769.72"/>
    <n v="4.0299346740994259E-2"/>
    <n v="5.3746770025839795E-2"/>
    <n v="5.4605448717948724"/>
    <n v="21.582400554091414"/>
    <n v="2024"/>
    <x v="4"/>
    <n v="12"/>
  </r>
  <r>
    <s v="CAMP1898"/>
    <x v="6"/>
    <x v="3"/>
    <d v="2025-01-17T00:00:00"/>
    <n v="99527"/>
    <n v="7448"/>
    <n v="422"/>
    <n v="4409.29"/>
    <n v="34305.71"/>
    <n v="7.4833964652807783E-2"/>
    <n v="5.6659505907626209E-2"/>
    <n v="10.448554502369667"/>
    <n v="7.780325177069324"/>
    <n v="2025"/>
    <x v="0"/>
    <n v="1"/>
  </r>
  <r>
    <s v="CAMP1899"/>
    <x v="5"/>
    <x v="1"/>
    <d v="2024-06-09T00:00:00"/>
    <n v="119235"/>
    <n v="8642"/>
    <n v="527"/>
    <n v="4973.91"/>
    <n v="50785.69"/>
    <n v="7.2478718497085592E-2"/>
    <n v="6.0981254339273316E-2"/>
    <n v="9.4381593927893732"/>
    <n v="10.210415950429342"/>
    <n v="2024"/>
    <x v="2"/>
    <n v="6"/>
  </r>
  <r>
    <s v="CAMP1900"/>
    <x v="2"/>
    <x v="1"/>
    <d v="2024-12-02T00:00:00"/>
    <n v="120340"/>
    <n v="1651"/>
    <n v="64"/>
    <n v="1303.33"/>
    <n v="1509.52"/>
    <n v="1.3719461525677247E-2"/>
    <n v="3.8764385221078133E-2"/>
    <n v="20.364531249999999"/>
    <n v="1.1582024506456539"/>
    <n v="2024"/>
    <x v="4"/>
    <n v="12"/>
  </r>
  <r>
    <s v="CAMP1901"/>
    <x v="5"/>
    <x v="4"/>
    <d v="2024-12-27T00:00:00"/>
    <n v="127456"/>
    <n v="5168"/>
    <n v="771"/>
    <n v="4650.59"/>
    <n v="18565.04"/>
    <n v="4.0547326136078331E-2"/>
    <n v="0.14918730650154799"/>
    <n v="6.0318936446173801"/>
    <n v="3.9919752117473268"/>
    <n v="2024"/>
    <x v="4"/>
    <n v="12"/>
  </r>
  <r>
    <s v="CAMP1902"/>
    <x v="7"/>
    <x v="1"/>
    <d v="2024-09-05T00:00:00"/>
    <n v="124998"/>
    <n v="5563"/>
    <n v="722"/>
    <n v="4361.0200000000004"/>
    <n v="23367.84"/>
    <n v="4.4504712075393207E-2"/>
    <n v="0.12978608664389718"/>
    <n v="6.0401939058171754"/>
    <n v="5.3583427730209898"/>
    <n v="2024"/>
    <x v="11"/>
    <n v="9"/>
  </r>
  <r>
    <s v="CAMP1903"/>
    <x v="0"/>
    <x v="4"/>
    <d v="2024-05-25T00:00:00"/>
    <n v="52357"/>
    <n v="3583"/>
    <n v="420"/>
    <n v="4148.34"/>
    <n v="32056.39"/>
    <n v="6.8434020283820687E-2"/>
    <n v="0.11722020653084007"/>
    <n v="9.8770000000000007"/>
    <n v="7.727522334234898"/>
    <n v="2024"/>
    <x v="8"/>
    <n v="5"/>
  </r>
  <r>
    <s v="CAMP1904"/>
    <x v="1"/>
    <x v="1"/>
    <d v="2024-01-03T00:00:00"/>
    <n v="142891"/>
    <n v="9099"/>
    <n v="395"/>
    <n v="4617.9799999999996"/>
    <n v="17623.22"/>
    <n v="6.367790833572444E-2"/>
    <n v="4.3411363886141335E-2"/>
    <n v="11.691088607594935"/>
    <n v="3.8162183465497908"/>
    <n v="2024"/>
    <x v="0"/>
    <n v="1"/>
  </r>
  <r>
    <s v="CAMP1905"/>
    <x v="6"/>
    <x v="0"/>
    <d v="2024-06-17T00:00:00"/>
    <n v="11805"/>
    <n v="352"/>
    <n v="51"/>
    <n v="785.56"/>
    <n v="2925.15"/>
    <n v="2.9817873782295636E-2"/>
    <n v="0.14488636363636365"/>
    <n v="15.40313725490196"/>
    <n v="3.7236493711492442"/>
    <n v="2024"/>
    <x v="2"/>
    <n v="6"/>
  </r>
  <r>
    <s v="CAMP1906"/>
    <x v="0"/>
    <x v="3"/>
    <d v="2024-03-19T00:00:00"/>
    <n v="12569"/>
    <n v="197"/>
    <n v="25"/>
    <n v="3365.79"/>
    <n v="1635.14"/>
    <n v="1.5673482377277427E-2"/>
    <n v="0.12690355329949238"/>
    <n v="134.63159999999999"/>
    <n v="0.48581165194501147"/>
    <n v="2024"/>
    <x v="6"/>
    <n v="3"/>
  </r>
  <r>
    <s v="CAMP1907"/>
    <x v="5"/>
    <x v="1"/>
    <d v="2024-12-02T00:00:00"/>
    <n v="6521"/>
    <n v="215"/>
    <n v="5"/>
    <n v="3187.35"/>
    <n v="326.55"/>
    <n v="3.2970403312375406E-2"/>
    <n v="2.3255813953488372E-2"/>
    <n v="637.47"/>
    <n v="0.10245188008847476"/>
    <n v="2024"/>
    <x v="4"/>
    <n v="12"/>
  </r>
  <r>
    <s v="CAMP1908"/>
    <x v="2"/>
    <x v="4"/>
    <d v="2024-01-25T00:00:00"/>
    <n v="79174"/>
    <n v="2582"/>
    <n v="70"/>
    <n v="539.48"/>
    <n v="8063.3"/>
    <n v="3.2611715967363022E-2"/>
    <n v="2.7110766847405113E-2"/>
    <n v="7.7068571428571433"/>
    <n v="14.946429895454882"/>
    <n v="2024"/>
    <x v="0"/>
    <n v="1"/>
  </r>
  <r>
    <s v="CAMP1909"/>
    <x v="3"/>
    <x v="0"/>
    <d v="2024-07-23T00:00:00"/>
    <n v="71889"/>
    <n v="1614"/>
    <n v="234"/>
    <n v="4354.47"/>
    <n v="6767.01"/>
    <n v="2.2451279055210115E-2"/>
    <n v="0.1449814126394052"/>
    <n v="18.608846153846155"/>
    <n v="1.5540375751813653"/>
    <n v="2024"/>
    <x v="10"/>
    <n v="7"/>
  </r>
  <r>
    <s v="CAMP1910"/>
    <x v="1"/>
    <x v="4"/>
    <d v="2024-07-17T00:00:00"/>
    <n v="110485"/>
    <n v="3308"/>
    <n v="389"/>
    <n v="3339.51"/>
    <n v="12471.42"/>
    <n v="2.9940715934289722E-2"/>
    <n v="0.11759371221281741"/>
    <n v="8.5848586118251937"/>
    <n v="3.7345059604552762"/>
    <n v="2024"/>
    <x v="10"/>
    <n v="7"/>
  </r>
  <r>
    <s v="CAMP1911"/>
    <x v="6"/>
    <x v="2"/>
    <d v="2025-01-11T00:00:00"/>
    <n v="86291"/>
    <n v="6321"/>
    <n v="622"/>
    <n v="1923.41"/>
    <n v="18418.14"/>
    <n v="7.3252135216882411E-2"/>
    <n v="9.8402151558297735E-2"/>
    <n v="3.0922990353697752"/>
    <n v="9.5757742758954141"/>
    <n v="2025"/>
    <x v="0"/>
    <n v="1"/>
  </r>
  <r>
    <s v="CAMP1912"/>
    <x v="7"/>
    <x v="1"/>
    <d v="2024-04-12T00:00:00"/>
    <n v="133351"/>
    <n v="5491"/>
    <n v="386"/>
    <n v="1488.7"/>
    <n v="30893.15"/>
    <n v="4.117704404166448E-2"/>
    <n v="7.0296849389910765E-2"/>
    <n v="3.8567357512953371"/>
    <n v="20.751763283401626"/>
    <n v="2024"/>
    <x v="7"/>
    <n v="4"/>
  </r>
  <r>
    <s v="CAMP1913"/>
    <x v="0"/>
    <x v="2"/>
    <d v="2025-02-19T00:00:00"/>
    <n v="101530"/>
    <n v="5378"/>
    <n v="411"/>
    <n v="2244.88"/>
    <n v="9882.01"/>
    <n v="5.2969565645621983E-2"/>
    <n v="7.6422461881740428E-2"/>
    <n v="5.4619951338199515"/>
    <n v="4.4020214888991838"/>
    <n v="2025"/>
    <x v="9"/>
    <n v="2"/>
  </r>
  <r>
    <s v="CAMP1914"/>
    <x v="7"/>
    <x v="2"/>
    <d v="2024-12-12T00:00:00"/>
    <n v="63780"/>
    <n v="3529"/>
    <n v="397"/>
    <n v="4667.2"/>
    <n v="28872.959999999999"/>
    <n v="5.533082470994042E-2"/>
    <n v="0.11249645792009068"/>
    <n v="11.75617128463476"/>
    <n v="6.1863558450462808"/>
    <n v="2024"/>
    <x v="4"/>
    <n v="12"/>
  </r>
  <r>
    <s v="CAMP1915"/>
    <x v="0"/>
    <x v="3"/>
    <d v="2024-08-27T00:00:00"/>
    <n v="119650"/>
    <n v="1859"/>
    <n v="230"/>
    <n v="1641.89"/>
    <n v="27236.28"/>
    <n v="1.5536982866694526E-2"/>
    <n v="0.12372243141473911"/>
    <n v="7.1386521739130435"/>
    <n v="16.588370719110291"/>
    <n v="2024"/>
    <x v="1"/>
    <n v="8"/>
  </r>
  <r>
    <s v="CAMP1916"/>
    <x v="5"/>
    <x v="4"/>
    <d v="2024-09-24T00:00:00"/>
    <n v="117127"/>
    <n v="3593"/>
    <n v="94"/>
    <n v="567.36"/>
    <n v="2303.89"/>
    <n v="3.0676103716478696E-2"/>
    <n v="2.6161981630949068E-2"/>
    <n v="6.0357446808510637"/>
    <n v="4.060719825155104"/>
    <n v="2024"/>
    <x v="11"/>
    <n v="9"/>
  </r>
  <r>
    <s v="CAMP1917"/>
    <x v="0"/>
    <x v="1"/>
    <d v="2024-08-05T00:00:00"/>
    <n v="113270"/>
    <n v="1881"/>
    <n v="199"/>
    <n v="2928.7"/>
    <n v="9022.27"/>
    <n v="1.660633883640858E-2"/>
    <n v="0.10579479000531632"/>
    <n v="14.717085427135677"/>
    <n v="3.0806398743469803"/>
    <n v="2024"/>
    <x v="1"/>
    <n v="8"/>
  </r>
  <r>
    <s v="CAMP1918"/>
    <x v="5"/>
    <x v="1"/>
    <d v="2024-02-11T00:00:00"/>
    <n v="136974"/>
    <n v="1525"/>
    <n v="177"/>
    <n v="2421.8200000000002"/>
    <n v="17455.330000000002"/>
    <n v="1.1133499788280987E-2"/>
    <n v="0.1160655737704918"/>
    <n v="13.682598870056498"/>
    <n v="7.2075257451007921"/>
    <n v="2024"/>
    <x v="9"/>
    <n v="2"/>
  </r>
  <r>
    <s v="CAMP1919"/>
    <x v="3"/>
    <x v="0"/>
    <d v="2024-02-12T00:00:00"/>
    <n v="114117"/>
    <n v="8144"/>
    <n v="478"/>
    <n v="3018.6"/>
    <n v="31308.91"/>
    <n v="7.1365353102517598E-2"/>
    <n v="5.8693516699410607E-2"/>
    <n v="6.315062761506276"/>
    <n v="10.371996952229511"/>
    <n v="2024"/>
    <x v="9"/>
    <n v="2"/>
  </r>
  <r>
    <s v="CAMP1920"/>
    <x v="6"/>
    <x v="1"/>
    <d v="2025-02-17T00:00:00"/>
    <n v="74487"/>
    <n v="2524"/>
    <n v="351"/>
    <n v="4088.03"/>
    <n v="14428.5"/>
    <n v="3.388510746841731E-2"/>
    <n v="0.13906497622820918"/>
    <n v="11.646809116809118"/>
    <n v="3.5294506155776744"/>
    <n v="2025"/>
    <x v="9"/>
    <n v="2"/>
  </r>
  <r>
    <s v="CAMP1921"/>
    <x v="0"/>
    <x v="1"/>
    <d v="2024-05-12T00:00:00"/>
    <n v="32873"/>
    <n v="1326"/>
    <n v="29"/>
    <n v="2095.6799999999998"/>
    <n v="618.58000000000004"/>
    <n v="4.0337054725762787E-2"/>
    <n v="2.1870286576168928E-2"/>
    <n v="72.264827586206891"/>
    <n v="0.2951691097877539"/>
    <n v="2024"/>
    <x v="8"/>
    <n v="5"/>
  </r>
  <r>
    <s v="CAMP1922"/>
    <x v="6"/>
    <x v="2"/>
    <d v="2024-12-20T00:00:00"/>
    <n v="111192"/>
    <n v="7874"/>
    <n v="1146"/>
    <n v="3089.06"/>
    <n v="78698.399999999994"/>
    <n v="7.0814447082523921E-2"/>
    <n v="0.14554229108458216"/>
    <n v="2.6955148342059339"/>
    <n v="25.476487993111171"/>
    <n v="2024"/>
    <x v="4"/>
    <n v="12"/>
  </r>
  <r>
    <s v="CAMP1923"/>
    <x v="7"/>
    <x v="2"/>
    <d v="2025-02-15T00:00:00"/>
    <n v="84339"/>
    <n v="1360"/>
    <n v="51"/>
    <n v="1115.8499999999999"/>
    <n v="5181.4399999999996"/>
    <n v="1.6125398688625666E-2"/>
    <n v="3.7499999999999999E-2"/>
    <n v="21.879411764705882"/>
    <n v="4.6434915087153295"/>
    <n v="2025"/>
    <x v="9"/>
    <n v="2"/>
  </r>
  <r>
    <s v="CAMP1924"/>
    <x v="1"/>
    <x v="0"/>
    <d v="2024-04-17T00:00:00"/>
    <n v="131121"/>
    <n v="7264"/>
    <n v="758"/>
    <n v="2291.7800000000002"/>
    <n v="62615.28"/>
    <n v="5.5399211415410196E-2"/>
    <n v="0.10435022026431719"/>
    <n v="3.0234564643799473"/>
    <n v="27.321680091457292"/>
    <n v="2024"/>
    <x v="7"/>
    <n v="4"/>
  </r>
  <r>
    <s v="CAMP1925"/>
    <x v="1"/>
    <x v="0"/>
    <d v="2024-06-03T00:00:00"/>
    <n v="126484"/>
    <n v="2576"/>
    <n v="192"/>
    <n v="759"/>
    <n v="21166.37"/>
    <n v="2.0366212327250877E-2"/>
    <n v="7.4534161490683232E-2"/>
    <n v="3.953125"/>
    <n v="27.887180500658761"/>
    <n v="2024"/>
    <x v="2"/>
    <n v="6"/>
  </r>
  <r>
    <s v="CAMP1926"/>
    <x v="6"/>
    <x v="2"/>
    <d v="2024-08-29T00:00:00"/>
    <n v="10145"/>
    <n v="712"/>
    <n v="68"/>
    <n v="1166.42"/>
    <n v="5232.13"/>
    <n v="7.018235584031543E-2"/>
    <n v="9.5505617977528087E-2"/>
    <n v="17.15323529411765"/>
    <n v="4.4856312477495237"/>
    <n v="2024"/>
    <x v="1"/>
    <n v="8"/>
  </r>
  <r>
    <s v="CAMP1927"/>
    <x v="3"/>
    <x v="0"/>
    <d v="2024-06-19T00:00:00"/>
    <n v="7064"/>
    <n v="121"/>
    <n v="15"/>
    <n v="2272.58"/>
    <n v="923.53"/>
    <n v="1.7129105322763308E-2"/>
    <n v="0.12396694214876033"/>
    <n v="151.50533333333334"/>
    <n v="0.40637953339376393"/>
    <n v="2024"/>
    <x v="2"/>
    <n v="6"/>
  </r>
  <r>
    <s v="CAMP1928"/>
    <x v="6"/>
    <x v="1"/>
    <d v="2024-11-01T00:00:00"/>
    <n v="81224"/>
    <n v="1022"/>
    <n v="73"/>
    <n v="2664.11"/>
    <n v="6749.68"/>
    <n v="1.258248793460061E-2"/>
    <n v="7.1428571428571425E-2"/>
    <n v="36.494657534246578"/>
    <n v="2.5335590497389373"/>
    <n v="2024"/>
    <x v="5"/>
    <n v="11"/>
  </r>
  <r>
    <s v="CAMP1929"/>
    <x v="6"/>
    <x v="4"/>
    <d v="2024-12-31T00:00:00"/>
    <n v="20913"/>
    <n v="982"/>
    <n v="73"/>
    <n v="1716.08"/>
    <n v="1923.63"/>
    <n v="4.6956438578874382E-2"/>
    <n v="7.4338085539714868E-2"/>
    <n v="23.507945205479452"/>
    <n v="1.1209442450235421"/>
    <n v="2024"/>
    <x v="4"/>
    <n v="12"/>
  </r>
  <r>
    <s v="CAMP1930"/>
    <x v="3"/>
    <x v="2"/>
    <d v="2024-02-29T00:00:00"/>
    <n v="134705"/>
    <n v="7218"/>
    <n v="750"/>
    <n v="2351.96"/>
    <n v="47717.25"/>
    <n v="5.3583757098845629E-2"/>
    <n v="0.10390689941812137"/>
    <n v="3.1359466666666669"/>
    <n v="20.288291467541963"/>
    <n v="2024"/>
    <x v="9"/>
    <n v="2"/>
  </r>
  <r>
    <s v="CAMP1931"/>
    <x v="2"/>
    <x v="3"/>
    <d v="2025-01-06T00:00:00"/>
    <n v="55384"/>
    <n v="2373"/>
    <n v="182"/>
    <n v="2636.65"/>
    <n v="14335.39"/>
    <n v="4.2846309403437817E-2"/>
    <n v="7.6696165191740412E-2"/>
    <n v="14.487087912087913"/>
    <n v="5.4369711565812677"/>
    <n v="2025"/>
    <x v="0"/>
    <n v="1"/>
  </r>
  <r>
    <s v="CAMP1932"/>
    <x v="7"/>
    <x v="1"/>
    <d v="2025-01-01T00:00:00"/>
    <n v="127805"/>
    <n v="2451"/>
    <n v="142"/>
    <n v="3614.65"/>
    <n v="16469.21"/>
    <n v="1.917765345643754E-2"/>
    <n v="5.7935536515707875E-2"/>
    <n v="25.455281690140847"/>
    <n v="4.5562391932828898"/>
    <n v="2025"/>
    <x v="0"/>
    <n v="1"/>
  </r>
  <r>
    <s v="CAMP1933"/>
    <x v="7"/>
    <x v="2"/>
    <d v="2025-02-13T00:00:00"/>
    <n v="47474"/>
    <n v="2541"/>
    <n v="144"/>
    <n v="3796.42"/>
    <n v="12485.61"/>
    <n v="5.3524034208198172E-2"/>
    <n v="5.667060212514758E-2"/>
    <n v="26.364027777777778"/>
    <n v="3.2887852239741653"/>
    <n v="2025"/>
    <x v="9"/>
    <n v="2"/>
  </r>
  <r>
    <s v="CAMP1934"/>
    <x v="2"/>
    <x v="4"/>
    <d v="2024-04-12T00:00:00"/>
    <n v="45976"/>
    <n v="2409"/>
    <n v="79"/>
    <n v="2196.7199999999998"/>
    <n v="9430.76"/>
    <n v="5.2396902731860102E-2"/>
    <n v="3.27936903279369E-2"/>
    <n v="27.806582278481009"/>
    <n v="4.2931097272296883"/>
    <n v="2024"/>
    <x v="7"/>
    <n v="4"/>
  </r>
  <r>
    <s v="CAMP1935"/>
    <x v="5"/>
    <x v="4"/>
    <d v="2024-04-17T00:00:00"/>
    <n v="17333"/>
    <n v="1385"/>
    <n v="92"/>
    <n v="1451.88"/>
    <n v="8067.74"/>
    <n v="7.9905382795823002E-2"/>
    <n v="6.6425992779783394E-2"/>
    <n v="15.781304347826088"/>
    <n v="5.5567540017081294"/>
    <n v="2024"/>
    <x v="7"/>
    <n v="4"/>
  </r>
  <r>
    <s v="CAMP1936"/>
    <x v="2"/>
    <x v="1"/>
    <d v="2024-01-17T00:00:00"/>
    <n v="21689"/>
    <n v="729"/>
    <n v="25"/>
    <n v="1288.1099999999999"/>
    <n v="1904.95"/>
    <n v="3.3611508137765686E-2"/>
    <n v="3.4293552812071332E-2"/>
    <n v="51.524399999999993"/>
    <n v="1.4788721460123748"/>
    <n v="2024"/>
    <x v="0"/>
    <n v="1"/>
  </r>
  <r>
    <s v="CAMP1937"/>
    <x v="6"/>
    <x v="3"/>
    <d v="2024-06-23T00:00:00"/>
    <n v="98124"/>
    <n v="6265"/>
    <n v="752"/>
    <n v="2873.71"/>
    <n v="82443.09"/>
    <n v="6.3847784436019725E-2"/>
    <n v="0.12003192338387869"/>
    <n v="3.8214228723404258"/>
    <n v="28.688729899676723"/>
    <n v="2024"/>
    <x v="2"/>
    <n v="6"/>
  </r>
  <r>
    <s v="CAMP1938"/>
    <x v="0"/>
    <x v="0"/>
    <d v="2024-08-12T00:00:00"/>
    <n v="124835"/>
    <n v="9660"/>
    <n v="1142"/>
    <n v="4878.37"/>
    <n v="112104.7"/>
    <n v="7.7382144430648461E-2"/>
    <n v="0.11821946169772257"/>
    <n v="4.2717775831873901"/>
    <n v="22.979950270274703"/>
    <n v="2024"/>
    <x v="1"/>
    <n v="8"/>
  </r>
  <r>
    <s v="CAMP1939"/>
    <x v="0"/>
    <x v="1"/>
    <d v="2024-01-22T00:00:00"/>
    <n v="137987"/>
    <n v="2398"/>
    <n v="244"/>
    <n v="4380.17"/>
    <n v="27108.05"/>
    <n v="1.7378448694442231E-2"/>
    <n v="0.10175145954962468"/>
    <n v="17.951516393442624"/>
    <n v="6.1888123063716707"/>
    <n v="2024"/>
    <x v="0"/>
    <n v="1"/>
  </r>
  <r>
    <s v="CAMP1940"/>
    <x v="2"/>
    <x v="3"/>
    <d v="2024-12-28T00:00:00"/>
    <n v="120741"/>
    <n v="7647"/>
    <n v="648"/>
    <n v="4378.37"/>
    <n v="22958.36"/>
    <n v="6.3333913086689689E-2"/>
    <n v="8.4739113377795217E-2"/>
    <n v="6.756743827160494"/>
    <n v="5.2435860834054688"/>
    <n v="2024"/>
    <x v="4"/>
    <n v="12"/>
  </r>
  <r>
    <s v="CAMP1941"/>
    <x v="7"/>
    <x v="3"/>
    <d v="2025-02-23T00:00:00"/>
    <n v="41116"/>
    <n v="765"/>
    <n v="35"/>
    <n v="4854.26"/>
    <n v="3392.27"/>
    <n v="1.8605895515127931E-2"/>
    <n v="4.5751633986928102E-2"/>
    <n v="138.69314285714287"/>
    <n v="0.6988233015948877"/>
    <n v="2025"/>
    <x v="9"/>
    <n v="2"/>
  </r>
  <r>
    <s v="CAMP1942"/>
    <x v="4"/>
    <x v="4"/>
    <d v="2025-02-18T00:00:00"/>
    <n v="129168"/>
    <n v="4377"/>
    <n v="374"/>
    <n v="609.12"/>
    <n v="21409.119999999999"/>
    <n v="3.3886101820884432E-2"/>
    <n v="8.5446652958647479E-2"/>
    <n v="1.6286631016042781"/>
    <n v="35.147622800105069"/>
    <n v="2025"/>
    <x v="9"/>
    <n v="2"/>
  </r>
  <r>
    <s v="CAMP1943"/>
    <x v="3"/>
    <x v="3"/>
    <d v="2024-11-18T00:00:00"/>
    <n v="69343"/>
    <n v="1429"/>
    <n v="168"/>
    <n v="2224.27"/>
    <n v="7193.46"/>
    <n v="2.0607703733614063E-2"/>
    <n v="0.11756473058082575"/>
    <n v="13.23970238095238"/>
    <n v="3.2340767982304306"/>
    <n v="2024"/>
    <x v="5"/>
    <n v="11"/>
  </r>
  <r>
    <s v="CAMP1944"/>
    <x v="3"/>
    <x v="2"/>
    <d v="2024-07-28T00:00:00"/>
    <n v="125259"/>
    <n v="9598"/>
    <n v="835"/>
    <n v="3474.55"/>
    <n v="95502.31"/>
    <n v="7.6625232518222244E-2"/>
    <n v="8.6997291102312982E-2"/>
    <n v="4.1611377245508985"/>
    <n v="27.486238505705774"/>
    <n v="2024"/>
    <x v="10"/>
    <n v="7"/>
  </r>
  <r>
    <s v="CAMP1945"/>
    <x v="6"/>
    <x v="4"/>
    <d v="2025-01-29T00:00:00"/>
    <n v="7607"/>
    <n v="458"/>
    <n v="39"/>
    <n v="533.99"/>
    <n v="2099.38"/>
    <n v="6.0207703431050349E-2"/>
    <n v="8.5152838427947602E-2"/>
    <n v="13.692051282051283"/>
    <n v="3.931496844510197"/>
    <n v="2025"/>
    <x v="0"/>
    <n v="1"/>
  </r>
  <r>
    <s v="CAMP1946"/>
    <x v="3"/>
    <x v="4"/>
    <d v="2024-08-10T00:00:00"/>
    <n v="21113"/>
    <n v="792"/>
    <n v="19"/>
    <n v="4628.09"/>
    <n v="666.81"/>
    <n v="3.751243309809122E-2"/>
    <n v="2.3989898989898988E-2"/>
    <n v="243.58368421052631"/>
    <n v="0.14407887487062696"/>
    <n v="2024"/>
    <x v="1"/>
    <n v="8"/>
  </r>
  <r>
    <s v="CAMP1947"/>
    <x v="4"/>
    <x v="1"/>
    <d v="2024-05-31T00:00:00"/>
    <n v="114918"/>
    <n v="4382"/>
    <n v="475"/>
    <n v="2857.33"/>
    <n v="23955.34"/>
    <n v="3.8131537270053431E-2"/>
    <n v="0.10839799178457325"/>
    <n v="6.0154315789473687"/>
    <n v="8.3838198597991838"/>
    <n v="2024"/>
    <x v="8"/>
    <n v="5"/>
  </r>
  <r>
    <s v="CAMP1948"/>
    <x v="7"/>
    <x v="3"/>
    <d v="2024-01-05T00:00:00"/>
    <n v="78342"/>
    <n v="5720"/>
    <n v="568"/>
    <n v="904.94"/>
    <n v="34303.68"/>
    <n v="7.3013198539736035E-2"/>
    <n v="9.9300699300699305E-2"/>
    <n v="1.5932042253521128"/>
    <n v="37.907131964550132"/>
    <n v="2024"/>
    <x v="0"/>
    <n v="1"/>
  </r>
  <r>
    <s v="CAMP1949"/>
    <x v="1"/>
    <x v="1"/>
    <d v="2024-11-15T00:00:00"/>
    <n v="120905"/>
    <n v="7111"/>
    <n v="962"/>
    <n v="3951.5"/>
    <n v="58153.45"/>
    <n v="5.8814771928373519E-2"/>
    <n v="0.13528336380255943"/>
    <n v="4.1075883575883578"/>
    <n v="14.716803745413133"/>
    <n v="2024"/>
    <x v="5"/>
    <n v="11"/>
  </r>
  <r>
    <s v="CAMP1950"/>
    <x v="1"/>
    <x v="3"/>
    <d v="2024-02-13T00:00:00"/>
    <n v="14691"/>
    <n v="699"/>
    <n v="49"/>
    <n v="3650.63"/>
    <n v="5291.39"/>
    <n v="4.7580151112926281E-2"/>
    <n v="7.0100143061516448E-2"/>
    <n v="74.502653061224493"/>
    <n v="1.4494457121099646"/>
    <n v="2024"/>
    <x v="9"/>
    <n v="2"/>
  </r>
  <r>
    <s v="CAMP1951"/>
    <x v="5"/>
    <x v="4"/>
    <d v="2024-02-17T00:00:00"/>
    <n v="139131"/>
    <n v="6765"/>
    <n v="593"/>
    <n v="3833.82"/>
    <n v="21349.62"/>
    <n v="4.862323996808763E-2"/>
    <n v="8.765705838876571E-2"/>
    <n v="6.4651264755480611"/>
    <n v="5.5687590966712044"/>
    <n v="2024"/>
    <x v="9"/>
    <n v="2"/>
  </r>
  <r>
    <s v="CAMP1952"/>
    <x v="4"/>
    <x v="1"/>
    <d v="2024-10-30T00:00:00"/>
    <n v="72814"/>
    <n v="1958"/>
    <n v="236"/>
    <n v="3687.24"/>
    <n v="28012.13"/>
    <n v="2.689043315845854E-2"/>
    <n v="0.1205311542390194"/>
    <n v="15.623898305084746"/>
    <n v="7.5970454865970218"/>
    <n v="2024"/>
    <x v="3"/>
    <n v="10"/>
  </r>
  <r>
    <s v="CAMP1953"/>
    <x v="0"/>
    <x v="0"/>
    <d v="2024-07-09T00:00:00"/>
    <n v="73093"/>
    <n v="3938"/>
    <n v="260"/>
    <n v="429.12"/>
    <n v="22125.02"/>
    <n v="5.3876568207625902E-2"/>
    <n v="6.6023362112747591E-2"/>
    <n v="1.6504615384615384"/>
    <n v="51.559051081282625"/>
    <n v="2024"/>
    <x v="10"/>
    <n v="7"/>
  </r>
  <r>
    <s v="CAMP1954"/>
    <x v="0"/>
    <x v="2"/>
    <d v="2024-06-01T00:00:00"/>
    <n v="6366"/>
    <n v="265"/>
    <n v="39"/>
    <n v="4065.86"/>
    <n v="4637.1000000000004"/>
    <n v="4.1627395538799877E-2"/>
    <n v="0.14716981132075471"/>
    <n v="104.25282051282052"/>
    <n v="1.1404967214808184"/>
    <n v="2024"/>
    <x v="2"/>
    <n v="6"/>
  </r>
  <r>
    <s v="CAMP1955"/>
    <x v="1"/>
    <x v="3"/>
    <d v="2024-06-02T00:00:00"/>
    <n v="79589"/>
    <n v="4511"/>
    <n v="568"/>
    <n v="2949.28"/>
    <n v="19310.38"/>
    <n v="5.6678686753194533E-2"/>
    <n v="0.12591443138993572"/>
    <n v="5.1923943661971839"/>
    <n v="6.5474895567731783"/>
    <n v="2024"/>
    <x v="2"/>
    <n v="6"/>
  </r>
  <r>
    <s v="CAMP1956"/>
    <x v="3"/>
    <x v="1"/>
    <d v="2025-01-12T00:00:00"/>
    <n v="69915"/>
    <n v="1214"/>
    <n v="105"/>
    <n v="1124.27"/>
    <n v="10274.77"/>
    <n v="1.7363941929485805E-2"/>
    <n v="8.6490939044481061E-2"/>
    <n v="10.707333333333333"/>
    <n v="9.1390591228085789"/>
    <n v="2025"/>
    <x v="0"/>
    <n v="1"/>
  </r>
  <r>
    <s v="CAMP1957"/>
    <x v="6"/>
    <x v="0"/>
    <d v="2024-03-16T00:00:00"/>
    <n v="116592"/>
    <n v="7927"/>
    <n v="242"/>
    <n v="498.53"/>
    <n v="26341.919999999998"/>
    <n v="6.7989227391244689E-2"/>
    <n v="3.0528573230730414E-2"/>
    <n v="2.0600413223140497"/>
    <n v="52.83918721039857"/>
    <n v="2024"/>
    <x v="6"/>
    <n v="3"/>
  </r>
  <r>
    <s v="CAMP1958"/>
    <x v="6"/>
    <x v="4"/>
    <d v="2024-08-16T00:00:00"/>
    <n v="25466"/>
    <n v="912"/>
    <n v="80"/>
    <n v="3023.55"/>
    <n v="5751.56"/>
    <n v="3.5812455823450877E-2"/>
    <n v="8.771929824561403E-2"/>
    <n v="37.794375000000002"/>
    <n v="1.9022539729787833"/>
    <n v="2024"/>
    <x v="1"/>
    <n v="8"/>
  </r>
  <r>
    <s v="CAMP1959"/>
    <x v="3"/>
    <x v="3"/>
    <d v="2024-10-26T00:00:00"/>
    <n v="135764"/>
    <n v="7406"/>
    <n v="1107"/>
    <n v="3507.29"/>
    <n v="127063.67999999999"/>
    <n v="5.4550543590347958E-2"/>
    <n v="0.14947339994598974"/>
    <n v="3.1682836495031617"/>
    <n v="36.228449885809269"/>
    <n v="2024"/>
    <x v="3"/>
    <n v="10"/>
  </r>
  <r>
    <s v="CAMP1960"/>
    <x v="3"/>
    <x v="4"/>
    <d v="2024-03-14T00:00:00"/>
    <n v="137588"/>
    <n v="2600"/>
    <n v="292"/>
    <n v="821.05"/>
    <n v="26412.12"/>
    <n v="1.8896996831118992E-2"/>
    <n v="0.1123076923076923"/>
    <n v="2.8118150684931504"/>
    <n v="32.168710797149991"/>
    <n v="2024"/>
    <x v="6"/>
    <n v="3"/>
  </r>
  <r>
    <s v="CAMP1961"/>
    <x v="0"/>
    <x v="4"/>
    <d v="2024-08-21T00:00:00"/>
    <n v="129087"/>
    <n v="1585"/>
    <n v="64"/>
    <n v="2883.33"/>
    <n v="7178.86"/>
    <n v="1.2278540829053275E-2"/>
    <n v="4.0378548895899057E-2"/>
    <n v="45.052031249999999"/>
    <n v="2.4897809130415181"/>
    <n v="2024"/>
    <x v="1"/>
    <n v="8"/>
  </r>
  <r>
    <s v="CAMP1962"/>
    <x v="0"/>
    <x v="1"/>
    <d v="2024-07-28T00:00:00"/>
    <n v="33923"/>
    <n v="626"/>
    <n v="59"/>
    <n v="393.35"/>
    <n v="2084.5"/>
    <n v="1.8453556584028537E-2"/>
    <n v="9.4249201277955275E-2"/>
    <n v="6.6669491525423732"/>
    <n v="5.2993517223846442"/>
    <n v="2024"/>
    <x v="10"/>
    <n v="7"/>
  </r>
  <r>
    <s v="CAMP1963"/>
    <x v="7"/>
    <x v="3"/>
    <d v="2024-07-10T00:00:00"/>
    <n v="84497"/>
    <n v="2583"/>
    <n v="61"/>
    <n v="885.77"/>
    <n v="6001.13"/>
    <n v="3.0569132631927762E-2"/>
    <n v="2.3615950445218737E-2"/>
    <n v="14.520819672131147"/>
    <n v="6.7750431827675355"/>
    <n v="2024"/>
    <x v="10"/>
    <n v="7"/>
  </r>
  <r>
    <s v="CAMP1964"/>
    <x v="3"/>
    <x v="0"/>
    <d v="2024-06-05T00:00:00"/>
    <n v="79313"/>
    <n v="1990"/>
    <n v="251"/>
    <n v="2546.21"/>
    <n v="8090.43"/>
    <n v="2.5090464362714813E-2"/>
    <n v="0.12613065326633166"/>
    <n v="10.144262948207171"/>
    <n v="3.1774401954277143"/>
    <n v="2024"/>
    <x v="2"/>
    <n v="6"/>
  </r>
  <r>
    <s v="CAMP1965"/>
    <x v="7"/>
    <x v="0"/>
    <d v="2024-01-23T00:00:00"/>
    <n v="114464"/>
    <n v="5000"/>
    <n v="301"/>
    <n v="2371.4"/>
    <n v="16188.48"/>
    <n v="4.3681856304165503E-2"/>
    <n v="6.0199999999999997E-2"/>
    <n v="7.8784053156146179"/>
    <n v="6.8265497174664747"/>
    <n v="2024"/>
    <x v="0"/>
    <n v="1"/>
  </r>
  <r>
    <s v="CAMP1966"/>
    <x v="3"/>
    <x v="2"/>
    <d v="2025-01-03T00:00:00"/>
    <n v="39815"/>
    <n v="2521"/>
    <n v="215"/>
    <n v="2412.4899999999998"/>
    <n v="13973.48"/>
    <n v="6.3317845033278919E-2"/>
    <n v="8.5283617612058701E-2"/>
    <n v="11.220883720930232"/>
    <n v="5.7921400710469273"/>
    <n v="2025"/>
    <x v="0"/>
    <n v="1"/>
  </r>
  <r>
    <s v="CAMP1967"/>
    <x v="6"/>
    <x v="4"/>
    <d v="2025-01-07T00:00:00"/>
    <n v="90253"/>
    <n v="1466"/>
    <n v="148"/>
    <n v="3193.23"/>
    <n v="8691.08"/>
    <n v="1.6243227371943315E-2"/>
    <n v="0.1009549795361528"/>
    <n v="21.575878378378377"/>
    <n v="2.7217206402294853"/>
    <n v="2025"/>
    <x v="0"/>
    <n v="1"/>
  </r>
  <r>
    <s v="CAMP1968"/>
    <x v="3"/>
    <x v="3"/>
    <d v="2024-10-03T00:00:00"/>
    <n v="17011"/>
    <n v="1310"/>
    <n v="177"/>
    <n v="3732.38"/>
    <n v="14972.72"/>
    <n v="7.7008994180236323E-2"/>
    <n v="0.13511450381679388"/>
    <n v="21.086892655367233"/>
    <n v="4.0115743841731009"/>
    <n v="2024"/>
    <x v="3"/>
    <n v="10"/>
  </r>
  <r>
    <s v="CAMP1969"/>
    <x v="2"/>
    <x v="0"/>
    <d v="2024-10-19T00:00:00"/>
    <n v="85962"/>
    <n v="4235"/>
    <n v="152"/>
    <n v="2884.89"/>
    <n v="5964.89"/>
    <n v="4.9265954724180452E-2"/>
    <n v="3.5891381345926801E-2"/>
    <n v="18.979539473684209"/>
    <n v="2.0676316947959887"/>
    <n v="2024"/>
    <x v="3"/>
    <n v="10"/>
  </r>
  <r>
    <s v="CAMP1970"/>
    <x v="4"/>
    <x v="1"/>
    <d v="2024-09-24T00:00:00"/>
    <n v="54648"/>
    <n v="3417"/>
    <n v="291"/>
    <n v="289.58999999999997"/>
    <n v="24975.200000000001"/>
    <n v="6.2527448397013616E-2"/>
    <n v="8.5162423178226518E-2"/>
    <n v="0.99515463917525759"/>
    <n v="86.243309506543739"/>
    <n v="2024"/>
    <x v="11"/>
    <n v="9"/>
  </r>
  <r>
    <s v="CAMP1971"/>
    <x v="2"/>
    <x v="0"/>
    <d v="2024-05-20T00:00:00"/>
    <n v="58950"/>
    <n v="1601"/>
    <n v="178"/>
    <n v="4460.75"/>
    <n v="11467.28"/>
    <n v="2.7158608990670061E-2"/>
    <n v="0.11118051217988757"/>
    <n v="25.060393258426966"/>
    <n v="2.5707067197220201"/>
    <n v="2024"/>
    <x v="8"/>
    <n v="5"/>
  </r>
  <r>
    <s v="CAMP1972"/>
    <x v="7"/>
    <x v="2"/>
    <d v="2024-10-28T00:00:00"/>
    <n v="16792"/>
    <n v="745"/>
    <n v="105"/>
    <n v="1831.79"/>
    <n v="3995.33"/>
    <n v="4.4366364935683661E-2"/>
    <n v="0.14093959731543623"/>
    <n v="17.445619047619047"/>
    <n v="2.1811070046238923"/>
    <n v="2024"/>
    <x v="3"/>
    <n v="10"/>
  </r>
  <r>
    <s v="CAMP1973"/>
    <x v="4"/>
    <x v="1"/>
    <d v="2024-06-11T00:00:00"/>
    <n v="105141"/>
    <n v="2944"/>
    <n v="102"/>
    <n v="676.8"/>
    <n v="3755.19"/>
    <n v="2.8000494573953073E-2"/>
    <n v="3.4646739130434784E-2"/>
    <n v="6.6352941176470583"/>
    <n v="5.548448581560284"/>
    <n v="2024"/>
    <x v="2"/>
    <n v="6"/>
  </r>
  <r>
    <s v="CAMP1974"/>
    <x v="2"/>
    <x v="4"/>
    <d v="2024-05-10T00:00:00"/>
    <n v="28495"/>
    <n v="592"/>
    <n v="85"/>
    <n v="3457.32"/>
    <n v="2200.77"/>
    <n v="2.0775574662221442E-2"/>
    <n v="0.14358108108108109"/>
    <n v="40.674352941176473"/>
    <n v="0.63655374683280685"/>
    <n v="2024"/>
    <x v="8"/>
    <n v="5"/>
  </r>
  <r>
    <s v="CAMP1975"/>
    <x v="7"/>
    <x v="4"/>
    <d v="2024-01-14T00:00:00"/>
    <n v="20335"/>
    <n v="627"/>
    <n v="20"/>
    <n v="883.81"/>
    <n v="2186.02"/>
    <n v="3.0833538234570936E-2"/>
    <n v="3.1897926634768738E-2"/>
    <n v="44.1905"/>
    <n v="2.4734049173464885"/>
    <n v="2024"/>
    <x v="0"/>
    <n v="1"/>
  </r>
  <r>
    <s v="CAMP1976"/>
    <x v="5"/>
    <x v="2"/>
    <d v="2025-02-27T00:00:00"/>
    <n v="36710"/>
    <n v="500"/>
    <n v="25"/>
    <n v="3065.62"/>
    <n v="1091.23"/>
    <n v="1.3620266957232362E-2"/>
    <n v="0.05"/>
    <n v="122.62479999999999"/>
    <n v="0.35595735935960754"/>
    <n v="2025"/>
    <x v="9"/>
    <n v="2"/>
  </r>
  <r>
    <s v="CAMP1977"/>
    <x v="3"/>
    <x v="0"/>
    <d v="2024-05-17T00:00:00"/>
    <n v="20894"/>
    <n v="674"/>
    <n v="61"/>
    <n v="514.20000000000005"/>
    <n v="1396.33"/>
    <n v="3.2258064516129031E-2"/>
    <n v="9.050445103857567E-2"/>
    <n v="8.4295081967213115"/>
    <n v="2.715538700894593"/>
    <n v="2024"/>
    <x v="8"/>
    <n v="5"/>
  </r>
  <r>
    <s v="CAMP1978"/>
    <x v="1"/>
    <x v="0"/>
    <d v="2024-05-17T00:00:00"/>
    <n v="31610"/>
    <n v="861"/>
    <n v="79"/>
    <n v="3969.03"/>
    <n v="3986.44"/>
    <n v="2.7238215754508067E-2"/>
    <n v="9.1753774680603944E-2"/>
    <n v="50.240886075949369"/>
    <n v="1.0043864621834553"/>
    <n v="2024"/>
    <x v="8"/>
    <n v="5"/>
  </r>
  <r>
    <s v="CAMP1979"/>
    <x v="3"/>
    <x v="2"/>
    <d v="2024-02-12T00:00:00"/>
    <n v="136185"/>
    <n v="3301"/>
    <n v="481"/>
    <n v="1991.87"/>
    <n v="57013.35"/>
    <n v="2.4239086536696406E-2"/>
    <n v="0.14571342017570432"/>
    <n v="4.1411018711018706"/>
    <n v="28.623027607223364"/>
    <n v="2024"/>
    <x v="9"/>
    <n v="2"/>
  </r>
  <r>
    <s v="CAMP1980"/>
    <x v="1"/>
    <x v="1"/>
    <d v="2024-08-04T00:00:00"/>
    <n v="123421"/>
    <n v="1595"/>
    <n v="200"/>
    <n v="4813.3500000000004"/>
    <n v="16414.599999999999"/>
    <n v="1.2923246449145607E-2"/>
    <n v="0.12539184952978055"/>
    <n v="24.066750000000003"/>
    <n v="3.4102236488100797"/>
    <n v="2024"/>
    <x v="1"/>
    <n v="8"/>
  </r>
  <r>
    <s v="CAMP1981"/>
    <x v="2"/>
    <x v="0"/>
    <d v="2024-01-31T00:00:00"/>
    <n v="131402"/>
    <n v="3827"/>
    <n v="201"/>
    <n v="3463.99"/>
    <n v="24104.76"/>
    <n v="2.9124366447999268E-2"/>
    <n v="5.2521557355631042E-2"/>
    <n v="17.233781094527362"/>
    <n v="6.9586690492755467"/>
    <n v="2024"/>
    <x v="0"/>
    <n v="1"/>
  </r>
  <r>
    <s v="CAMP1982"/>
    <x v="1"/>
    <x v="1"/>
    <d v="2024-09-18T00:00:00"/>
    <n v="78744"/>
    <n v="1038"/>
    <n v="120"/>
    <n v="2902.79"/>
    <n v="6007.66"/>
    <n v="1.3181956720512039E-2"/>
    <n v="0.11560693641618497"/>
    <n v="24.189916666666665"/>
    <n v="2.0696157834359359"/>
    <n v="2024"/>
    <x v="11"/>
    <n v="9"/>
  </r>
  <r>
    <s v="CAMP1983"/>
    <x v="3"/>
    <x v="0"/>
    <d v="2025-03-01T00:00:00"/>
    <n v="41608"/>
    <n v="2527"/>
    <n v="378"/>
    <n v="4415.74"/>
    <n v="15530.14"/>
    <n v="6.073351278600269E-2"/>
    <n v="0.14958448753462603"/>
    <n v="11.681851851851851"/>
    <n v="3.5169960187873381"/>
    <n v="2025"/>
    <x v="6"/>
    <n v="3"/>
  </r>
  <r>
    <s v="CAMP1984"/>
    <x v="7"/>
    <x v="3"/>
    <d v="2024-11-21T00:00:00"/>
    <n v="73514"/>
    <n v="5776"/>
    <n v="646"/>
    <n v="1510.46"/>
    <n v="55703.1"/>
    <n v="7.8570068286312814E-2"/>
    <n v="0.1118421052631579"/>
    <n v="2.3381733746130031"/>
    <n v="36.878235769235857"/>
    <n v="2024"/>
    <x v="5"/>
    <n v="11"/>
  </r>
  <r>
    <s v="CAMP1985"/>
    <x v="7"/>
    <x v="3"/>
    <d v="2024-04-17T00:00:00"/>
    <n v="125533"/>
    <n v="9682"/>
    <n v="607"/>
    <n v="4587.29"/>
    <n v="20257.150000000001"/>
    <n v="7.7127129918029516E-2"/>
    <n v="6.2693658335054747E-2"/>
    <n v="7.5573146622734759"/>
    <n v="4.4159296665351446"/>
    <n v="2024"/>
    <x v="7"/>
    <n v="4"/>
  </r>
  <r>
    <s v="CAMP1986"/>
    <x v="4"/>
    <x v="1"/>
    <d v="2024-08-31T00:00:00"/>
    <n v="6121"/>
    <n v="447"/>
    <n v="48"/>
    <n v="2183.1799999999998"/>
    <n v="5257.29"/>
    <n v="7.3027283123672598E-2"/>
    <n v="0.10738255033557047"/>
    <n v="45.482916666666661"/>
    <n v="2.4080882016141594"/>
    <n v="2024"/>
    <x v="1"/>
    <n v="8"/>
  </r>
  <r>
    <s v="CAMP1987"/>
    <x v="6"/>
    <x v="2"/>
    <d v="2024-10-02T00:00:00"/>
    <n v="26272"/>
    <n v="1710"/>
    <n v="178"/>
    <n v="572.11"/>
    <n v="4110.87"/>
    <n v="6.5088306942752736E-2"/>
    <n v="0.10409356725146199"/>
    <n v="3.2141011235955057"/>
    <n v="7.1854538462883006"/>
    <n v="2024"/>
    <x v="3"/>
    <n v="10"/>
  </r>
  <r>
    <s v="CAMP1988"/>
    <x v="6"/>
    <x v="0"/>
    <d v="2024-06-29T00:00:00"/>
    <n v="103664"/>
    <n v="7041"/>
    <n v="468"/>
    <n v="1050.5"/>
    <n v="45300.800000000003"/>
    <n v="6.7921361321191545E-2"/>
    <n v="6.6467831273966771E-2"/>
    <n v="2.2446581196581197"/>
    <n v="43.12308424559734"/>
    <n v="2024"/>
    <x v="2"/>
    <n v="6"/>
  </r>
  <r>
    <s v="CAMP1989"/>
    <x v="4"/>
    <x v="0"/>
    <d v="2024-08-24T00:00:00"/>
    <n v="102119"/>
    <n v="7713"/>
    <n v="600"/>
    <n v="1263.3"/>
    <n v="13186.9"/>
    <n v="7.5529529274669743E-2"/>
    <n v="7.7790742901594712E-2"/>
    <n v="2.1054999999999997"/>
    <n v="10.43845484049711"/>
    <n v="2024"/>
    <x v="1"/>
    <n v="8"/>
  </r>
  <r>
    <s v="CAMP1990"/>
    <x v="5"/>
    <x v="3"/>
    <d v="2024-04-08T00:00:00"/>
    <n v="28584"/>
    <n v="1919"/>
    <n v="194"/>
    <n v="4080.39"/>
    <n v="8170.27"/>
    <n v="6.7135460397425128E-2"/>
    <n v="0.10109431995831163"/>
    <n v="21.032938144329897"/>
    <n v="2.0023257580770468"/>
    <n v="2024"/>
    <x v="7"/>
    <n v="4"/>
  </r>
  <r>
    <s v="CAMP1991"/>
    <x v="6"/>
    <x v="3"/>
    <d v="2024-01-19T00:00:00"/>
    <n v="78598"/>
    <n v="3497"/>
    <n v="390"/>
    <n v="3108.93"/>
    <n v="8078.28"/>
    <n v="4.4492226265299369E-2"/>
    <n v="0.11152416356877323"/>
    <n v="7.9716153846153839"/>
    <n v="2.5984116721830341"/>
    <n v="2024"/>
    <x v="0"/>
    <n v="1"/>
  </r>
  <r>
    <s v="CAMP1992"/>
    <x v="3"/>
    <x v="0"/>
    <d v="2024-05-22T00:00:00"/>
    <n v="136157"/>
    <n v="6069"/>
    <n v="556"/>
    <n v="3367.22"/>
    <n v="42573.31"/>
    <n v="4.4573543776669583E-2"/>
    <n v="9.1613115834569117E-2"/>
    <n v="6.0561510791366899"/>
    <n v="12.643459589809991"/>
    <n v="2024"/>
    <x v="8"/>
    <n v="5"/>
  </r>
  <r>
    <s v="CAMP1993"/>
    <x v="2"/>
    <x v="0"/>
    <d v="2024-10-28T00:00:00"/>
    <n v="38619"/>
    <n v="2402"/>
    <n v="87"/>
    <n v="4681.1000000000004"/>
    <n v="9182.67"/>
    <n v="6.2197363991817502E-2"/>
    <n v="3.6219816819317234E-2"/>
    <n v="53.805747126436785"/>
    <n v="1.9616479032705987"/>
    <n v="2024"/>
    <x v="3"/>
    <n v="10"/>
  </r>
  <r>
    <s v="CAMP1994"/>
    <x v="5"/>
    <x v="4"/>
    <d v="2024-12-13T00:00:00"/>
    <n v="11060"/>
    <n v="878"/>
    <n v="96"/>
    <n v="2758.12"/>
    <n v="4348.04"/>
    <n v="7.9385171790235076E-2"/>
    <n v="0.10933940774487472"/>
    <n v="28.730416666666667"/>
    <n v="1.5764506257885806"/>
    <n v="2024"/>
    <x v="4"/>
    <n v="12"/>
  </r>
  <r>
    <s v="CAMP1995"/>
    <x v="6"/>
    <x v="0"/>
    <d v="2024-08-06T00:00:00"/>
    <n v="18595"/>
    <n v="1297"/>
    <n v="80"/>
    <n v="4252.84"/>
    <n v="4855.01"/>
    <n v="6.9749932777628393E-2"/>
    <n v="6.1680801850424058E-2"/>
    <n v="53.160499999999999"/>
    <n v="1.1415924417565675"/>
    <n v="2024"/>
    <x v="1"/>
    <n v="8"/>
  </r>
  <r>
    <s v="CAMP1996"/>
    <x v="0"/>
    <x v="1"/>
    <d v="2024-08-26T00:00:00"/>
    <n v="134911"/>
    <n v="4762"/>
    <n v="565"/>
    <n v="4442.25"/>
    <n v="23986.97"/>
    <n v="3.5297344175048734E-2"/>
    <n v="0.11864762704745906"/>
    <n v="7.8623893805309732"/>
    <n v="5.3997343688446175"/>
    <n v="2024"/>
    <x v="1"/>
    <n v="8"/>
  </r>
  <r>
    <s v="CAMP1997"/>
    <x v="5"/>
    <x v="2"/>
    <d v="2024-09-29T00:00:00"/>
    <n v="122666"/>
    <n v="3942"/>
    <n v="279"/>
    <n v="1806.59"/>
    <n v="30134.75"/>
    <n v="3.2136044217631617E-2"/>
    <n v="7.0776255707762553E-2"/>
    <n v="6.4752329749103943"/>
    <n v="16.680458764855334"/>
    <n v="2024"/>
    <x v="11"/>
    <n v="9"/>
  </r>
  <r>
    <s v="CAMP1998"/>
    <x v="4"/>
    <x v="4"/>
    <d v="2024-12-19T00:00:00"/>
    <n v="116101"/>
    <n v="8944"/>
    <n v="1245"/>
    <n v="1145.01"/>
    <n v="65888.47"/>
    <n v="7.7036373502381544E-2"/>
    <n v="0.13919946332737029"/>
    <n v="0.91968674698795183"/>
    <n v="57.544012716046147"/>
    <n v="2024"/>
    <x v="4"/>
    <n v="12"/>
  </r>
  <r>
    <s v="CAMP1999"/>
    <x v="0"/>
    <x v="0"/>
    <d v="2024-01-15T00:00:00"/>
    <n v="130820"/>
    <n v="5263"/>
    <n v="121"/>
    <n v="4026.66"/>
    <n v="13734.24"/>
    <n v="4.0230851551750497E-2"/>
    <n v="2.2990689720691619E-2"/>
    <n v="33.278181818181814"/>
    <n v="3.4108268391172833"/>
    <n v="2024"/>
    <x v="0"/>
    <n v="1"/>
  </r>
  <r>
    <s v="CAMP2000"/>
    <x v="5"/>
    <x v="4"/>
    <d v="2024-02-25T00:00:00"/>
    <n v="129145"/>
    <n v="3446"/>
    <n v="221"/>
    <n v="461.28"/>
    <n v="11792.3"/>
    <n v="2.6683185566611173E-2"/>
    <n v="6.4132327336041794E-2"/>
    <n v="2.0872398190045249"/>
    <n v="25.564299340964272"/>
    <n v="2024"/>
    <x v="9"/>
    <n v="2"/>
  </r>
  <r>
    <s v="CAMP2001"/>
    <x v="1"/>
    <x v="0"/>
    <d v="2025-02-01T00:00:00"/>
    <n v="119957"/>
    <n v="7615"/>
    <n v="771"/>
    <n v="2978.89"/>
    <n v="22014.73"/>
    <n v="6.348108072059154E-2"/>
    <n v="0.10124753775443204"/>
    <n v="3.8636705577172501"/>
    <n v="7.3902460312398244"/>
    <n v="2025"/>
    <x v="9"/>
    <n v="2"/>
  </r>
  <r>
    <s v="CAMP2002"/>
    <x v="4"/>
    <x v="0"/>
    <d v="2024-07-12T00:00:00"/>
    <n v="87124"/>
    <n v="6299"/>
    <n v="693"/>
    <n v="3956.7"/>
    <n v="18156.75"/>
    <n v="7.2299251641338783E-2"/>
    <n v="0.11001746308937926"/>
    <n v="5.7095238095238097"/>
    <n v="4.5888619303965426"/>
    <n v="2024"/>
    <x v="10"/>
    <n v="7"/>
  </r>
  <r>
    <s v="CAMP2003"/>
    <x v="6"/>
    <x v="0"/>
    <d v="2024-06-03T00:00:00"/>
    <n v="118204"/>
    <n v="1726"/>
    <n v="186"/>
    <n v="2884.44"/>
    <n v="9205.4500000000007"/>
    <n v="1.4601874725051606E-2"/>
    <n v="0.10776361529548088"/>
    <n v="15.507741935483871"/>
    <n v="3.191416704802319"/>
    <n v="2024"/>
    <x v="2"/>
    <n v="6"/>
  </r>
  <r>
    <s v="CAMP2004"/>
    <x v="3"/>
    <x v="2"/>
    <d v="2024-02-19T00:00:00"/>
    <n v="112769"/>
    <n v="2967"/>
    <n v="290"/>
    <n v="3366.68"/>
    <n v="6107.59"/>
    <n v="2.6310422190495616E-2"/>
    <n v="9.7741826761038084E-2"/>
    <n v="11.609241379310344"/>
    <n v="1.8141284588971927"/>
    <n v="2024"/>
    <x v="9"/>
    <n v="2"/>
  </r>
  <r>
    <s v="CAMP2005"/>
    <x v="3"/>
    <x v="2"/>
    <d v="2025-02-11T00:00:00"/>
    <n v="117225"/>
    <n v="8392"/>
    <n v="843"/>
    <n v="1830.16"/>
    <n v="95898.4"/>
    <n v="7.1588824909362331E-2"/>
    <n v="0.10045281220209723"/>
    <n v="2.1710083036773429"/>
    <n v="52.398915941775577"/>
    <n v="2025"/>
    <x v="9"/>
    <n v="2"/>
  </r>
  <r>
    <s v="CAMP2006"/>
    <x v="4"/>
    <x v="2"/>
    <d v="2024-09-21T00:00:00"/>
    <n v="91034"/>
    <n v="4656"/>
    <n v="158"/>
    <n v="258.99"/>
    <n v="14430.13"/>
    <n v="5.1145725772788191E-2"/>
    <n v="3.3934707903780066E-2"/>
    <n v="1.6391772151898736"/>
    <n v="55.716938877948948"/>
    <n v="2024"/>
    <x v="11"/>
    <n v="9"/>
  </r>
  <r>
    <s v="CAMP2007"/>
    <x v="1"/>
    <x v="1"/>
    <d v="2024-03-05T00:00:00"/>
    <n v="138404"/>
    <n v="3867"/>
    <n v="288"/>
    <n v="3678.19"/>
    <n v="18565.18"/>
    <n v="2.7939943932256295E-2"/>
    <n v="7.447633824670287E-2"/>
    <n v="12.771493055555556"/>
    <n v="5.0473684067435345"/>
    <n v="2024"/>
    <x v="6"/>
    <n v="3"/>
  </r>
  <r>
    <s v="CAMP2008"/>
    <x v="1"/>
    <x v="4"/>
    <d v="2025-02-12T00:00:00"/>
    <n v="16552"/>
    <n v="235"/>
    <n v="14"/>
    <n v="2292.0700000000002"/>
    <n v="1623.64"/>
    <n v="1.4197680038666022E-2"/>
    <n v="5.9574468085106386E-2"/>
    <n v="163.71928571428572"/>
    <n v="0.70837278093600975"/>
    <n v="2025"/>
    <x v="9"/>
    <n v="2"/>
  </r>
  <r>
    <s v="CAMP2009"/>
    <x v="7"/>
    <x v="3"/>
    <d v="2024-10-25T00:00:00"/>
    <n v="146857"/>
    <n v="9440"/>
    <n v="369"/>
    <n v="1681.64"/>
    <n v="20033.02"/>
    <n v="6.4280218171418449E-2"/>
    <n v="3.9088983050847459E-2"/>
    <n v="4.5572899728997296"/>
    <n v="11.912787516947741"/>
    <n v="2024"/>
    <x v="3"/>
    <n v="10"/>
  </r>
  <r>
    <s v="CAMP2010"/>
    <x v="7"/>
    <x v="0"/>
    <d v="2024-09-22T00:00:00"/>
    <n v="42906"/>
    <n v="601"/>
    <n v="51"/>
    <n v="4208.84"/>
    <n v="5399.38"/>
    <n v="1.4007364937304806E-2"/>
    <n v="8.4858569051580693E-2"/>
    <n v="82.526274509803926"/>
    <n v="1.2828665380484885"/>
    <n v="2024"/>
    <x v="11"/>
    <n v="9"/>
  </r>
  <r>
    <s v="CAMP2011"/>
    <x v="3"/>
    <x v="3"/>
    <d v="2024-04-10T00:00:00"/>
    <n v="57526"/>
    <n v="3154"/>
    <n v="145"/>
    <n v="528.34"/>
    <n v="5645.66"/>
    <n v="5.4827382401001289E-2"/>
    <n v="4.5973367152821812E-2"/>
    <n v="3.6437241379310348"/>
    <n v="10.685656963319074"/>
    <n v="2024"/>
    <x v="7"/>
    <n v="4"/>
  </r>
  <r>
    <s v="CAMP2012"/>
    <x v="6"/>
    <x v="2"/>
    <d v="2024-11-03T00:00:00"/>
    <n v="91807"/>
    <n v="6393"/>
    <n v="598"/>
    <n v="1811.17"/>
    <n v="29877.97"/>
    <n v="6.9635213001187274E-2"/>
    <n v="9.353980916627562E-2"/>
    <n v="3.0287123745819398"/>
    <n v="16.496502260969429"/>
    <n v="2024"/>
    <x v="5"/>
    <n v="11"/>
  </r>
  <r>
    <s v="CAMP2013"/>
    <x v="7"/>
    <x v="4"/>
    <d v="2024-02-23T00:00:00"/>
    <n v="124092"/>
    <n v="8851"/>
    <n v="1224"/>
    <n v="2580.4699999999998"/>
    <n v="137082.32"/>
    <n v="7.1326112883989295E-2"/>
    <n v="0.13828945881821264"/>
    <n v="2.1082271241830064"/>
    <n v="53.123004723945641"/>
    <n v="2024"/>
    <x v="9"/>
    <n v="2"/>
  </r>
  <r>
    <s v="CAMP2014"/>
    <x v="1"/>
    <x v="4"/>
    <d v="2024-08-26T00:00:00"/>
    <n v="60872"/>
    <n v="1627"/>
    <n v="187"/>
    <n v="4772.42"/>
    <n v="9939.33"/>
    <n v="2.6728216585622289E-2"/>
    <n v="0.11493546404425323"/>
    <n v="25.520962566844918"/>
    <n v="2.082660369372352"/>
    <n v="2024"/>
    <x v="1"/>
    <n v="8"/>
  </r>
  <r>
    <s v="CAMP2015"/>
    <x v="3"/>
    <x v="4"/>
    <d v="2024-07-23T00:00:00"/>
    <n v="53298"/>
    <n v="3614"/>
    <n v="75"/>
    <n v="247.48"/>
    <n v="4184.1499999999996"/>
    <n v="6.7807422417351493E-2"/>
    <n v="2.0752628666297731E-2"/>
    <n v="3.2997333333333332"/>
    <n v="16.907022789720379"/>
    <n v="2024"/>
    <x v="10"/>
    <n v="7"/>
  </r>
  <r>
    <s v="CAMP2016"/>
    <x v="0"/>
    <x v="4"/>
    <d v="2024-05-28T00:00:00"/>
    <n v="120450"/>
    <n v="2843"/>
    <n v="273"/>
    <n v="3874.56"/>
    <n v="6658.6"/>
    <n v="2.3603154836031547E-2"/>
    <n v="9.6025325360534652E-2"/>
    <n v="14.192527472527471"/>
    <n v="1.7185435249421872"/>
    <n v="2024"/>
    <x v="8"/>
    <n v="5"/>
  </r>
  <r>
    <s v="CAMP2017"/>
    <x v="4"/>
    <x v="4"/>
    <d v="2024-04-11T00:00:00"/>
    <n v="79475"/>
    <n v="1763"/>
    <n v="238"/>
    <n v="3650.42"/>
    <n v="12847.66"/>
    <n v="2.2183076439131803E-2"/>
    <n v="0.13499716392512762"/>
    <n v="15.337899159663866"/>
    <n v="3.5195018655387598"/>
    <n v="2024"/>
    <x v="7"/>
    <n v="4"/>
  </r>
  <r>
    <s v="CAMP2018"/>
    <x v="1"/>
    <x v="4"/>
    <d v="2024-04-10T00:00:00"/>
    <n v="10634"/>
    <n v="237"/>
    <n v="12"/>
    <n v="685.71"/>
    <n v="1237.73"/>
    <n v="2.2287003949595638E-2"/>
    <n v="5.0632911392405063E-2"/>
    <n v="57.142500000000005"/>
    <n v="1.805034198130405"/>
    <n v="2024"/>
    <x v="7"/>
    <n v="4"/>
  </r>
  <r>
    <s v="CAMP2019"/>
    <x v="2"/>
    <x v="2"/>
    <d v="2024-12-01T00:00:00"/>
    <n v="34089"/>
    <n v="1148"/>
    <n v="54"/>
    <n v="2389.7800000000002"/>
    <n v="3076.06"/>
    <n v="3.367655255360967E-2"/>
    <n v="4.7038327526132406E-2"/>
    <n v="44.255185185185191"/>
    <n v="1.2871728778381273"/>
    <n v="2024"/>
    <x v="4"/>
    <n v="12"/>
  </r>
  <r>
    <s v="CAMP2020"/>
    <x v="7"/>
    <x v="4"/>
    <d v="2024-09-26T00:00:00"/>
    <n v="118696"/>
    <n v="8485"/>
    <n v="241"/>
    <n v="893.27"/>
    <n v="27092.15"/>
    <n v="7.1485138505088627E-2"/>
    <n v="2.8403064230995874E-2"/>
    <n v="3.7065145228215766"/>
    <n v="30.329183785417626"/>
    <n v="2024"/>
    <x v="11"/>
    <n v="9"/>
  </r>
  <r>
    <s v="CAMP2021"/>
    <x v="1"/>
    <x v="4"/>
    <d v="2024-09-29T00:00:00"/>
    <n v="104141"/>
    <n v="6103"/>
    <n v="374"/>
    <n v="2261.79"/>
    <n v="31271.75"/>
    <n v="5.8603239838296156E-2"/>
    <n v="6.1281337047353758E-2"/>
    <n v="6.0475668449197864"/>
    <n v="13.826106756153312"/>
    <n v="2024"/>
    <x v="11"/>
    <n v="9"/>
  </r>
  <r>
    <s v="CAMP2022"/>
    <x v="4"/>
    <x v="1"/>
    <d v="2024-10-27T00:00:00"/>
    <n v="54571"/>
    <n v="3809"/>
    <n v="221"/>
    <n v="913.12"/>
    <n v="9882.49"/>
    <n v="6.9798977478880725E-2"/>
    <n v="5.8020477815699661E-2"/>
    <n v="4.131764705882353"/>
    <n v="10.822772472402313"/>
    <n v="2024"/>
    <x v="3"/>
    <n v="10"/>
  </r>
  <r>
    <s v="CAMP2023"/>
    <x v="5"/>
    <x v="4"/>
    <d v="2024-09-17T00:00:00"/>
    <n v="133185"/>
    <n v="3282"/>
    <n v="100"/>
    <n v="2459.1999999999998"/>
    <n v="8635.02"/>
    <n v="2.4642414686338553E-2"/>
    <n v="3.0469226081657527E-2"/>
    <n v="24.591999999999999"/>
    <n v="3.5113126219908919"/>
    <n v="2024"/>
    <x v="11"/>
    <n v="9"/>
  </r>
  <r>
    <s v="CAMP2024"/>
    <x v="0"/>
    <x v="4"/>
    <d v="2024-09-17T00:00:00"/>
    <n v="106742"/>
    <n v="6681"/>
    <n v="693"/>
    <n v="2643.96"/>
    <n v="48412.13"/>
    <n v="6.2590170691948804E-2"/>
    <n v="0.1037269869779973"/>
    <n v="3.8152380952380951"/>
    <n v="18.310462336797833"/>
    <n v="2024"/>
    <x v="11"/>
    <n v="9"/>
  </r>
  <r>
    <s v="CAMP2025"/>
    <x v="6"/>
    <x v="4"/>
    <d v="2024-06-13T00:00:00"/>
    <n v="103010"/>
    <n v="4819"/>
    <n v="399"/>
    <n v="4787.6099999999997"/>
    <n v="26882.95"/>
    <n v="4.6781865838268127E-2"/>
    <n v="8.2797260842498444E-2"/>
    <n v="11.999022556390976"/>
    <n v="5.6151085823615547"/>
    <n v="2024"/>
    <x v="2"/>
    <n v="6"/>
  </r>
  <r>
    <s v="CAMP2026"/>
    <x v="3"/>
    <x v="1"/>
    <d v="2024-11-28T00:00:00"/>
    <n v="14595"/>
    <n v="357"/>
    <n v="48"/>
    <n v="2369.98"/>
    <n v="2085.0500000000002"/>
    <n v="2.4460431654676259E-2"/>
    <n v="0.13445378151260504"/>
    <n v="49.374583333333334"/>
    <n v="0.87977535675406549"/>
    <n v="2024"/>
    <x v="5"/>
    <n v="11"/>
  </r>
  <r>
    <s v="CAMP2027"/>
    <x v="1"/>
    <x v="3"/>
    <d v="2024-08-05T00:00:00"/>
    <n v="103850"/>
    <n v="5192"/>
    <n v="735"/>
    <n v="1995.72"/>
    <n v="55165.57"/>
    <n v="4.9995185363505057E-2"/>
    <n v="0.14156394453004623"/>
    <n v="2.7152653061224492"/>
    <n v="27.641938748922694"/>
    <n v="2024"/>
    <x v="1"/>
    <n v="8"/>
  </r>
  <r>
    <s v="CAMP2028"/>
    <x v="2"/>
    <x v="0"/>
    <d v="2024-05-31T00:00:00"/>
    <n v="121524"/>
    <n v="5628"/>
    <n v="280"/>
    <n v="397.49"/>
    <n v="19943.34"/>
    <n v="4.631183963661499E-2"/>
    <n v="4.975124378109453E-2"/>
    <n v="1.4196071428571428"/>
    <n v="50.1731867468364"/>
    <n v="2024"/>
    <x v="8"/>
    <n v="5"/>
  </r>
  <r>
    <s v="CAMP2029"/>
    <x v="7"/>
    <x v="2"/>
    <d v="2024-08-18T00:00:00"/>
    <n v="127565"/>
    <n v="5137"/>
    <n v="348"/>
    <n v="2588.21"/>
    <n v="16461.080000000002"/>
    <n v="4.0269666444557678E-2"/>
    <n v="6.7743819349815063E-2"/>
    <n v="7.4373850574712641"/>
    <n v="6.3600248820613476"/>
    <n v="2024"/>
    <x v="1"/>
    <n v="8"/>
  </r>
  <r>
    <s v="CAMP2030"/>
    <x v="4"/>
    <x v="4"/>
    <d v="2024-08-14T00:00:00"/>
    <n v="66286"/>
    <n v="1895"/>
    <n v="56"/>
    <n v="4527.08"/>
    <n v="2769.3"/>
    <n v="2.8588238843798085E-2"/>
    <n v="2.9551451187335091E-2"/>
    <n v="80.840714285714284"/>
    <n v="0.61171881212613877"/>
    <n v="2024"/>
    <x v="1"/>
    <n v="8"/>
  </r>
  <r>
    <s v="CAMP2031"/>
    <x v="0"/>
    <x v="3"/>
    <d v="2024-04-26T00:00:00"/>
    <n v="30797"/>
    <n v="563"/>
    <n v="37"/>
    <n v="2820.93"/>
    <n v="1974.9"/>
    <n v="1.8281001396239893E-2"/>
    <n v="6.5719360568383664E-2"/>
    <n v="76.241351351351341"/>
    <n v="0.70008826876242947"/>
    <n v="2024"/>
    <x v="7"/>
    <n v="4"/>
  </r>
  <r>
    <s v="CAMP2032"/>
    <x v="7"/>
    <x v="3"/>
    <d v="2024-06-03T00:00:00"/>
    <n v="76949"/>
    <n v="1796"/>
    <n v="176"/>
    <n v="861.75"/>
    <n v="18567.990000000002"/>
    <n v="2.3340134374715722E-2"/>
    <n v="9.7995545657015584E-2"/>
    <n v="4.8963068181818183"/>
    <n v="21.5468407310705"/>
    <n v="2024"/>
    <x v="2"/>
    <n v="6"/>
  </r>
  <r>
    <s v="CAMP2033"/>
    <x v="5"/>
    <x v="0"/>
    <d v="2025-01-29T00:00:00"/>
    <n v="83505"/>
    <n v="2482"/>
    <n v="161"/>
    <n v="4984.84"/>
    <n v="18447.62"/>
    <n v="2.9722771091551404E-2"/>
    <n v="6.4867042707493952E-2"/>
    <n v="30.961739130434783"/>
    <n v="3.7007446578024568"/>
    <n v="2025"/>
    <x v="0"/>
    <n v="1"/>
  </r>
  <r>
    <s v="CAMP2034"/>
    <x v="4"/>
    <x v="2"/>
    <d v="2024-11-30T00:00:00"/>
    <n v="139387"/>
    <n v="11046"/>
    <n v="1587"/>
    <n v="4354.24"/>
    <n v="67856.710000000006"/>
    <n v="7.9246988600084653E-2"/>
    <n v="0.14367191743617599"/>
    <n v="2.7436925015752993"/>
    <n v="15.584053703975897"/>
    <n v="2024"/>
    <x v="5"/>
    <n v="11"/>
  </r>
  <r>
    <s v="CAMP2035"/>
    <x v="1"/>
    <x v="2"/>
    <d v="2024-04-29T00:00:00"/>
    <n v="140220"/>
    <n v="7163"/>
    <n v="657"/>
    <n v="2449.94"/>
    <n v="66645.929999999993"/>
    <n v="5.1084010840108399E-2"/>
    <n v="9.1721345804830379E-2"/>
    <n v="3.7289802130898022"/>
    <n v="27.203086606202596"/>
    <n v="2024"/>
    <x v="7"/>
    <n v="4"/>
  </r>
  <r>
    <s v="CAMP2036"/>
    <x v="7"/>
    <x v="0"/>
    <d v="2024-06-09T00:00:00"/>
    <n v="54242"/>
    <n v="2170"/>
    <n v="309"/>
    <n v="2204.9"/>
    <n v="19735.240000000002"/>
    <n v="4.0005899487482025E-2"/>
    <n v="0.14239631336405531"/>
    <n v="7.1355987055016188"/>
    <n v="8.950628146401197"/>
    <n v="2024"/>
    <x v="2"/>
    <n v="6"/>
  </r>
  <r>
    <s v="CAMP2037"/>
    <x v="4"/>
    <x v="3"/>
    <d v="2024-03-12T00:00:00"/>
    <n v="38645"/>
    <n v="1213"/>
    <n v="140"/>
    <n v="2599.04"/>
    <n v="12023.87"/>
    <n v="3.1388277914348554E-2"/>
    <n v="0.11541632316570487"/>
    <n v="18.56457142857143"/>
    <n v="4.6262735471558729"/>
    <n v="2024"/>
    <x v="6"/>
    <n v="3"/>
  </r>
  <r>
    <s v="CAMP2038"/>
    <x v="7"/>
    <x v="3"/>
    <d v="2024-04-25T00:00:00"/>
    <n v="114876"/>
    <n v="4572"/>
    <n v="538"/>
    <n v="3861.64"/>
    <n v="47909.9"/>
    <n v="3.9799435913506737E-2"/>
    <n v="0.11767279090113736"/>
    <n v="7.177769516728624"/>
    <n v="12.406619985291224"/>
    <n v="2024"/>
    <x v="7"/>
    <n v="4"/>
  </r>
  <r>
    <s v="CAMP2039"/>
    <x v="5"/>
    <x v="3"/>
    <d v="2024-10-27T00:00:00"/>
    <n v="11092"/>
    <n v="551"/>
    <n v="13"/>
    <n v="867.85"/>
    <n v="1530.42"/>
    <n v="4.9675441759826904E-2"/>
    <n v="2.3593466424682397E-2"/>
    <n v="66.757692307692309"/>
    <n v="1.7634614276660714"/>
    <n v="2024"/>
    <x v="3"/>
    <n v="10"/>
  </r>
  <r>
    <s v="CAMP2040"/>
    <x v="7"/>
    <x v="1"/>
    <d v="2024-11-18T00:00:00"/>
    <n v="107468"/>
    <n v="8448"/>
    <n v="393"/>
    <n v="2075.0500000000002"/>
    <n v="28865.48"/>
    <n v="7.8609446532921429E-2"/>
    <n v="4.651988636363636E-2"/>
    <n v="5.2800254452926216"/>
    <n v="13.910739500253005"/>
    <n v="2024"/>
    <x v="5"/>
    <n v="11"/>
  </r>
  <r>
    <s v="CAMP2041"/>
    <x v="1"/>
    <x v="2"/>
    <d v="2024-02-25T00:00:00"/>
    <n v="91203"/>
    <n v="4547"/>
    <n v="357"/>
    <n v="4494.7700000000004"/>
    <n v="10468.719999999999"/>
    <n v="4.9855816146398696E-2"/>
    <n v="7.8513305476138107E-2"/>
    <n v="12.590392156862746"/>
    <n v="2.3290891413798702"/>
    <n v="2024"/>
    <x v="9"/>
    <n v="2"/>
  </r>
  <r>
    <s v="CAMP2042"/>
    <x v="0"/>
    <x v="1"/>
    <d v="2024-03-31T00:00:00"/>
    <n v="13404"/>
    <n v="909"/>
    <n v="89"/>
    <n v="328.82"/>
    <n v="3551.09"/>
    <n v="6.7815577439570271E-2"/>
    <n v="9.790979097909791E-2"/>
    <n v="3.6946067415730335"/>
    <n v="10.799495164527706"/>
    <n v="2024"/>
    <x v="6"/>
    <n v="3"/>
  </r>
  <r>
    <s v="CAMP2043"/>
    <x v="3"/>
    <x v="3"/>
    <d v="2024-04-15T00:00:00"/>
    <n v="66089"/>
    <n v="2007"/>
    <n v="176"/>
    <n v="2382.39"/>
    <n v="10008.280000000001"/>
    <n v="3.0368139932515244E-2"/>
    <n v="8.7693074240159444E-2"/>
    <n v="13.536306818181817"/>
    <n v="4.2009410717808588"/>
    <n v="2024"/>
    <x v="7"/>
    <n v="4"/>
  </r>
  <r>
    <s v="CAMP2044"/>
    <x v="4"/>
    <x v="4"/>
    <d v="2024-06-16T00:00:00"/>
    <n v="112704"/>
    <n v="4212"/>
    <n v="626"/>
    <n v="819.86"/>
    <n v="38712.67"/>
    <n v="3.7372231686541739E-2"/>
    <n v="0.14862298195631529"/>
    <n v="1.3096805111821086"/>
    <n v="47.218634888883464"/>
    <n v="2024"/>
    <x v="2"/>
    <n v="6"/>
  </r>
  <r>
    <s v="CAMP2045"/>
    <x v="0"/>
    <x v="2"/>
    <d v="2024-04-15T00:00:00"/>
    <n v="39060"/>
    <n v="2770"/>
    <n v="166"/>
    <n v="4125.8999999999996"/>
    <n v="14355.56"/>
    <n v="7.0916538658474138E-2"/>
    <n v="5.9927797833935016E-2"/>
    <n v="24.854819277108433"/>
    <n v="3.4793766208584795"/>
    <n v="2024"/>
    <x v="7"/>
    <n v="4"/>
  </r>
  <r>
    <s v="CAMP2046"/>
    <x v="2"/>
    <x v="1"/>
    <d v="2024-10-21T00:00:00"/>
    <n v="86346"/>
    <n v="4414"/>
    <n v="376"/>
    <n v="3487.21"/>
    <n v="17876.580000000002"/>
    <n v="5.1119912908530796E-2"/>
    <n v="8.5183507023108299E-2"/>
    <n v="9.2744946808510633"/>
    <n v="5.1263273505180367"/>
    <n v="2024"/>
    <x v="3"/>
    <n v="10"/>
  </r>
  <r>
    <s v="CAMP2047"/>
    <x v="4"/>
    <x v="4"/>
    <d v="2024-08-16T00:00:00"/>
    <n v="21769"/>
    <n v="1474"/>
    <n v="145"/>
    <n v="1384.83"/>
    <n v="7668.93"/>
    <n v="6.7710965133906009E-2"/>
    <n v="9.8371777476255085E-2"/>
    <n v="9.5505517241379305"/>
    <n v="5.5378133056042982"/>
    <n v="2024"/>
    <x v="1"/>
    <n v="8"/>
  </r>
  <r>
    <s v="CAMP2048"/>
    <x v="6"/>
    <x v="2"/>
    <d v="2024-08-24T00:00:00"/>
    <n v="15245"/>
    <n v="939"/>
    <n v="53"/>
    <n v="4428.7700000000004"/>
    <n v="3478.43"/>
    <n v="6.1593965234503119E-2"/>
    <n v="5.6443024494142707E-2"/>
    <n v="83.561698113207555"/>
    <n v="0.78541671841165817"/>
    <n v="2024"/>
    <x v="1"/>
    <n v="8"/>
  </r>
  <r>
    <s v="CAMP2049"/>
    <x v="5"/>
    <x v="2"/>
    <d v="2024-11-09T00:00:00"/>
    <n v="50908"/>
    <n v="1988"/>
    <n v="86"/>
    <n v="3165.14"/>
    <n v="5435.86"/>
    <n v="3.9050836803645794E-2"/>
    <n v="4.3259557344064385E-2"/>
    <n v="36.803953488372095"/>
    <n v="1.7174153433971324"/>
    <n v="2024"/>
    <x v="5"/>
    <n v="11"/>
  </r>
  <r>
    <s v="CAMP2050"/>
    <x v="3"/>
    <x v="4"/>
    <d v="2024-12-23T00:00:00"/>
    <n v="30043"/>
    <n v="1128"/>
    <n v="161"/>
    <n v="1350.54"/>
    <n v="17235.689999999999"/>
    <n v="3.7546183803215394E-2"/>
    <n v="0.14273049645390071"/>
    <n v="8.3884472049689442"/>
    <n v="12.762072948598338"/>
    <n v="2024"/>
    <x v="4"/>
    <n v="12"/>
  </r>
  <r>
    <s v="CAMP2051"/>
    <x v="5"/>
    <x v="1"/>
    <d v="2024-05-29T00:00:00"/>
    <n v="22496"/>
    <n v="1324"/>
    <n v="150"/>
    <n v="1242.82"/>
    <n v="10402.31"/>
    <n v="5.8854907539118068E-2"/>
    <n v="0.11329305135951662"/>
    <n v="8.2854666666666663"/>
    <n v="8.3699248483288002"/>
    <n v="2024"/>
    <x v="8"/>
    <n v="5"/>
  </r>
  <r>
    <s v="CAMP2052"/>
    <x v="0"/>
    <x v="3"/>
    <d v="2024-02-09T00:00:00"/>
    <n v="32583"/>
    <n v="1476"/>
    <n v="179"/>
    <n v="2168.46"/>
    <n v="6530.62"/>
    <n v="4.5299696160574533E-2"/>
    <n v="0.12127371273712736"/>
    <n v="12.114301675977654"/>
    <n v="3.0116395967645242"/>
    <n v="2024"/>
    <x v="9"/>
    <n v="2"/>
  </r>
  <r>
    <s v="CAMP2053"/>
    <x v="1"/>
    <x v="1"/>
    <d v="2024-01-23T00:00:00"/>
    <n v="126154"/>
    <n v="1497"/>
    <n v="154"/>
    <n v="3442.99"/>
    <n v="10193.32"/>
    <n v="1.1866448943354948E-2"/>
    <n v="0.10287241148964596"/>
    <n v="22.35707792207792"/>
    <n v="2.9606011054345207"/>
    <n v="2024"/>
    <x v="0"/>
    <n v="1"/>
  </r>
  <r>
    <s v="CAMP2054"/>
    <x v="7"/>
    <x v="2"/>
    <d v="2024-04-09T00:00:00"/>
    <n v="108985"/>
    <n v="1378"/>
    <n v="72"/>
    <n v="3603.68"/>
    <n v="2422.66"/>
    <n v="1.2643941826856906E-2"/>
    <n v="5.2249637155297533E-2"/>
    <n v="50.051111111111112"/>
    <n v="0.67227389779336677"/>
    <n v="2024"/>
    <x v="7"/>
    <n v="4"/>
  </r>
  <r>
    <s v="CAMP2055"/>
    <x v="6"/>
    <x v="2"/>
    <d v="2024-08-24T00:00:00"/>
    <n v="22887"/>
    <n v="361"/>
    <n v="38"/>
    <n v="3625.19"/>
    <n v="2423.35"/>
    <n v="1.5773146327609559E-2"/>
    <n v="0.10526315789473684"/>
    <n v="95.39973684210527"/>
    <n v="0.66847530750112405"/>
    <n v="2024"/>
    <x v="1"/>
    <n v="8"/>
  </r>
  <r>
    <s v="CAMP2056"/>
    <x v="6"/>
    <x v="3"/>
    <d v="2024-03-23T00:00:00"/>
    <n v="49718"/>
    <n v="3415"/>
    <n v="337"/>
    <n v="1050.74"/>
    <n v="10923.9"/>
    <n v="6.8687396918621024E-2"/>
    <n v="9.8682284040995605E-2"/>
    <n v="3.1179228486646884"/>
    <n v="10.396387307992462"/>
    <n v="2024"/>
    <x v="6"/>
    <n v="3"/>
  </r>
  <r>
    <s v="CAMP2057"/>
    <x v="3"/>
    <x v="4"/>
    <d v="2024-02-09T00:00:00"/>
    <n v="7938"/>
    <n v="455"/>
    <n v="18"/>
    <n v="1918.82"/>
    <n v="750.01"/>
    <n v="5.7319223985890649E-2"/>
    <n v="3.9560439560439559E-2"/>
    <n v="106.60111111111111"/>
    <n v="0.39087043078558698"/>
    <n v="2024"/>
    <x v="9"/>
    <n v="2"/>
  </r>
  <r>
    <s v="CAMP2058"/>
    <x v="4"/>
    <x v="1"/>
    <d v="2024-04-20T00:00:00"/>
    <n v="120882"/>
    <n v="7104"/>
    <n v="914"/>
    <n v="4095.26"/>
    <n v="76868.509999999995"/>
    <n v="5.8768054797240281E-2"/>
    <n v="0.12865990990990991"/>
    <n v="4.4805908096280094"/>
    <n v="18.770117159838446"/>
    <n v="2024"/>
    <x v="7"/>
    <n v="4"/>
  </r>
  <r>
    <s v="CAMP2059"/>
    <x v="0"/>
    <x v="2"/>
    <d v="2024-12-19T00:00:00"/>
    <n v="85825"/>
    <n v="3525"/>
    <n v="344"/>
    <n v="433.59"/>
    <n v="19862.41"/>
    <n v="4.1071948732886686E-2"/>
    <n v="9.75886524822695E-2"/>
    <n v="1.2604360465116278"/>
    <n v="45.809197629096616"/>
    <n v="2024"/>
    <x v="4"/>
    <n v="12"/>
  </r>
  <r>
    <s v="CAMP2060"/>
    <x v="1"/>
    <x v="4"/>
    <d v="2024-07-10T00:00:00"/>
    <n v="67531"/>
    <n v="1620"/>
    <n v="35"/>
    <n v="334.13"/>
    <n v="750.96"/>
    <n v="2.398898283751166E-2"/>
    <n v="2.1604938271604937E-2"/>
    <n v="9.5465714285714292"/>
    <n v="2.2475084547930448"/>
    <n v="2024"/>
    <x v="10"/>
    <n v="7"/>
  </r>
  <r>
    <s v="CAMP2061"/>
    <x v="1"/>
    <x v="0"/>
    <d v="2024-04-22T00:00:00"/>
    <n v="30323"/>
    <n v="1994"/>
    <n v="255"/>
    <n v="1005.84"/>
    <n v="9359.7099999999991"/>
    <n v="6.5758665039738817E-2"/>
    <n v="0.12788365095285859"/>
    <n v="3.9444705882352942"/>
    <n v="9.3053666587131136"/>
    <n v="2024"/>
    <x v="7"/>
    <n v="4"/>
  </r>
  <r>
    <s v="CAMP2062"/>
    <x v="3"/>
    <x v="1"/>
    <d v="2024-02-25T00:00:00"/>
    <n v="90758"/>
    <n v="2957"/>
    <n v="300"/>
    <n v="3198.43"/>
    <n v="34029.82"/>
    <n v="3.2581149871085742E-2"/>
    <n v="0.10145417653026716"/>
    <n v="10.661433333333333"/>
    <n v="10.639538773710852"/>
    <n v="2024"/>
    <x v="9"/>
    <n v="2"/>
  </r>
  <r>
    <s v="CAMP2063"/>
    <x v="3"/>
    <x v="2"/>
    <d v="2024-03-02T00:00:00"/>
    <n v="65924"/>
    <n v="1645"/>
    <n v="109"/>
    <n v="1033.3800000000001"/>
    <n v="6563.32"/>
    <n v="2.4952976154359565E-2"/>
    <n v="6.62613981762918E-2"/>
    <n v="9.480550458715598"/>
    <n v="6.3513131665021572"/>
    <n v="2024"/>
    <x v="6"/>
    <n v="3"/>
  </r>
  <r>
    <s v="CAMP2064"/>
    <x v="7"/>
    <x v="0"/>
    <d v="2024-07-18T00:00:00"/>
    <n v="60775"/>
    <n v="2559"/>
    <n v="73"/>
    <n v="4112.41"/>
    <n v="6204.6"/>
    <n v="4.2106129164952696E-2"/>
    <n v="2.8526768268855023E-2"/>
    <n v="56.334383561643833"/>
    <n v="1.5087503434725624"/>
    <n v="2024"/>
    <x v="10"/>
    <n v="7"/>
  </r>
  <r>
    <s v="CAMP2065"/>
    <x v="7"/>
    <x v="0"/>
    <d v="2024-02-04T00:00:00"/>
    <n v="62294"/>
    <n v="2415"/>
    <n v="289"/>
    <n v="2597.96"/>
    <n v="34404.71"/>
    <n v="3.8767778598259861E-2"/>
    <n v="0.11966873706004141"/>
    <n v="8.9894809688581319"/>
    <n v="13.242971408335771"/>
    <n v="2024"/>
    <x v="9"/>
    <n v="2"/>
  </r>
  <r>
    <s v="CAMP2066"/>
    <x v="2"/>
    <x v="3"/>
    <d v="2024-02-18T00:00:00"/>
    <n v="90027"/>
    <n v="7085"/>
    <n v="783"/>
    <n v="3453.92"/>
    <n v="91796.32"/>
    <n v="7.8698612638430698E-2"/>
    <n v="0.11051517290049401"/>
    <n v="4.4111366538952748"/>
    <n v="26.577430861166444"/>
    <n v="2024"/>
    <x v="9"/>
    <n v="2"/>
  </r>
  <r>
    <s v="CAMP2067"/>
    <x v="2"/>
    <x v="3"/>
    <d v="2024-03-30T00:00:00"/>
    <n v="88353"/>
    <n v="6932"/>
    <n v="739"/>
    <n v="524.05999999999995"/>
    <n v="16084.25"/>
    <n v="7.8458003689744552E-2"/>
    <n v="0.10660703981534911"/>
    <n v="0.70914749661705001"/>
    <n v="30.691619280235091"/>
    <n v="2024"/>
    <x v="6"/>
    <n v="3"/>
  </r>
  <r>
    <s v="CAMP2068"/>
    <x v="6"/>
    <x v="2"/>
    <d v="2024-09-18T00:00:00"/>
    <n v="65928"/>
    <n v="2982"/>
    <n v="332"/>
    <n v="263.8"/>
    <n v="7344.28"/>
    <n v="4.5231161266836552E-2"/>
    <n v="0.11133467471495641"/>
    <n v="0.79457831325301209"/>
    <n v="27.840333586050036"/>
    <n v="2024"/>
    <x v="11"/>
    <n v="9"/>
  </r>
  <r>
    <s v="CAMP2069"/>
    <x v="0"/>
    <x v="3"/>
    <d v="2024-05-01T00:00:00"/>
    <n v="117328"/>
    <n v="7392"/>
    <n v="743"/>
    <n v="487.63"/>
    <n v="42687.11"/>
    <n v="6.3002863766534842E-2"/>
    <n v="0.10051406926406926"/>
    <n v="0.65629878869448177"/>
    <n v="87.5399585751492"/>
    <n v="2024"/>
    <x v="8"/>
    <n v="5"/>
  </r>
  <r>
    <s v="CAMP2070"/>
    <x v="5"/>
    <x v="4"/>
    <d v="2024-03-18T00:00:00"/>
    <n v="103500"/>
    <n v="2515"/>
    <n v="62"/>
    <n v="4632.3599999999997"/>
    <n v="4948.07"/>
    <n v="2.4299516908212561E-2"/>
    <n v="2.4652087475149104E-2"/>
    <n v="74.715483870967731"/>
    <n v="1.0681531659888264"/>
    <n v="2024"/>
    <x v="6"/>
    <n v="3"/>
  </r>
  <r>
    <s v="CAMP2071"/>
    <x v="6"/>
    <x v="3"/>
    <d v="2024-03-09T00:00:00"/>
    <n v="77909"/>
    <n v="2510"/>
    <n v="306"/>
    <n v="390.12"/>
    <n v="30348.46"/>
    <n v="3.2217073765546986E-2"/>
    <n v="0.12191235059760956"/>
    <n v="1.2749019607843137"/>
    <n v="77.792627909361215"/>
    <n v="2024"/>
    <x v="6"/>
    <n v="3"/>
  </r>
  <r>
    <s v="CAMP2072"/>
    <x v="3"/>
    <x v="3"/>
    <d v="2025-01-19T00:00:00"/>
    <n v="11211"/>
    <n v="291"/>
    <n v="33"/>
    <n v="1845.1"/>
    <n v="1339.2"/>
    <n v="2.5956649719025955E-2"/>
    <n v="0.1134020618556701"/>
    <n v="55.912121212121207"/>
    <n v="0.72581431900709992"/>
    <n v="2025"/>
    <x v="0"/>
    <n v="1"/>
  </r>
  <r>
    <s v="CAMP2073"/>
    <x v="4"/>
    <x v="4"/>
    <d v="2025-02-14T00:00:00"/>
    <n v="63312"/>
    <n v="3327"/>
    <n v="231"/>
    <n v="1743.86"/>
    <n v="14838.54"/>
    <n v="5.2549279757391966E-2"/>
    <n v="6.943192064923355E-2"/>
    <n v="7.549177489177489"/>
    <n v="8.5090202195130349"/>
    <n v="2025"/>
    <x v="9"/>
    <n v="2"/>
  </r>
  <r>
    <s v="CAMP2074"/>
    <x v="4"/>
    <x v="0"/>
    <d v="2024-09-08T00:00:00"/>
    <n v="23346"/>
    <n v="1791"/>
    <n v="47"/>
    <n v="4961.66"/>
    <n v="5349.89"/>
    <n v="7.6715497301464916E-2"/>
    <n v="2.6242322724734785E-2"/>
    <n v="105.56723404255318"/>
    <n v="1.0782459902532622"/>
    <n v="2024"/>
    <x v="11"/>
    <n v="9"/>
  </r>
  <r>
    <s v="CAMP2075"/>
    <x v="2"/>
    <x v="0"/>
    <d v="2024-03-29T00:00:00"/>
    <n v="148876"/>
    <n v="10151"/>
    <n v="1432"/>
    <n v="1334.29"/>
    <n v="39833.160000000003"/>
    <n v="6.8184260727048016E-2"/>
    <n v="0.14106984533543493"/>
    <n v="0.93176675977653634"/>
    <n v="29.853450149517723"/>
    <n v="2024"/>
    <x v="6"/>
    <n v="3"/>
  </r>
  <r>
    <s v="CAMP2076"/>
    <x v="6"/>
    <x v="3"/>
    <d v="2024-03-25T00:00:00"/>
    <n v="56782"/>
    <n v="1541"/>
    <n v="66"/>
    <n v="1395.05"/>
    <n v="3203.33"/>
    <n v="2.7138882040083124E-2"/>
    <n v="4.2829331602855292E-2"/>
    <n v="21.137121212121212"/>
    <n v="2.2962116053188057"/>
    <n v="2024"/>
    <x v="6"/>
    <n v="3"/>
  </r>
  <r>
    <s v="CAMP2077"/>
    <x v="6"/>
    <x v="4"/>
    <d v="2024-05-19T00:00:00"/>
    <n v="131136"/>
    <n v="2045"/>
    <n v="299"/>
    <n v="2111.5700000000002"/>
    <n v="10996.2"/>
    <n v="1.5594497315763787E-2"/>
    <n v="0.14621026894865527"/>
    <n v="7.0621070234113716"/>
    <n v="5.207594349228299"/>
    <n v="2024"/>
    <x v="8"/>
    <n v="5"/>
  </r>
  <r>
    <s v="CAMP2078"/>
    <x v="6"/>
    <x v="2"/>
    <d v="2024-09-15T00:00:00"/>
    <n v="118621"/>
    <n v="7499"/>
    <n v="948"/>
    <n v="4009.08"/>
    <n v="20838.09"/>
    <n v="6.3218148557169479E-2"/>
    <n v="0.12641685558074409"/>
    <n v="4.228987341772152"/>
    <n v="5.1977236672752856"/>
    <n v="2024"/>
    <x v="11"/>
    <n v="9"/>
  </r>
  <r>
    <s v="CAMP2079"/>
    <x v="3"/>
    <x v="2"/>
    <d v="2024-02-12T00:00:00"/>
    <n v="83703"/>
    <n v="4324"/>
    <n v="172"/>
    <n v="3687.91"/>
    <n v="7865.42"/>
    <n v="5.1658841379639921E-2"/>
    <n v="3.9777983348751156E-2"/>
    <n v="21.441337209302326"/>
    <n v="2.1327581204530479"/>
    <n v="2024"/>
    <x v="9"/>
    <n v="2"/>
  </r>
  <r>
    <s v="CAMP2080"/>
    <x v="6"/>
    <x v="3"/>
    <d v="2024-08-20T00:00:00"/>
    <n v="79245"/>
    <n v="2873"/>
    <n v="283"/>
    <n v="545.30999999999995"/>
    <n v="9527.3700000000008"/>
    <n v="3.6254653290428415E-2"/>
    <n v="9.8503306648103028E-2"/>
    <n v="1.9268904593639573"/>
    <n v="17.471474940859331"/>
    <n v="2024"/>
    <x v="1"/>
    <n v="8"/>
  </r>
  <r>
    <s v="CAMP2081"/>
    <x v="6"/>
    <x v="4"/>
    <d v="2024-03-20T00:00:00"/>
    <n v="54709"/>
    <n v="563"/>
    <n v="74"/>
    <n v="3705.77"/>
    <n v="4249.51"/>
    <n v="1.0290811383867371E-2"/>
    <n v="0.13143872113676733"/>
    <n v="50.077972972972972"/>
    <n v="1.1467279404820052"/>
    <n v="2024"/>
    <x v="6"/>
    <n v="3"/>
  </r>
  <r>
    <s v="CAMP2082"/>
    <x v="3"/>
    <x v="2"/>
    <d v="2024-07-21T00:00:00"/>
    <n v="102817"/>
    <n v="3792"/>
    <n v="227"/>
    <n v="4940.1099999999997"/>
    <n v="6157.02"/>
    <n v="3.6881060525010452E-2"/>
    <n v="5.9862869198312234E-2"/>
    <n v="21.762599118942731"/>
    <n v="1.2463325715419293"/>
    <n v="2024"/>
    <x v="10"/>
    <n v="7"/>
  </r>
  <r>
    <s v="CAMP2083"/>
    <x v="4"/>
    <x v="0"/>
    <d v="2024-07-16T00:00:00"/>
    <n v="47562"/>
    <n v="1122"/>
    <n v="86"/>
    <n v="1425.24"/>
    <n v="9572.5400000000009"/>
    <n v="2.3590261132837138E-2"/>
    <n v="7.6648841354723704E-2"/>
    <n v="16.572558139534884"/>
    <n v="6.7164407398052264"/>
    <n v="2024"/>
    <x v="10"/>
    <n v="7"/>
  </r>
  <r>
    <s v="CAMP2084"/>
    <x v="7"/>
    <x v="1"/>
    <d v="2024-12-29T00:00:00"/>
    <n v="133089"/>
    <n v="7246"/>
    <n v="491"/>
    <n v="476.98"/>
    <n v="28739.86"/>
    <n v="5.4444770041100314E-2"/>
    <n v="6.7761523599227158E-2"/>
    <n v="0.97144602851323836"/>
    <n v="60.253805190993333"/>
    <n v="2024"/>
    <x v="4"/>
    <n v="12"/>
  </r>
  <r>
    <s v="CAMP2085"/>
    <x v="3"/>
    <x v="4"/>
    <d v="2024-05-04T00:00:00"/>
    <n v="130232"/>
    <n v="1616"/>
    <n v="203"/>
    <n v="3228.57"/>
    <n v="17791.439999999999"/>
    <n v="1.2408624608391179E-2"/>
    <n v="0.12561881188118812"/>
    <n v="15.904285714285715"/>
    <n v="5.5106254471794003"/>
    <n v="2024"/>
    <x v="8"/>
    <n v="5"/>
  </r>
  <r>
    <s v="CAMP2086"/>
    <x v="2"/>
    <x v="3"/>
    <d v="2024-11-05T00:00:00"/>
    <n v="124398"/>
    <n v="9466"/>
    <n v="370"/>
    <n v="1387.59"/>
    <n v="28798.65"/>
    <n v="7.6094470972202122E-2"/>
    <n v="3.9087259666173671E-2"/>
    <n v="3.7502432432432431"/>
    <n v="20.754437549996759"/>
    <n v="2024"/>
    <x v="5"/>
    <n v="11"/>
  </r>
  <r>
    <s v="CAMP2087"/>
    <x v="2"/>
    <x v="0"/>
    <d v="2024-02-29T00:00:00"/>
    <n v="29197"/>
    <n v="1608"/>
    <n v="223"/>
    <n v="2108.8000000000002"/>
    <n v="17531.38"/>
    <n v="5.5074151453916496E-2"/>
    <n v="0.13868159203980099"/>
    <n v="9.4565022421524674"/>
    <n v="8.3134389226100147"/>
    <n v="2024"/>
    <x v="9"/>
    <n v="2"/>
  </r>
  <r>
    <s v="CAMP2088"/>
    <x v="0"/>
    <x v="1"/>
    <d v="2024-04-06T00:00:00"/>
    <n v="115872"/>
    <n v="2503"/>
    <n v="188"/>
    <n v="3520.82"/>
    <n v="13172.16"/>
    <n v="2.1601422259044462E-2"/>
    <n v="7.510986815821015E-2"/>
    <n v="18.72776595744681"/>
    <n v="3.7412193750319527"/>
    <n v="2024"/>
    <x v="7"/>
    <n v="4"/>
  </r>
  <r>
    <s v="CAMP2089"/>
    <x v="3"/>
    <x v="1"/>
    <d v="2024-06-06T00:00:00"/>
    <n v="112900"/>
    <n v="7075"/>
    <n v="991"/>
    <n v="4373.21"/>
    <n v="30649.06"/>
    <n v="6.2666076173604965E-2"/>
    <n v="0.14007067137809187"/>
    <n v="4.4129263370332996"/>
    <n v="7.0083668518090834"/>
    <n v="2024"/>
    <x v="2"/>
    <n v="6"/>
  </r>
  <r>
    <s v="CAMP2090"/>
    <x v="7"/>
    <x v="4"/>
    <d v="2024-05-17T00:00:00"/>
    <n v="59925"/>
    <n v="4500"/>
    <n v="322"/>
    <n v="1678.88"/>
    <n v="38222.22"/>
    <n v="7.5093867334167716E-2"/>
    <n v="7.1555555555555553E-2"/>
    <n v="5.2139130434782608"/>
    <n v="22.766499094634518"/>
    <n v="2024"/>
    <x v="8"/>
    <n v="5"/>
  </r>
  <r>
    <s v="CAMP2091"/>
    <x v="6"/>
    <x v="0"/>
    <d v="2024-02-19T00:00:00"/>
    <n v="23308"/>
    <n v="1495"/>
    <n v="111"/>
    <n v="2200.84"/>
    <n v="5420.58"/>
    <n v="6.4141067444654198E-2"/>
    <n v="7.4247491638795987E-2"/>
    <n v="19.82738738738739"/>
    <n v="2.462959597244688"/>
    <n v="2024"/>
    <x v="9"/>
    <n v="2"/>
  </r>
  <r>
    <s v="CAMP2092"/>
    <x v="3"/>
    <x v="4"/>
    <d v="2024-03-31T00:00:00"/>
    <n v="103212"/>
    <n v="2378"/>
    <n v="89"/>
    <n v="2535.06"/>
    <n v="6253.26"/>
    <n v="2.3039956594194475E-2"/>
    <n v="3.7426408746846086E-2"/>
    <n v="28.4838202247191"/>
    <n v="2.4667108470805426"/>
    <n v="2024"/>
    <x v="6"/>
    <n v="3"/>
  </r>
  <r>
    <s v="CAMP2093"/>
    <x v="0"/>
    <x v="2"/>
    <d v="2024-10-17T00:00:00"/>
    <n v="60724"/>
    <n v="1396"/>
    <n v="38"/>
    <n v="1077.0999999999999"/>
    <n v="3644.83"/>
    <n v="2.2989262894407482E-2"/>
    <n v="2.7220630372492838E-2"/>
    <n v="28.344736842105259"/>
    <n v="3.3839290687958408"/>
    <n v="2024"/>
    <x v="3"/>
    <n v="10"/>
  </r>
  <r>
    <s v="CAMP2094"/>
    <x v="5"/>
    <x v="2"/>
    <d v="2024-08-13T00:00:00"/>
    <n v="33624"/>
    <n v="2380"/>
    <n v="98"/>
    <n v="1607"/>
    <n v="5661.74"/>
    <n v="7.0782774208898405E-2"/>
    <n v="4.1176470588235294E-2"/>
    <n v="16.397959183673468"/>
    <n v="3.5231736154324826"/>
    <n v="2024"/>
    <x v="1"/>
    <n v="8"/>
  </r>
  <r>
    <s v="CAMP2095"/>
    <x v="5"/>
    <x v="0"/>
    <d v="2024-06-24T00:00:00"/>
    <n v="12776"/>
    <n v="651"/>
    <n v="53"/>
    <n v="3429.46"/>
    <n v="1594.29"/>
    <n v="5.095491546649969E-2"/>
    <n v="8.1413210445468509E-2"/>
    <n v="64.706792452830186"/>
    <n v="0.46488076840085607"/>
    <n v="2024"/>
    <x v="2"/>
    <n v="6"/>
  </r>
  <r>
    <s v="CAMP2096"/>
    <x v="4"/>
    <x v="3"/>
    <d v="2025-01-19T00:00:00"/>
    <n v="6894"/>
    <n v="390"/>
    <n v="47"/>
    <n v="400.92"/>
    <n v="1932.02"/>
    <n v="5.6570931244560488E-2"/>
    <n v="0.12051282051282051"/>
    <n v="8.5302127659574474"/>
    <n v="4.8189663773321358"/>
    <n v="2025"/>
    <x v="0"/>
    <n v="1"/>
  </r>
  <r>
    <s v="CAMP2097"/>
    <x v="4"/>
    <x v="2"/>
    <d v="2024-11-04T00:00:00"/>
    <n v="141334"/>
    <n v="11177"/>
    <n v="1329"/>
    <n v="4674.22"/>
    <n v="89472.5"/>
    <n v="7.9082174140688022E-2"/>
    <n v="0.11890489397870627"/>
    <n v="3.5170955605718586"/>
    <n v="19.14169636859198"/>
    <n v="2024"/>
    <x v="5"/>
    <n v="11"/>
  </r>
  <r>
    <s v="CAMP2098"/>
    <x v="7"/>
    <x v="1"/>
    <d v="2024-08-07T00:00:00"/>
    <n v="93224"/>
    <n v="3351"/>
    <n v="454"/>
    <n v="4997.34"/>
    <n v="46164.86"/>
    <n v="3.5945679224234105E-2"/>
    <n v="0.13548194568785438"/>
    <n v="11.007356828193833"/>
    <n v="9.237886555647604"/>
    <n v="2024"/>
    <x v="1"/>
    <n v="8"/>
  </r>
  <r>
    <s v="CAMP2099"/>
    <x v="7"/>
    <x v="2"/>
    <d v="2024-07-12T00:00:00"/>
    <n v="20005"/>
    <n v="1565"/>
    <n v="208"/>
    <n v="4070.1"/>
    <n v="4224.16"/>
    <n v="7.8230442389402646E-2"/>
    <n v="0.1329073482428115"/>
    <n v="19.567788461538463"/>
    <n v="1.0378516498366133"/>
    <n v="2024"/>
    <x v="10"/>
    <n v="7"/>
  </r>
  <r>
    <s v="CAMP2100"/>
    <x v="3"/>
    <x v="4"/>
    <d v="2024-01-14T00:00:00"/>
    <n v="37216"/>
    <n v="2636"/>
    <n v="148"/>
    <n v="3556.47"/>
    <n v="15022.77"/>
    <n v="7.0829750644883921E-2"/>
    <n v="5.614567526555387E-2"/>
    <n v="24.030202702702702"/>
    <n v="4.2240676850922405"/>
    <n v="2024"/>
    <x v="0"/>
    <n v="1"/>
  </r>
  <r>
    <s v="CAMP2101"/>
    <x v="7"/>
    <x v="2"/>
    <d v="2024-11-12T00:00:00"/>
    <n v="129570"/>
    <n v="5965"/>
    <n v="631"/>
    <n v="215.02"/>
    <n v="52882.42"/>
    <n v="4.6036891255691902E-2"/>
    <n v="0.1057837384744342"/>
    <n v="0.34076069730586372"/>
    <n v="245.94186587294203"/>
    <n v="2024"/>
    <x v="5"/>
    <n v="11"/>
  </r>
  <r>
    <s v="CAMP2102"/>
    <x v="7"/>
    <x v="0"/>
    <d v="2024-11-20T00:00:00"/>
    <n v="99425"/>
    <n v="7073"/>
    <n v="1032"/>
    <n v="3731.9"/>
    <n v="90602.32"/>
    <n v="7.1139049534825249E-2"/>
    <n v="0.14590697016824544"/>
    <n v="3.6161821705426358"/>
    <n v="24.277799512312765"/>
    <n v="2024"/>
    <x v="5"/>
    <n v="11"/>
  </r>
  <r>
    <s v="CAMP2103"/>
    <x v="1"/>
    <x v="1"/>
    <d v="2024-09-05T00:00:00"/>
    <n v="109900"/>
    <n v="6785"/>
    <n v="836"/>
    <n v="1872"/>
    <n v="95227.49"/>
    <n v="6.1737943585077344E-2"/>
    <n v="0.1232129697862933"/>
    <n v="2.2392344497607657"/>
    <n v="50.869385683760683"/>
    <n v="2024"/>
    <x v="11"/>
    <n v="9"/>
  </r>
  <r>
    <s v="CAMP2104"/>
    <x v="6"/>
    <x v="0"/>
    <d v="2025-01-10T00:00:00"/>
    <n v="105888"/>
    <n v="3237"/>
    <n v="146"/>
    <n v="887.17"/>
    <n v="10512.79"/>
    <n v="3.0570036264732547E-2"/>
    <n v="4.5103490886623417E-2"/>
    <n v="6.0765068493150682"/>
    <n v="11.849803307145194"/>
    <n v="2025"/>
    <x v="0"/>
    <n v="1"/>
  </r>
  <r>
    <s v="CAMP2105"/>
    <x v="4"/>
    <x v="4"/>
    <d v="2024-09-11T00:00:00"/>
    <n v="27830"/>
    <n v="865"/>
    <n v="92"/>
    <n v="2833.98"/>
    <n v="9888.0300000000007"/>
    <n v="3.1081566654689183E-2"/>
    <n v="0.10635838150289018"/>
    <n v="30.804130434782611"/>
    <n v="3.4890966061863531"/>
    <n v="2024"/>
    <x v="11"/>
    <n v="9"/>
  </r>
  <r>
    <s v="CAMP2106"/>
    <x v="2"/>
    <x v="2"/>
    <d v="2024-02-29T00:00:00"/>
    <n v="131397"/>
    <n v="7408"/>
    <n v="380"/>
    <n v="1215.8800000000001"/>
    <n v="36223.599999999999"/>
    <n v="5.6378760550088662E-2"/>
    <n v="5.129589632829374E-2"/>
    <n v="3.1996842105263159"/>
    <n v="29.792084745205116"/>
    <n v="2024"/>
    <x v="9"/>
    <n v="2"/>
  </r>
  <r>
    <s v="CAMP2107"/>
    <x v="0"/>
    <x v="0"/>
    <d v="2024-08-10T00:00:00"/>
    <n v="12660"/>
    <n v="268"/>
    <n v="37"/>
    <n v="4532.71"/>
    <n v="3575.34"/>
    <n v="2.1169036334913113E-2"/>
    <n v="0.13805970149253732"/>
    <n v="122.50567567567568"/>
    <n v="0.78878639930637529"/>
    <n v="2024"/>
    <x v="1"/>
    <n v="8"/>
  </r>
  <r>
    <s v="CAMP2108"/>
    <x v="1"/>
    <x v="3"/>
    <d v="2024-12-06T00:00:00"/>
    <n v="129859"/>
    <n v="9947"/>
    <n v="1066"/>
    <n v="3394.29"/>
    <n v="119683.68"/>
    <n v="7.6598464488406653E-2"/>
    <n v="0.1071679903488489"/>
    <n v="3.1841369606003753"/>
    <n v="35.260298913763997"/>
    <n v="2024"/>
    <x v="4"/>
    <n v="12"/>
  </r>
  <r>
    <s v="CAMP2109"/>
    <x v="6"/>
    <x v="0"/>
    <d v="2025-02-11T00:00:00"/>
    <n v="92241"/>
    <n v="6552"/>
    <n v="924"/>
    <n v="3878.42"/>
    <n v="73982.78"/>
    <n v="7.1031320128793055E-2"/>
    <n v="0.14102564102564102"/>
    <n v="4.1974242424242423"/>
    <n v="19.075494660196679"/>
    <n v="2025"/>
    <x v="9"/>
    <n v="2"/>
  </r>
  <r>
    <s v="CAMP2110"/>
    <x v="7"/>
    <x v="2"/>
    <d v="2025-01-02T00:00:00"/>
    <n v="105047"/>
    <n v="5858"/>
    <n v="715"/>
    <n v="4837.99"/>
    <n v="45542.8"/>
    <n v="5.5765514483992883E-2"/>
    <n v="0.12205530897917378"/>
    <n v="6.7664195804195799"/>
    <n v="9.4135787796171559"/>
    <n v="2025"/>
    <x v="0"/>
    <n v="1"/>
  </r>
  <r>
    <s v="CAMP2111"/>
    <x v="1"/>
    <x v="4"/>
    <d v="2024-05-12T00:00:00"/>
    <n v="35327"/>
    <n v="1072"/>
    <n v="36"/>
    <n v="1833.14"/>
    <n v="2851.92"/>
    <n v="3.034506185070909E-2"/>
    <n v="3.3582089552238806E-2"/>
    <n v="50.920555555555559"/>
    <n v="1.5557567888977382"/>
    <n v="2024"/>
    <x v="8"/>
    <n v="5"/>
  </r>
  <r>
    <s v="CAMP2112"/>
    <x v="1"/>
    <x v="0"/>
    <d v="2024-10-20T00:00:00"/>
    <n v="101400"/>
    <n v="1918"/>
    <n v="116"/>
    <n v="2024.94"/>
    <n v="10868.25"/>
    <n v="1.8915187376725838E-2"/>
    <n v="6.047966631908238E-2"/>
    <n v="17.456379310344829"/>
    <n v="5.3671960650685948"/>
    <n v="2024"/>
    <x v="3"/>
    <n v="10"/>
  </r>
  <r>
    <s v="CAMP2113"/>
    <x v="5"/>
    <x v="0"/>
    <d v="2024-10-29T00:00:00"/>
    <n v="145405"/>
    <n v="3386"/>
    <n v="238"/>
    <n v="2233.75"/>
    <n v="23116.49"/>
    <n v="2.3286682026065129E-2"/>
    <n v="7.0289427052569409E-2"/>
    <n v="9.3855042016806731"/>
    <n v="10.348736429770566"/>
    <n v="2024"/>
    <x v="3"/>
    <n v="10"/>
  </r>
  <r>
    <s v="CAMP2114"/>
    <x v="2"/>
    <x v="1"/>
    <d v="2024-12-05T00:00:00"/>
    <n v="63233"/>
    <n v="1104"/>
    <n v="23"/>
    <n v="4291.34"/>
    <n v="1186.6300000000001"/>
    <n v="1.7459238056078314E-2"/>
    <n v="2.0833333333333332E-2"/>
    <n v="186.58"/>
    <n v="0.2765173582144505"/>
    <n v="2024"/>
    <x v="4"/>
    <n v="12"/>
  </r>
  <r>
    <s v="CAMP2115"/>
    <x v="5"/>
    <x v="4"/>
    <d v="2024-09-12T00:00:00"/>
    <n v="124481"/>
    <n v="2529"/>
    <n v="143"/>
    <n v="3785.89"/>
    <n v="15002.52"/>
    <n v="2.0316353499730884E-2"/>
    <n v="5.6544088572558326E-2"/>
    <n v="26.474755244755244"/>
    <n v="3.9627458800968864"/>
    <n v="2024"/>
    <x v="11"/>
    <n v="9"/>
  </r>
  <r>
    <s v="CAMP2116"/>
    <x v="4"/>
    <x v="1"/>
    <d v="2024-06-12T00:00:00"/>
    <n v="85974"/>
    <n v="3883"/>
    <n v="425"/>
    <n v="1512.57"/>
    <n v="44525.94"/>
    <n v="4.5164817270337547E-2"/>
    <n v="0.10945145506052022"/>
    <n v="3.5589882352941173"/>
    <n v="29.437275630218771"/>
    <n v="2024"/>
    <x v="2"/>
    <n v="6"/>
  </r>
  <r>
    <s v="CAMP2117"/>
    <x v="6"/>
    <x v="4"/>
    <d v="2024-09-10T00:00:00"/>
    <n v="81413"/>
    <n v="4826"/>
    <n v="332"/>
    <n v="4909.49"/>
    <n v="17700.400000000001"/>
    <n v="5.9278002284647413E-2"/>
    <n v="6.8794032324906759E-2"/>
    <n v="14.787620481927711"/>
    <n v="3.6053439359281723"/>
    <n v="2024"/>
    <x v="11"/>
    <n v="9"/>
  </r>
  <r>
    <s v="CAMP2118"/>
    <x v="1"/>
    <x v="4"/>
    <d v="2024-12-24T00:00:00"/>
    <n v="18779"/>
    <n v="1401"/>
    <n v="169"/>
    <n v="4312.54"/>
    <n v="15672.98"/>
    <n v="7.4604611534160495E-2"/>
    <n v="0.1206281227694504"/>
    <n v="25.517988165680475"/>
    <n v="3.6342804936302038"/>
    <n v="2024"/>
    <x v="4"/>
    <n v="12"/>
  </r>
  <r>
    <s v="CAMP2119"/>
    <x v="5"/>
    <x v="4"/>
    <d v="2024-01-12T00:00:00"/>
    <n v="148639"/>
    <n v="5568"/>
    <n v="417"/>
    <n v="2472.42"/>
    <n v="22864.41"/>
    <n v="3.7459886032602481E-2"/>
    <n v="7.4892241379310345E-2"/>
    <n v="5.9290647482014389"/>
    <n v="9.2477855704127929"/>
    <n v="2024"/>
    <x v="0"/>
    <n v="1"/>
  </r>
  <r>
    <s v="CAMP2120"/>
    <x v="3"/>
    <x v="2"/>
    <d v="2024-02-06T00:00:00"/>
    <n v="143371"/>
    <n v="8727"/>
    <n v="494"/>
    <n v="4630.71"/>
    <n v="44514.77"/>
    <n v="6.0870050428608297E-2"/>
    <n v="5.6605935602154232E-2"/>
    <n v="9.3739068825910934"/>
    <n v="9.6129470426781207"/>
    <n v="2024"/>
    <x v="9"/>
    <n v="2"/>
  </r>
  <r>
    <s v="CAMP2121"/>
    <x v="3"/>
    <x v="0"/>
    <d v="2024-03-08T00:00:00"/>
    <n v="89782"/>
    <n v="5625"/>
    <n v="536"/>
    <n v="4064.34"/>
    <n v="56269.8"/>
    <n v="6.2651756476799353E-2"/>
    <n v="9.5288888888888895E-2"/>
    <n v="7.5827238805970154"/>
    <n v="13.844757082330711"/>
    <n v="2024"/>
    <x v="6"/>
    <n v="3"/>
  </r>
  <r>
    <s v="CAMP2122"/>
    <x v="5"/>
    <x v="2"/>
    <d v="2024-12-01T00:00:00"/>
    <n v="47911"/>
    <n v="2414"/>
    <n v="186"/>
    <n v="2515.7199999999998"/>
    <n v="20408.259999999998"/>
    <n v="5.0385089019223145E-2"/>
    <n v="7.705053852526926E-2"/>
    <n v="13.52537634408602"/>
    <n v="8.1122938959820647"/>
    <n v="2024"/>
    <x v="4"/>
    <n v="12"/>
  </r>
  <r>
    <s v="CAMP2123"/>
    <x v="1"/>
    <x v="4"/>
    <d v="2025-02-15T00:00:00"/>
    <n v="56289"/>
    <n v="3460"/>
    <n v="73"/>
    <n v="3684.6"/>
    <n v="5662.48"/>
    <n v="6.1468492955994956E-2"/>
    <n v="2.1098265895953757E-2"/>
    <n v="50.473972602739728"/>
    <n v="1.5367963958095858"/>
    <n v="2025"/>
    <x v="9"/>
    <n v="2"/>
  </r>
  <r>
    <s v="CAMP2124"/>
    <x v="2"/>
    <x v="2"/>
    <d v="2024-08-06T00:00:00"/>
    <n v="49098"/>
    <n v="3673"/>
    <n v="119"/>
    <n v="4875.96"/>
    <n v="4517.63"/>
    <n v="7.4809564544380633E-2"/>
    <n v="3.2398584263544784E-2"/>
    <n v="40.974453781512608"/>
    <n v="0.92651088195965514"/>
    <n v="2024"/>
    <x v="1"/>
    <n v="8"/>
  </r>
  <r>
    <s v="CAMP2125"/>
    <x v="4"/>
    <x v="0"/>
    <d v="2024-09-20T00:00:00"/>
    <n v="93732"/>
    <n v="4830"/>
    <n v="705"/>
    <n v="3209.47"/>
    <n v="42581.58"/>
    <n v="5.1529893739598001E-2"/>
    <n v="0.14596273291925466"/>
    <n v="4.5524397163120565"/>
    <n v="13.267480300485751"/>
    <n v="2024"/>
    <x v="11"/>
    <n v="9"/>
  </r>
  <r>
    <s v="CAMP2126"/>
    <x v="4"/>
    <x v="0"/>
    <d v="2024-05-03T00:00:00"/>
    <n v="108978"/>
    <n v="4817"/>
    <n v="527"/>
    <n v="4781.87"/>
    <n v="44942.400000000001"/>
    <n v="4.4201581970672983E-2"/>
    <n v="0.10940419348141997"/>
    <n v="9.073757115749526"/>
    <n v="9.3984989136049286"/>
    <n v="2024"/>
    <x v="8"/>
    <n v="5"/>
  </r>
  <r>
    <s v="CAMP2127"/>
    <x v="3"/>
    <x v="0"/>
    <d v="2025-02-02T00:00:00"/>
    <n v="126549"/>
    <n v="8927"/>
    <n v="933"/>
    <n v="1521.04"/>
    <n v="79603.14"/>
    <n v="7.0541845451169108E-2"/>
    <n v="0.10451439453343789"/>
    <n v="1.6302679528403001"/>
    <n v="52.33467890390785"/>
    <n v="2025"/>
    <x v="9"/>
    <n v="2"/>
  </r>
  <r>
    <s v="CAMP2128"/>
    <x v="7"/>
    <x v="0"/>
    <d v="2024-03-02T00:00:00"/>
    <n v="35573"/>
    <n v="561"/>
    <n v="46"/>
    <n v="3410.2"/>
    <n v="3264.84"/>
    <n v="1.5770387653557472E-2"/>
    <n v="8.1996434937611412E-2"/>
    <n v="74.134782608695645"/>
    <n v="0.95737493402146512"/>
    <n v="2024"/>
    <x v="6"/>
    <n v="3"/>
  </r>
  <r>
    <s v="CAMP2129"/>
    <x v="4"/>
    <x v="1"/>
    <d v="2024-10-20T00:00:00"/>
    <n v="130697"/>
    <n v="3811"/>
    <n v="445"/>
    <n v="4012.85"/>
    <n v="16958.8"/>
    <n v="2.9159047261987651E-2"/>
    <n v="0.11676725268958278"/>
    <n v="9.0176404494382023"/>
    <n v="4.226123578005657"/>
    <n v="2024"/>
    <x v="3"/>
    <n v="10"/>
  </r>
  <r>
    <s v="CAMP2130"/>
    <x v="6"/>
    <x v="2"/>
    <d v="2024-06-01T00:00:00"/>
    <n v="37829"/>
    <n v="641"/>
    <n v="18"/>
    <n v="4562.63"/>
    <n v="1791.4"/>
    <n v="1.694467207697798E-2"/>
    <n v="2.8081123244929798E-2"/>
    <n v="253.47944444444445"/>
    <n v="0.39262442933132863"/>
    <n v="2024"/>
    <x v="2"/>
    <n v="6"/>
  </r>
  <r>
    <s v="CAMP2131"/>
    <x v="2"/>
    <x v="2"/>
    <d v="2025-02-20T00:00:00"/>
    <n v="10176"/>
    <n v="382"/>
    <n v="48"/>
    <n v="3960.68"/>
    <n v="3504.42"/>
    <n v="3.7539308176100628E-2"/>
    <n v="0.1256544502617801"/>
    <n v="82.514166666666668"/>
    <n v="0.88480260965288793"/>
    <n v="2025"/>
    <x v="9"/>
    <n v="2"/>
  </r>
  <r>
    <s v="CAMP2132"/>
    <x v="0"/>
    <x v="1"/>
    <d v="2024-10-26T00:00:00"/>
    <n v="146290"/>
    <n v="8771"/>
    <n v="1076"/>
    <n v="795.63"/>
    <n v="102541.53"/>
    <n v="5.9956251281700734E-2"/>
    <n v="0.12267700376239882"/>
    <n v="0.73943308550185871"/>
    <n v="128.88092455035633"/>
    <n v="2024"/>
    <x v="3"/>
    <n v="10"/>
  </r>
  <r>
    <s v="CAMP2133"/>
    <x v="0"/>
    <x v="4"/>
    <d v="2024-11-02T00:00:00"/>
    <n v="52169"/>
    <n v="541"/>
    <n v="42"/>
    <n v="1708.62"/>
    <n v="1004.4"/>
    <n v="1.0370143188483583E-2"/>
    <n v="7.763401109057301E-2"/>
    <n v="40.681428571428569"/>
    <n v="0.58784282052182468"/>
    <n v="2024"/>
    <x v="5"/>
    <n v="11"/>
  </r>
  <r>
    <s v="CAMP2134"/>
    <x v="1"/>
    <x v="4"/>
    <d v="2024-02-14T00:00:00"/>
    <n v="72308"/>
    <n v="5032"/>
    <n v="123"/>
    <n v="4903.66"/>
    <n v="8685.6200000000008"/>
    <n v="6.9591193228964981E-2"/>
    <n v="2.444356120826709E-2"/>
    <n v="39.867154471544715"/>
    <n v="1.7712524930358142"/>
    <n v="2024"/>
    <x v="9"/>
    <n v="2"/>
  </r>
  <r>
    <s v="CAMP2135"/>
    <x v="7"/>
    <x v="1"/>
    <d v="2024-03-28T00:00:00"/>
    <n v="115900"/>
    <n v="9086"/>
    <n v="959"/>
    <n v="1392.02"/>
    <n v="23607.34"/>
    <n v="7.8395168248490077E-2"/>
    <n v="0.10554699537750385"/>
    <n v="1.4515328467153283"/>
    <n v="16.959052312466774"/>
    <n v="2024"/>
    <x v="6"/>
    <n v="3"/>
  </r>
  <r>
    <s v="CAMP2136"/>
    <x v="5"/>
    <x v="1"/>
    <d v="2024-08-15T00:00:00"/>
    <n v="41662"/>
    <n v="2099"/>
    <n v="231"/>
    <n v="2708.8"/>
    <n v="27397.05"/>
    <n v="5.0381642743987327E-2"/>
    <n v="0.11005240590757503"/>
    <n v="11.726406926406927"/>
    <n v="10.114091110454813"/>
    <n v="2024"/>
    <x v="1"/>
    <n v="8"/>
  </r>
  <r>
    <s v="CAMP2137"/>
    <x v="7"/>
    <x v="1"/>
    <d v="2024-10-02T00:00:00"/>
    <n v="138848"/>
    <n v="3427"/>
    <n v="112"/>
    <n v="4134.8599999999997"/>
    <n v="4895.5200000000004"/>
    <n v="2.4681666282553583E-2"/>
    <n v="3.2681645754304059E-2"/>
    <n v="36.918392857142855"/>
    <n v="1.1839626976487718"/>
    <n v="2024"/>
    <x v="3"/>
    <n v="10"/>
  </r>
  <r>
    <s v="CAMP2138"/>
    <x v="1"/>
    <x v="4"/>
    <d v="2024-06-02T00:00:00"/>
    <n v="61416"/>
    <n v="4730"/>
    <n v="464"/>
    <n v="1236.99"/>
    <n v="25940.62"/>
    <n v="7.7015761365116578E-2"/>
    <n v="9.8097251585623685E-2"/>
    <n v="2.6659267241379312"/>
    <n v="20.970759666610078"/>
    <n v="2024"/>
    <x v="2"/>
    <n v="6"/>
  </r>
  <r>
    <s v="CAMP2139"/>
    <x v="2"/>
    <x v="1"/>
    <d v="2024-08-04T00:00:00"/>
    <n v="24492"/>
    <n v="1187"/>
    <n v="63"/>
    <n v="3318.89"/>
    <n v="2288.91"/>
    <n v="4.8464804834231587E-2"/>
    <n v="5.3074978938500418E-2"/>
    <n v="52.680793650793646"/>
    <n v="0.68966130242340062"/>
    <n v="2024"/>
    <x v="1"/>
    <n v="8"/>
  </r>
  <r>
    <s v="CAMP2140"/>
    <x v="6"/>
    <x v="0"/>
    <d v="2024-05-10T00:00:00"/>
    <n v="116501"/>
    <n v="8832"/>
    <n v="341"/>
    <n v="1178.06"/>
    <n v="28288.28"/>
    <n v="7.581050806430846E-2"/>
    <n v="3.860960144927536E-2"/>
    <n v="3.4547214076246333"/>
    <n v="24.012596981478023"/>
    <n v="2024"/>
    <x v="8"/>
    <n v="5"/>
  </r>
  <r>
    <s v="CAMP2141"/>
    <x v="5"/>
    <x v="4"/>
    <d v="2024-12-31T00:00:00"/>
    <n v="102554"/>
    <n v="5071"/>
    <n v="528"/>
    <n v="2654.85"/>
    <n v="19221.47"/>
    <n v="4.9447120541373325E-2"/>
    <n v="0.10412147505422993"/>
    <n v="5.0281250000000002"/>
    <n v="7.2401340942049464"/>
    <n v="2024"/>
    <x v="4"/>
    <n v="12"/>
  </r>
  <r>
    <s v="CAMP2142"/>
    <x v="2"/>
    <x v="3"/>
    <d v="2025-02-07T00:00:00"/>
    <n v="118672"/>
    <n v="4334"/>
    <n v="629"/>
    <n v="1387.99"/>
    <n v="29570.880000000001"/>
    <n v="3.6520830524470811E-2"/>
    <n v="0.14513151822796494"/>
    <n v="2.2066613672496027"/>
    <n v="21.304822080850727"/>
    <n v="2025"/>
    <x v="9"/>
    <n v="2"/>
  </r>
  <r>
    <s v="CAMP2143"/>
    <x v="0"/>
    <x v="1"/>
    <d v="2024-07-27T00:00:00"/>
    <n v="22290"/>
    <n v="736"/>
    <n v="23"/>
    <n v="4564.38"/>
    <n v="2249.56"/>
    <n v="3.3019291161956031E-2"/>
    <n v="3.125E-2"/>
    <n v="198.4513043478261"/>
    <n v="0.49285116488986452"/>
    <n v="2024"/>
    <x v="10"/>
    <n v="7"/>
  </r>
  <r>
    <s v="CAMP2144"/>
    <x v="2"/>
    <x v="4"/>
    <d v="2024-05-20T00:00:00"/>
    <n v="7585"/>
    <n v="127"/>
    <n v="18"/>
    <n v="1266.68"/>
    <n v="2073.21"/>
    <n v="1.6743572841133817E-2"/>
    <n v="0.14173228346456693"/>
    <n v="70.371111111111119"/>
    <n v="1.6367275081314934"/>
    <n v="2024"/>
    <x v="8"/>
    <n v="5"/>
  </r>
  <r>
    <s v="CAMP2145"/>
    <x v="0"/>
    <x v="4"/>
    <d v="2024-09-26T00:00:00"/>
    <n v="85360"/>
    <n v="4371"/>
    <n v="545"/>
    <n v="658.59"/>
    <n v="29915.06"/>
    <n v="5.1206654170571693E-2"/>
    <n v="0.12468542667581789"/>
    <n v="1.2084220183486238"/>
    <n v="45.422888291653379"/>
    <n v="2024"/>
    <x v="11"/>
    <n v="9"/>
  </r>
  <r>
    <s v="CAMP2146"/>
    <x v="5"/>
    <x v="1"/>
    <d v="2024-05-18T00:00:00"/>
    <n v="30969"/>
    <n v="2253"/>
    <n v="95"/>
    <n v="4743.25"/>
    <n v="5600.85"/>
    <n v="7.275016952436307E-2"/>
    <n v="4.2166000887705279E-2"/>
    <n v="49.928947368421049"/>
    <n v="1.1808043008485745"/>
    <n v="2024"/>
    <x v="8"/>
    <n v="5"/>
  </r>
  <r>
    <s v="CAMP2147"/>
    <x v="7"/>
    <x v="1"/>
    <d v="2024-10-09T00:00:00"/>
    <n v="110552"/>
    <n v="4795"/>
    <n v="175"/>
    <n v="245.59"/>
    <n v="12487.39"/>
    <n v="4.3373254215210939E-2"/>
    <n v="3.6496350364963501E-2"/>
    <n v="1.4033714285714285"/>
    <n v="50.846492121014698"/>
    <n v="2024"/>
    <x v="3"/>
    <n v="10"/>
  </r>
  <r>
    <s v="CAMP2148"/>
    <x v="2"/>
    <x v="4"/>
    <d v="2024-03-14T00:00:00"/>
    <n v="104300"/>
    <n v="5186"/>
    <n v="283"/>
    <n v="4608.5200000000004"/>
    <n v="23749.18"/>
    <n v="4.9721955896452542E-2"/>
    <n v="5.4569996143463168E-2"/>
    <n v="16.28452296819788"/>
    <n v="5.1533203718330389"/>
    <n v="2024"/>
    <x v="6"/>
    <n v="3"/>
  </r>
  <r>
    <s v="CAMP2149"/>
    <x v="7"/>
    <x v="4"/>
    <d v="2024-12-13T00:00:00"/>
    <n v="114640"/>
    <n v="6818"/>
    <n v="298"/>
    <n v="4933.9799999999996"/>
    <n v="29754.37"/>
    <n v="5.9473133286810885E-2"/>
    <n v="4.3707832208858904E-2"/>
    <n v="16.556979865771812"/>
    <n v="6.0305007316608501"/>
    <n v="2024"/>
    <x v="4"/>
    <n v="12"/>
  </r>
  <r>
    <s v="CAMP2150"/>
    <x v="5"/>
    <x v="3"/>
    <d v="2024-08-07T00:00:00"/>
    <n v="141470"/>
    <n v="10740"/>
    <n v="1445"/>
    <n v="4107.3100000000004"/>
    <n v="72999.58"/>
    <n v="7.5917155580688483E-2"/>
    <n v="0.13454376163873372"/>
    <n v="2.842429065743945"/>
    <n v="17.773087495221933"/>
    <n v="2024"/>
    <x v="1"/>
    <n v="8"/>
  </r>
  <r>
    <s v="CAMP2151"/>
    <x v="0"/>
    <x v="3"/>
    <d v="2024-07-27T00:00:00"/>
    <n v="86982"/>
    <n v="6016"/>
    <n v="616"/>
    <n v="568.13"/>
    <n v="27106.26"/>
    <n v="6.9163735025637482E-2"/>
    <n v="0.1023936170212766"/>
    <n v="0.92228896103896107"/>
    <n v="47.711368876841568"/>
    <n v="2024"/>
    <x v="10"/>
    <n v="7"/>
  </r>
  <r>
    <s v="CAMP2152"/>
    <x v="0"/>
    <x v="4"/>
    <d v="2024-10-21T00:00:00"/>
    <n v="20050"/>
    <n v="319"/>
    <n v="18"/>
    <n v="4662.03"/>
    <n v="1815.02"/>
    <n v="1.5910224438902745E-2"/>
    <n v="5.6426332288401257E-2"/>
    <n v="259.00166666666667"/>
    <n v="0.38931967404757156"/>
    <n v="2024"/>
    <x v="3"/>
    <n v="10"/>
  </r>
  <r>
    <s v="CAMP2153"/>
    <x v="4"/>
    <x v="2"/>
    <d v="2024-12-12T00:00:00"/>
    <n v="138348"/>
    <n v="10413"/>
    <n v="392"/>
    <n v="2589.46"/>
    <n v="34696.78"/>
    <n v="7.5266718709341665E-2"/>
    <n v="3.7645251128397193E-2"/>
    <n v="6.6057653061224491"/>
    <n v="13.399233817089277"/>
    <n v="2024"/>
    <x v="4"/>
    <n v="12"/>
  </r>
  <r>
    <s v="CAMP2154"/>
    <x v="0"/>
    <x v="2"/>
    <d v="2024-01-08T00:00:00"/>
    <n v="54855"/>
    <n v="4046"/>
    <n v="473"/>
    <n v="3627.97"/>
    <n v="42692.59"/>
    <n v="7.3758089508704772E-2"/>
    <n v="0.11690558576371725"/>
    <n v="7.6701268498942916"/>
    <n v="11.767624870106422"/>
    <n v="2024"/>
    <x v="0"/>
    <n v="1"/>
  </r>
  <r>
    <s v="CAMP2155"/>
    <x v="7"/>
    <x v="4"/>
    <d v="2025-01-13T00:00:00"/>
    <n v="143441"/>
    <n v="8303"/>
    <n v="211"/>
    <n v="2353.5300000000002"/>
    <n v="7776.03"/>
    <n v="5.7884426349509556E-2"/>
    <n v="2.5412501505479947E-2"/>
    <n v="11.154170616113745"/>
    <n v="3.3039859275216372"/>
    <n v="2025"/>
    <x v="0"/>
    <n v="1"/>
  </r>
  <r>
    <s v="CAMP2156"/>
    <x v="1"/>
    <x v="4"/>
    <d v="2024-02-08T00:00:00"/>
    <n v="101220"/>
    <n v="6959"/>
    <n v="603"/>
    <n v="4771.92"/>
    <n v="37550.15"/>
    <n v="6.8751234933807553E-2"/>
    <n v="8.6650380801839344E-2"/>
    <n v="7.91363184079602"/>
    <n v="7.86898145819712"/>
    <n v="2024"/>
    <x v="9"/>
    <n v="2"/>
  </r>
  <r>
    <s v="CAMP2157"/>
    <x v="3"/>
    <x v="4"/>
    <d v="2024-07-10T00:00:00"/>
    <n v="34683"/>
    <n v="1167"/>
    <n v="126"/>
    <n v="4192.29"/>
    <n v="13239.79"/>
    <n v="3.3647608338379036E-2"/>
    <n v="0.10796915167095116"/>
    <n v="33.27214285714286"/>
    <n v="3.1581283737527701"/>
    <n v="2024"/>
    <x v="10"/>
    <n v="7"/>
  </r>
  <r>
    <s v="CAMP2158"/>
    <x v="0"/>
    <x v="3"/>
    <d v="2024-06-02T00:00:00"/>
    <n v="131648"/>
    <n v="4021"/>
    <n v="191"/>
    <n v="3742.52"/>
    <n v="14684.88"/>
    <n v="3.0543570734078755E-2"/>
    <n v="4.7500621735886595E-2"/>
    <n v="19.594345549738218"/>
    <n v="3.9237946624199735"/>
    <n v="2024"/>
    <x v="2"/>
    <n v="6"/>
  </r>
  <r>
    <s v="CAMP2159"/>
    <x v="1"/>
    <x v="3"/>
    <d v="2024-11-25T00:00:00"/>
    <n v="140142"/>
    <n v="9501"/>
    <n v="233"/>
    <n v="2422.67"/>
    <n v="19053.54"/>
    <n v="6.7795521685147922E-2"/>
    <n v="2.4523734343753288E-2"/>
    <n v="10.397725321888412"/>
    <n v="7.8646864822695619"/>
    <n v="2024"/>
    <x v="5"/>
    <n v="11"/>
  </r>
  <r>
    <s v="CAMP2160"/>
    <x v="6"/>
    <x v="0"/>
    <d v="2024-07-01T00:00:00"/>
    <n v="6544"/>
    <n v="347"/>
    <n v="21"/>
    <n v="1898.69"/>
    <n v="430.82"/>
    <n v="5.302567237163814E-2"/>
    <n v="6.0518731988472622E-2"/>
    <n v="90.413809523809533"/>
    <n v="0.22690381262870715"/>
    <n v="2024"/>
    <x v="10"/>
    <n v="7"/>
  </r>
  <r>
    <s v="CAMP2161"/>
    <x v="2"/>
    <x v="2"/>
    <d v="2024-06-30T00:00:00"/>
    <n v="7323"/>
    <n v="125"/>
    <n v="10"/>
    <n v="606.77"/>
    <n v="714.32"/>
    <n v="1.7069507032636898E-2"/>
    <n v="0.08"/>
    <n v="60.677"/>
    <n v="1.1772500288412415"/>
    <n v="2024"/>
    <x v="2"/>
    <n v="6"/>
  </r>
  <r>
    <s v="CAMP2162"/>
    <x v="2"/>
    <x v="2"/>
    <d v="2024-03-04T00:00:00"/>
    <n v="132772"/>
    <n v="1391"/>
    <n v="166"/>
    <n v="1400.65"/>
    <n v="11133.6"/>
    <n v="1.0476606513421504E-2"/>
    <n v="0.11933860531991373"/>
    <n v="8.4376506024096383"/>
    <n v="7.9488808767358012"/>
    <n v="2024"/>
    <x v="6"/>
    <n v="3"/>
  </r>
  <r>
    <s v="CAMP2163"/>
    <x v="7"/>
    <x v="3"/>
    <d v="2024-07-05T00:00:00"/>
    <n v="117287"/>
    <n v="8497"/>
    <n v="762"/>
    <n v="1493.51"/>
    <n v="90629.94"/>
    <n v="7.2446221661394694E-2"/>
    <n v="8.9678710132988115E-2"/>
    <n v="1.95998687664042"/>
    <n v="60.682513006273815"/>
    <n v="2024"/>
    <x v="10"/>
    <n v="7"/>
  </r>
  <r>
    <s v="CAMP2164"/>
    <x v="6"/>
    <x v="4"/>
    <d v="2024-03-12T00:00:00"/>
    <n v="97730"/>
    <n v="6088"/>
    <n v="126"/>
    <n v="4441.17"/>
    <n v="11456.16"/>
    <n v="6.2294075514171696E-2"/>
    <n v="2.0696452036793694E-2"/>
    <n v="35.247380952380951"/>
    <n v="2.5795364734968489"/>
    <n v="2024"/>
    <x v="6"/>
    <n v="3"/>
  </r>
  <r>
    <s v="CAMP2165"/>
    <x v="0"/>
    <x v="4"/>
    <d v="2024-05-25T00:00:00"/>
    <n v="15552"/>
    <n v="301"/>
    <n v="22"/>
    <n v="1789.82"/>
    <n v="509.53"/>
    <n v="1.9354423868312758E-2"/>
    <n v="7.3089700996677748E-2"/>
    <n v="81.355454545454549"/>
    <n v="0.28468225855113921"/>
    <n v="2024"/>
    <x v="8"/>
    <n v="5"/>
  </r>
  <r>
    <s v="CAMP2166"/>
    <x v="1"/>
    <x v="2"/>
    <d v="2024-12-06T00:00:00"/>
    <n v="74677"/>
    <n v="1367"/>
    <n v="114"/>
    <n v="2578.7199999999998"/>
    <n v="10051.799999999999"/>
    <n v="1.8305502363512194E-2"/>
    <n v="8.3394294074615946E-2"/>
    <n v="22.62035087719298"/>
    <n v="3.8979803933734565"/>
    <n v="2024"/>
    <x v="4"/>
    <n v="12"/>
  </r>
  <r>
    <s v="CAMP2167"/>
    <x v="2"/>
    <x v="3"/>
    <d v="2025-01-19T00:00:00"/>
    <n v="109825"/>
    <n v="4956"/>
    <n v="694"/>
    <n v="4246.7"/>
    <n v="40866.089999999997"/>
    <n v="4.5126337354882771E-2"/>
    <n v="0.1400322841000807"/>
    <n v="6.1191642651296831"/>
    <n v="9.6230225822403277"/>
    <n v="2025"/>
    <x v="0"/>
    <n v="1"/>
  </r>
  <r>
    <s v="CAMP2168"/>
    <x v="0"/>
    <x v="0"/>
    <d v="2025-02-09T00:00:00"/>
    <n v="10544"/>
    <n v="198"/>
    <n v="12"/>
    <n v="265.51"/>
    <n v="1061.33"/>
    <n v="1.877845220030349E-2"/>
    <n v="6.0606060606060608E-2"/>
    <n v="22.125833333333333"/>
    <n v="3.9973259010960036"/>
    <n v="2025"/>
    <x v="9"/>
    <n v="2"/>
  </r>
  <r>
    <s v="CAMP2169"/>
    <x v="4"/>
    <x v="3"/>
    <d v="2024-08-07T00:00:00"/>
    <n v="7104"/>
    <n v="287"/>
    <n v="16"/>
    <n v="2532.46"/>
    <n v="1537.44"/>
    <n v="4.0399774774774772E-2"/>
    <n v="5.5749128919860627E-2"/>
    <n v="158.27875"/>
    <n v="0.60709349802168644"/>
    <n v="2024"/>
    <x v="1"/>
    <n v="8"/>
  </r>
  <r>
    <s v="CAMP2170"/>
    <x v="1"/>
    <x v="1"/>
    <d v="2024-03-19T00:00:00"/>
    <n v="139018"/>
    <n v="3208"/>
    <n v="181"/>
    <n v="752.1"/>
    <n v="8389.91"/>
    <n v="2.3076148412435799E-2"/>
    <n v="5.6421446384039897E-2"/>
    <n v="4.1552486187845306"/>
    <n v="11.155311793644461"/>
    <n v="2024"/>
    <x v="6"/>
    <n v="3"/>
  </r>
  <r>
    <s v="CAMP2171"/>
    <x v="1"/>
    <x v="2"/>
    <d v="2024-04-11T00:00:00"/>
    <n v="129228"/>
    <n v="7682"/>
    <n v="962"/>
    <n v="3565.5"/>
    <n v="67564.53"/>
    <n v="5.9445321447364349E-2"/>
    <n v="0.12522780525904711"/>
    <n v="3.7063409563409562"/>
    <n v="18.949524610854017"/>
    <n v="2024"/>
    <x v="7"/>
    <n v="4"/>
  </r>
  <r>
    <s v="CAMP2172"/>
    <x v="2"/>
    <x v="4"/>
    <d v="2024-10-29T00:00:00"/>
    <n v="43987"/>
    <n v="1146"/>
    <n v="42"/>
    <n v="384.16"/>
    <n v="4999.67"/>
    <n v="2.6053152067656352E-2"/>
    <n v="3.6649214659685861E-2"/>
    <n v="9.1466666666666665"/>
    <n v="13.014551228654726"/>
    <n v="2024"/>
    <x v="3"/>
    <n v="10"/>
  </r>
  <r>
    <s v="CAMP2173"/>
    <x v="2"/>
    <x v="2"/>
    <d v="2024-01-10T00:00:00"/>
    <n v="57335"/>
    <n v="938"/>
    <n v="24"/>
    <n v="2155.0300000000002"/>
    <n v="1215.47"/>
    <n v="1.6359989535187931E-2"/>
    <n v="2.5586353944562899E-2"/>
    <n v="89.79291666666667"/>
    <n v="0.56401535013433679"/>
    <n v="2024"/>
    <x v="0"/>
    <n v="1"/>
  </r>
  <r>
    <s v="CAMP2174"/>
    <x v="1"/>
    <x v="4"/>
    <d v="2024-06-21T00:00:00"/>
    <n v="116693"/>
    <n v="5081"/>
    <n v="438"/>
    <n v="3290.59"/>
    <n v="22087.9"/>
    <n v="4.3541600610147994E-2"/>
    <n v="8.6203503247392246E-2"/>
    <n v="7.5127625570776262"/>
    <n v="6.7124436651178057"/>
    <n v="2024"/>
    <x v="2"/>
    <n v="6"/>
  </r>
  <r>
    <s v="CAMP2175"/>
    <x v="5"/>
    <x v="3"/>
    <d v="2024-05-23T00:00:00"/>
    <n v="97018"/>
    <n v="5802"/>
    <n v="302"/>
    <n v="4496.51"/>
    <n v="11528.9"/>
    <n v="5.9803335463522234E-2"/>
    <n v="5.2051016890727338E-2"/>
    <n v="14.889105960264901"/>
    <n v="2.5639662760674389"/>
    <n v="2024"/>
    <x v="8"/>
    <n v="5"/>
  </r>
  <r>
    <s v="CAMP2176"/>
    <x v="4"/>
    <x v="0"/>
    <d v="2024-12-04T00:00:00"/>
    <n v="89315"/>
    <n v="2218"/>
    <n v="180"/>
    <n v="4560.71"/>
    <n v="5413.71"/>
    <n v="2.4833454626882384E-2"/>
    <n v="8.1154192966636604E-2"/>
    <n v="25.337277777777778"/>
    <n v="1.187032282254298"/>
    <n v="2024"/>
    <x v="4"/>
    <n v="12"/>
  </r>
  <r>
    <s v="CAMP2177"/>
    <x v="2"/>
    <x v="3"/>
    <d v="2024-09-08T00:00:00"/>
    <n v="100310"/>
    <n v="3350"/>
    <n v="115"/>
    <n v="3410.95"/>
    <n v="10154.06"/>
    <n v="3.3396470940085736E-2"/>
    <n v="3.4328358208955224E-2"/>
    <n v="29.660434782608693"/>
    <n v="2.9769008633958283"/>
    <n v="2024"/>
    <x v="11"/>
    <n v="9"/>
  </r>
  <r>
    <s v="CAMP2178"/>
    <x v="2"/>
    <x v="3"/>
    <d v="2024-07-03T00:00:00"/>
    <n v="99734"/>
    <n v="6184"/>
    <n v="597"/>
    <n v="3102.63"/>
    <n v="26163.66"/>
    <n v="6.2004933122104797E-2"/>
    <n v="9.6539456662354459E-2"/>
    <n v="5.1970351758793969"/>
    <n v="8.4327360980845274"/>
    <n v="2024"/>
    <x v="10"/>
    <n v="7"/>
  </r>
  <r>
    <s v="CAMP2179"/>
    <x v="5"/>
    <x v="4"/>
    <d v="2024-10-26T00:00:00"/>
    <n v="105676"/>
    <n v="1702"/>
    <n v="57"/>
    <n v="3221.88"/>
    <n v="4570.46"/>
    <n v="1.6105832923274915E-2"/>
    <n v="3.3490011750881316E-2"/>
    <n v="56.524210526315791"/>
    <n v="1.4185692825306964"/>
    <n v="2024"/>
    <x v="3"/>
    <n v="10"/>
  </r>
  <r>
    <s v="CAMP2180"/>
    <x v="4"/>
    <x v="1"/>
    <d v="2024-12-01T00:00:00"/>
    <n v="54921"/>
    <n v="1290"/>
    <n v="100"/>
    <n v="673.46"/>
    <n v="11418.18"/>
    <n v="2.348828317037199E-2"/>
    <n v="7.7519379844961239E-2"/>
    <n v="6.7346000000000004"/>
    <n v="16.954503608232113"/>
    <n v="2024"/>
    <x v="4"/>
    <n v="12"/>
  </r>
  <r>
    <s v="CAMP2181"/>
    <x v="7"/>
    <x v="3"/>
    <d v="2025-01-06T00:00:00"/>
    <n v="129308"/>
    <n v="10250"/>
    <n v="474"/>
    <n v="3659.69"/>
    <n v="11556.65"/>
    <n v="7.9268104061620312E-2"/>
    <n v="4.624390243902439E-2"/>
    <n v="7.720864978902954"/>
    <n v="3.1578221106159265"/>
    <n v="2025"/>
    <x v="0"/>
    <n v="1"/>
  </r>
  <r>
    <s v="CAMP2182"/>
    <x v="1"/>
    <x v="2"/>
    <d v="2024-10-08T00:00:00"/>
    <n v="71198"/>
    <n v="5155"/>
    <n v="611"/>
    <n v="4261.22"/>
    <n v="46457.14"/>
    <n v="7.2403719205595657E-2"/>
    <n v="0.11852570320077595"/>
    <n v="6.9741734860883797"/>
    <n v="10.902309667184515"/>
    <n v="2024"/>
    <x v="3"/>
    <n v="10"/>
  </r>
  <r>
    <s v="CAMP2183"/>
    <x v="7"/>
    <x v="3"/>
    <d v="2024-08-17T00:00:00"/>
    <n v="35783"/>
    <n v="2639"/>
    <n v="76"/>
    <n v="2211.2199999999998"/>
    <n v="8598.1299999999992"/>
    <n v="7.3750104798367938E-2"/>
    <n v="2.8798787419477074E-2"/>
    <n v="29.094999999999999"/>
    <n v="3.8884100179991137"/>
    <n v="2024"/>
    <x v="1"/>
    <n v="8"/>
  </r>
  <r>
    <s v="CAMP2184"/>
    <x v="4"/>
    <x v="4"/>
    <d v="2024-11-02T00:00:00"/>
    <n v="76866"/>
    <n v="4517"/>
    <n v="166"/>
    <n v="418.14"/>
    <n v="12718.5"/>
    <n v="5.876460333567507E-2"/>
    <n v="3.6750055346468892E-2"/>
    <n v="2.5189156626506022"/>
    <n v="30.41684603242933"/>
    <n v="2024"/>
    <x v="5"/>
    <n v="11"/>
  </r>
  <r>
    <s v="CAMP2185"/>
    <x v="1"/>
    <x v="2"/>
    <d v="2024-09-10T00:00:00"/>
    <n v="144583"/>
    <n v="10253"/>
    <n v="1500"/>
    <n v="994.49"/>
    <n v="142609.17000000001"/>
    <n v="7.0914284528609858E-2"/>
    <n v="0.14629864429922948"/>
    <n v="0.66299333333333332"/>
    <n v="143.39930014379232"/>
    <n v="2024"/>
    <x v="11"/>
    <n v="9"/>
  </r>
  <r>
    <s v="CAMP2186"/>
    <x v="3"/>
    <x v="1"/>
    <d v="2025-02-03T00:00:00"/>
    <n v="107300"/>
    <n v="4083"/>
    <n v="225"/>
    <n v="1083.52"/>
    <n v="8100.07"/>
    <n v="3.8052190121155641E-2"/>
    <n v="5.5106539309331376E-2"/>
    <n v="4.8156444444444446"/>
    <n v="7.4756995717660955"/>
    <n v="2025"/>
    <x v="9"/>
    <n v="2"/>
  </r>
  <r>
    <s v="CAMP2187"/>
    <x v="1"/>
    <x v="1"/>
    <d v="2024-12-22T00:00:00"/>
    <n v="7322"/>
    <n v="523"/>
    <n v="64"/>
    <n v="2386.12"/>
    <n v="5809.63"/>
    <n v="7.1428571428571425E-2"/>
    <n v="0.12237093690248566"/>
    <n v="37.283124999999998"/>
    <n v="2.4347601964695826"/>
    <n v="2024"/>
    <x v="4"/>
    <n v="12"/>
  </r>
  <r>
    <s v="CAMP2188"/>
    <x v="5"/>
    <x v="3"/>
    <d v="2024-04-22T00:00:00"/>
    <n v="82689"/>
    <n v="4926"/>
    <n v="452"/>
    <n v="1021.32"/>
    <n v="11101.68"/>
    <n v="5.9572615462758043E-2"/>
    <n v="9.1758018676410882E-2"/>
    <n v="2.2595575221238939"/>
    <n v="10.869933027846317"/>
    <n v="2024"/>
    <x v="7"/>
    <n v="4"/>
  </r>
  <r>
    <s v="CAMP2189"/>
    <x v="1"/>
    <x v="3"/>
    <d v="2024-01-21T00:00:00"/>
    <n v="43833"/>
    <n v="3328"/>
    <n v="186"/>
    <n v="838.26"/>
    <n v="19964.919999999998"/>
    <n v="7.5924531745488563E-2"/>
    <n v="5.588942307692308E-2"/>
    <n v="4.5067741935483872"/>
    <n v="23.817097320640372"/>
    <n v="2024"/>
    <x v="0"/>
    <n v="1"/>
  </r>
  <r>
    <s v="CAMP2190"/>
    <x v="4"/>
    <x v="4"/>
    <d v="2025-02-25T00:00:00"/>
    <n v="60043"/>
    <n v="2847"/>
    <n v="57"/>
    <n v="1867.82"/>
    <n v="4589.41"/>
    <n v="4.7416018520060624E-2"/>
    <n v="2.0021074815595362E-2"/>
    <n v="32.76877192982456"/>
    <n v="2.4570943666948635"/>
    <n v="2025"/>
    <x v="9"/>
    <n v="2"/>
  </r>
  <r>
    <s v="CAMP2191"/>
    <x v="7"/>
    <x v="3"/>
    <d v="2024-02-12T00:00:00"/>
    <n v="148989"/>
    <n v="4243"/>
    <n v="158"/>
    <n v="4512.01"/>
    <n v="7819.35"/>
    <n v="2.8478612515017886E-2"/>
    <n v="3.7237803440961587E-2"/>
    <n v="28.557025316455697"/>
    <n v="1.7330081271982996"/>
    <n v="2024"/>
    <x v="9"/>
    <n v="2"/>
  </r>
  <r>
    <s v="CAMP2192"/>
    <x v="4"/>
    <x v="0"/>
    <d v="2025-02-25T00:00:00"/>
    <n v="98187"/>
    <n v="2488"/>
    <n v="361"/>
    <n v="1048.33"/>
    <n v="42294.93"/>
    <n v="2.5339403383339953E-2"/>
    <n v="0.14509646302250803"/>
    <n v="2.9039612188365651"/>
    <n v="40.345053561378577"/>
    <n v="2025"/>
    <x v="9"/>
    <n v="2"/>
  </r>
  <r>
    <s v="CAMP2193"/>
    <x v="0"/>
    <x v="2"/>
    <d v="2024-11-30T00:00:00"/>
    <n v="72461"/>
    <n v="5137"/>
    <n v="526"/>
    <n v="2844.21"/>
    <n v="53486.15"/>
    <n v="7.0893308124370349E-2"/>
    <n v="0.10239439361495035"/>
    <n v="5.407243346007605"/>
    <n v="18.805274575365392"/>
    <n v="2024"/>
    <x v="5"/>
    <n v="11"/>
  </r>
  <r>
    <s v="CAMP2194"/>
    <x v="1"/>
    <x v="3"/>
    <d v="2024-05-17T00:00:00"/>
    <n v="58456"/>
    <n v="2964"/>
    <n v="370"/>
    <n v="3813.91"/>
    <n v="13158.73"/>
    <n v="5.0704803612973859E-2"/>
    <n v="0.12483130904183536"/>
    <n v="10.307864864864865"/>
    <n v="3.4501941577016764"/>
    <n v="2024"/>
    <x v="8"/>
    <n v="5"/>
  </r>
  <r>
    <s v="CAMP2195"/>
    <x v="1"/>
    <x v="2"/>
    <d v="2024-07-07T00:00:00"/>
    <n v="43884"/>
    <n v="3210"/>
    <n v="103"/>
    <n v="1071.27"/>
    <n v="3965.79"/>
    <n v="7.3147388569866009E-2"/>
    <n v="3.2087227414330219E-2"/>
    <n v="10.400679611650485"/>
    <n v="3.7019518888795542"/>
    <n v="2024"/>
    <x v="10"/>
    <n v="7"/>
  </r>
  <r>
    <s v="CAMP2196"/>
    <x v="2"/>
    <x v="4"/>
    <d v="2024-10-18T00:00:00"/>
    <n v="133586"/>
    <n v="10157"/>
    <n v="441"/>
    <n v="1553.81"/>
    <n v="22498.07"/>
    <n v="7.6033416675400117E-2"/>
    <n v="4.3418332184700204E-2"/>
    <n v="3.5233786848072559"/>
    <n v="14.479292835031311"/>
    <n v="2024"/>
    <x v="3"/>
    <n v="10"/>
  </r>
  <r>
    <s v="CAMP2197"/>
    <x v="2"/>
    <x v="2"/>
    <d v="2024-12-17T00:00:00"/>
    <n v="54243"/>
    <n v="806"/>
    <n v="23"/>
    <n v="1377.22"/>
    <n v="2551"/>
    <n v="1.4859060155227402E-2"/>
    <n v="2.8535980148883373E-2"/>
    <n v="59.87913043478261"/>
    <n v="1.8522821335734305"/>
    <n v="2024"/>
    <x v="4"/>
    <n v="12"/>
  </r>
  <r>
    <s v="CAMP2198"/>
    <x v="3"/>
    <x v="0"/>
    <d v="2025-01-05T00:00:00"/>
    <n v="143091"/>
    <n v="2806"/>
    <n v="329"/>
    <n v="256.58"/>
    <n v="9861.1200000000008"/>
    <n v="1.9609898595998352E-2"/>
    <n v="0.1172487526728439"/>
    <n v="0.77987841945288749"/>
    <n v="38.432925403382967"/>
    <n v="2025"/>
    <x v="0"/>
    <n v="1"/>
  </r>
  <r>
    <s v="CAMP2199"/>
    <x v="3"/>
    <x v="0"/>
    <d v="2024-02-26T00:00:00"/>
    <n v="8552"/>
    <n v="542"/>
    <n v="56"/>
    <n v="409.95"/>
    <n v="2510.7199999999998"/>
    <n v="6.3376987839101964E-2"/>
    <n v="0.10332103321033211"/>
    <n v="7.3205357142857137"/>
    <n v="6.1244542017319183"/>
    <n v="2024"/>
    <x v="9"/>
    <n v="2"/>
  </r>
  <r>
    <s v="CAMP2200"/>
    <x v="0"/>
    <x v="3"/>
    <d v="2024-03-14T00:00:00"/>
    <n v="8538"/>
    <n v="558"/>
    <n v="11"/>
    <n v="3999.97"/>
    <n v="816.61"/>
    <n v="6.535488404778636E-2"/>
    <n v="1.9713261648745518E-2"/>
    <n v="363.63363636363636"/>
    <n v="0.20415403115523367"/>
    <n v="2024"/>
    <x v="6"/>
    <n v="3"/>
  </r>
  <r>
    <s v="CAMP2201"/>
    <x v="7"/>
    <x v="0"/>
    <d v="2024-04-13T00:00:00"/>
    <n v="41498"/>
    <n v="1810"/>
    <n v="168"/>
    <n v="2332.77"/>
    <n v="6100.83"/>
    <n v="4.3616559834208875E-2"/>
    <n v="9.2817679558011054E-2"/>
    <n v="13.885535714285714"/>
    <n v="2.6152728301547086"/>
    <n v="2024"/>
    <x v="7"/>
    <n v="4"/>
  </r>
  <r>
    <s v="CAMP2202"/>
    <x v="7"/>
    <x v="2"/>
    <d v="2024-03-20T00:00:00"/>
    <n v="68913"/>
    <n v="958"/>
    <n v="105"/>
    <n v="3211.93"/>
    <n v="3392.29"/>
    <n v="1.3901586057783001E-2"/>
    <n v="0.10960334029227557"/>
    <n v="30.589809523809521"/>
    <n v="1.0561531540226594"/>
    <n v="2024"/>
    <x v="6"/>
    <n v="3"/>
  </r>
  <r>
    <s v="CAMP2203"/>
    <x v="4"/>
    <x v="0"/>
    <d v="2024-10-05T00:00:00"/>
    <n v="82788"/>
    <n v="1422"/>
    <n v="192"/>
    <n v="2193.37"/>
    <n v="3863.24"/>
    <n v="1.7176402377156109E-2"/>
    <n v="0.13502109704641349"/>
    <n v="11.423802083333333"/>
    <n v="1.7613261784377465"/>
    <n v="2024"/>
    <x v="3"/>
    <n v="10"/>
  </r>
  <r>
    <s v="CAMP2204"/>
    <x v="1"/>
    <x v="0"/>
    <d v="2024-04-26T00:00:00"/>
    <n v="116970"/>
    <n v="4325"/>
    <n v="285"/>
    <n v="1576.86"/>
    <n v="31968.19"/>
    <n v="3.6975292810122254E-2"/>
    <n v="6.5895953757225428E-2"/>
    <n v="5.5328421052631578"/>
    <n v="20.273321664573899"/>
    <n v="2024"/>
    <x v="7"/>
    <n v="4"/>
  </r>
  <r>
    <s v="CAMP2205"/>
    <x v="3"/>
    <x v="0"/>
    <d v="2024-09-08T00:00:00"/>
    <n v="49448"/>
    <n v="3923"/>
    <n v="192"/>
    <n v="4791.04"/>
    <n v="9250.83"/>
    <n v="7.9335867982527106E-2"/>
    <n v="4.8942136120316088E-2"/>
    <n v="24.953333333333333"/>
    <n v="1.9308605229762223"/>
    <n v="2024"/>
    <x v="11"/>
    <n v="9"/>
  </r>
  <r>
    <s v="CAMP2206"/>
    <x v="0"/>
    <x v="1"/>
    <d v="2024-06-19T00:00:00"/>
    <n v="36024"/>
    <n v="1269"/>
    <n v="177"/>
    <n v="607.05999999999995"/>
    <n v="4307.24"/>
    <n v="3.5226515656229182E-2"/>
    <n v="0.13947990543735225"/>
    <n v="3.4297175141242935"/>
    <n v="7.0952459394458538"/>
    <n v="2024"/>
    <x v="2"/>
    <n v="6"/>
  </r>
  <r>
    <s v="CAMP2207"/>
    <x v="2"/>
    <x v="4"/>
    <d v="2024-08-07T00:00:00"/>
    <n v="144062"/>
    <n v="4817"/>
    <n v="209"/>
    <n v="2241.17"/>
    <n v="22846.16"/>
    <n v="3.3436992406047396E-2"/>
    <n v="4.3388000830392362E-2"/>
    <n v="10.723301435406698"/>
    <n v="10.193854102990848"/>
    <n v="2024"/>
    <x v="1"/>
    <n v="8"/>
  </r>
  <r>
    <s v="CAMP2208"/>
    <x v="5"/>
    <x v="1"/>
    <d v="2025-02-22T00:00:00"/>
    <n v="80236"/>
    <n v="2759"/>
    <n v="92"/>
    <n v="4597.92"/>
    <n v="7927.93"/>
    <n v="3.4386061119696894E-2"/>
    <n v="3.3345415005436752E-2"/>
    <n v="49.977391304347826"/>
    <n v="1.7242427010474302"/>
    <n v="2025"/>
    <x v="9"/>
    <n v="2"/>
  </r>
  <r>
    <s v="CAMP2209"/>
    <x v="5"/>
    <x v="0"/>
    <d v="2025-02-07T00:00:00"/>
    <n v="5571"/>
    <n v="391"/>
    <n v="57"/>
    <n v="3933.36"/>
    <n v="1975.56"/>
    <n v="7.0184886016873088E-2"/>
    <n v="0.14578005115089515"/>
    <n v="69.006315789473689"/>
    <n v="0.50225761181280126"/>
    <n v="2025"/>
    <x v="9"/>
    <n v="2"/>
  </r>
  <r>
    <s v="CAMP2210"/>
    <x v="2"/>
    <x v="2"/>
    <d v="2024-08-16T00:00:00"/>
    <n v="130418"/>
    <n v="8741"/>
    <n v="303"/>
    <n v="2251.7800000000002"/>
    <n v="28079.24"/>
    <n v="6.7022956953794718E-2"/>
    <n v="3.4664226061091409E-2"/>
    <n v="7.4316171617161721"/>
    <n v="12.469797227082575"/>
    <n v="2024"/>
    <x v="1"/>
    <n v="8"/>
  </r>
  <r>
    <s v="CAMP2211"/>
    <x v="2"/>
    <x v="0"/>
    <d v="2024-06-14T00:00:00"/>
    <n v="38432"/>
    <n v="873"/>
    <n v="61"/>
    <n v="1732.72"/>
    <n v="3805.38"/>
    <n v="2.2715445462114903E-2"/>
    <n v="6.9873997709049257E-2"/>
    <n v="28.405245901639343"/>
    <n v="2.1961886513689461"/>
    <n v="2024"/>
    <x v="2"/>
    <n v="6"/>
  </r>
  <r>
    <s v="CAMP2212"/>
    <x v="3"/>
    <x v="1"/>
    <d v="2025-02-10T00:00:00"/>
    <n v="92415"/>
    <n v="1818"/>
    <n v="259"/>
    <n v="4623.7"/>
    <n v="15104.5"/>
    <n v="1.9672131147540985E-2"/>
    <n v="0.14246424642464248"/>
    <n v="17.852123552123551"/>
    <n v="3.2667560611631377"/>
    <n v="2025"/>
    <x v="9"/>
    <n v="2"/>
  </r>
  <r>
    <s v="CAMP2213"/>
    <x v="6"/>
    <x v="1"/>
    <d v="2024-09-30T00:00:00"/>
    <n v="134132"/>
    <n v="6340"/>
    <n v="803"/>
    <n v="2046.21"/>
    <n v="62711.4"/>
    <n v="4.7266871440073958E-2"/>
    <n v="0.12665615141955835"/>
    <n v="2.5482067247820672"/>
    <n v="30.647587491019983"/>
    <n v="2024"/>
    <x v="11"/>
    <n v="9"/>
  </r>
  <r>
    <s v="CAMP2214"/>
    <x v="3"/>
    <x v="1"/>
    <d v="2024-10-22T00:00:00"/>
    <n v="62497"/>
    <n v="3700"/>
    <n v="187"/>
    <n v="213.76"/>
    <n v="22326.03"/>
    <n v="5.9202841736403347E-2"/>
    <n v="5.0540540540540538E-2"/>
    <n v="1.1431016042780748"/>
    <n v="104.44437687125749"/>
    <n v="2024"/>
    <x v="3"/>
    <n v="10"/>
  </r>
  <r>
    <s v="CAMP2215"/>
    <x v="4"/>
    <x v="3"/>
    <d v="2024-10-12T00:00:00"/>
    <n v="129236"/>
    <n v="9955"/>
    <n v="1390"/>
    <n v="485.97"/>
    <n v="76359.31"/>
    <n v="7.702962022965737E-2"/>
    <n v="0.13962832747363135"/>
    <n v="0.34961870503597126"/>
    <n v="157.12762104656665"/>
    <n v="2024"/>
    <x v="3"/>
    <n v="10"/>
  </r>
  <r>
    <s v="CAMP2216"/>
    <x v="2"/>
    <x v="3"/>
    <d v="2024-08-23T00:00:00"/>
    <n v="42785"/>
    <n v="2929"/>
    <n v="268"/>
    <n v="4670.4399999999996"/>
    <n v="16644.86"/>
    <n v="6.8458571929414513E-2"/>
    <n v="9.1498805052919088E-2"/>
    <n v="17.427014925373133"/>
    <n v="3.5638740675396754"/>
    <n v="2024"/>
    <x v="1"/>
    <n v="8"/>
  </r>
  <r>
    <s v="CAMP2217"/>
    <x v="1"/>
    <x v="4"/>
    <d v="2024-01-29T00:00:00"/>
    <n v="41123"/>
    <n v="748"/>
    <n v="82"/>
    <n v="886.77"/>
    <n v="7651.27"/>
    <n v="1.8189334435717238E-2"/>
    <n v="0.10962566844919786"/>
    <n v="10.814268292682927"/>
    <n v="8.6282463321943688"/>
    <n v="2024"/>
    <x v="0"/>
    <n v="1"/>
  </r>
  <r>
    <s v="CAMP2218"/>
    <x v="3"/>
    <x v="3"/>
    <d v="2024-01-28T00:00:00"/>
    <n v="32789"/>
    <n v="1849"/>
    <n v="54"/>
    <n v="4219.7"/>
    <n v="5780.58"/>
    <n v="5.6390862789350085E-2"/>
    <n v="2.9204975662520283E-2"/>
    <n v="78.142592592592592"/>
    <n v="1.3699030736782236"/>
    <n v="2024"/>
    <x v="0"/>
    <n v="1"/>
  </r>
  <r>
    <s v="CAMP2219"/>
    <x v="4"/>
    <x v="4"/>
    <d v="2024-07-06T00:00:00"/>
    <n v="42035"/>
    <n v="652"/>
    <n v="19"/>
    <n v="2932.08"/>
    <n v="1926.05"/>
    <n v="1.5510883787320091E-2"/>
    <n v="2.9141104294478526E-2"/>
    <n v="154.32"/>
    <n v="0.65688862513983248"/>
    <n v="2024"/>
    <x v="10"/>
    <n v="7"/>
  </r>
  <r>
    <s v="CAMP2220"/>
    <x v="2"/>
    <x v="4"/>
    <d v="2024-08-28T00:00:00"/>
    <n v="41729"/>
    <n v="2602"/>
    <n v="288"/>
    <n v="1637.64"/>
    <n v="17611.849999999999"/>
    <n v="6.2354717342855089E-2"/>
    <n v="0.11068408916218293"/>
    <n v="5.6862500000000002"/>
    <n v="10.754408783371192"/>
    <n v="2024"/>
    <x v="1"/>
    <n v="8"/>
  </r>
  <r>
    <s v="CAMP2221"/>
    <x v="7"/>
    <x v="2"/>
    <d v="2025-02-04T00:00:00"/>
    <n v="8462"/>
    <n v="254"/>
    <n v="10"/>
    <n v="4429.55"/>
    <n v="232.12"/>
    <n v="3.0016544552115339E-2"/>
    <n v="3.937007874015748E-2"/>
    <n v="442.95500000000004"/>
    <n v="5.240261426104232E-2"/>
    <n v="2025"/>
    <x v="9"/>
    <n v="2"/>
  </r>
  <r>
    <s v="CAMP2222"/>
    <x v="2"/>
    <x v="1"/>
    <d v="2024-03-23T00:00:00"/>
    <n v="7848"/>
    <n v="296"/>
    <n v="22"/>
    <n v="4751.5600000000004"/>
    <n v="1439.45"/>
    <n v="3.7716615698267071E-2"/>
    <n v="7.4324324324324328E-2"/>
    <n v="215.98000000000002"/>
    <n v="0.30294261253146332"/>
    <n v="2024"/>
    <x v="6"/>
    <n v="3"/>
  </r>
  <r>
    <s v="CAMP2223"/>
    <x v="5"/>
    <x v="1"/>
    <d v="2024-09-13T00:00:00"/>
    <n v="85224"/>
    <n v="5084"/>
    <n v="381"/>
    <n v="952.64"/>
    <n v="44695.96"/>
    <n v="5.9654557401670888E-2"/>
    <n v="7.494099134539732E-2"/>
    <n v="2.5003674540682415"/>
    <n v="46.91799630500504"/>
    <n v="2024"/>
    <x v="11"/>
    <n v="9"/>
  </r>
  <r>
    <s v="CAMP2224"/>
    <x v="3"/>
    <x v="4"/>
    <d v="2025-01-15T00:00:00"/>
    <n v="60538"/>
    <n v="2302"/>
    <n v="62"/>
    <n v="2083"/>
    <n v="6339.53"/>
    <n v="3.8025702864316627E-2"/>
    <n v="2.6933101650738488E-2"/>
    <n v="33.596774193548384"/>
    <n v="3.0434613538166104"/>
    <n v="2025"/>
    <x v="0"/>
    <n v="1"/>
  </r>
  <r>
    <s v="CAMP2225"/>
    <x v="0"/>
    <x v="2"/>
    <d v="2024-09-01T00:00:00"/>
    <n v="87100"/>
    <n v="4850"/>
    <n v="352"/>
    <n v="2026.26"/>
    <n v="8964.44"/>
    <n v="5.5683122847301952E-2"/>
    <n v="7.2577319587628863E-2"/>
    <n v="5.7564204545454549"/>
    <n v="4.4241311578968148"/>
    <n v="2024"/>
    <x v="11"/>
    <n v="9"/>
  </r>
  <r>
    <s v="CAMP2226"/>
    <x v="7"/>
    <x v="2"/>
    <d v="2024-04-09T00:00:00"/>
    <n v="75757"/>
    <n v="1332"/>
    <n v="40"/>
    <n v="3095.31"/>
    <n v="4186.4399999999996"/>
    <n v="1.7582533627255568E-2"/>
    <n v="3.003003003003003E-2"/>
    <n v="77.382750000000001"/>
    <n v="1.3525107339814104"/>
    <n v="2024"/>
    <x v="7"/>
    <n v="4"/>
  </r>
  <r>
    <s v="CAMP2227"/>
    <x v="4"/>
    <x v="4"/>
    <d v="2024-05-24T00:00:00"/>
    <n v="47666"/>
    <n v="2283"/>
    <n v="65"/>
    <n v="3066.13"/>
    <n v="6217.39"/>
    <n v="4.7895774766080645E-2"/>
    <n v="2.8471309680245291E-2"/>
    <n v="47.171230769230768"/>
    <n v="2.0277646414209443"/>
    <n v="2024"/>
    <x v="8"/>
    <n v="5"/>
  </r>
  <r>
    <s v="CAMP2228"/>
    <x v="5"/>
    <x v="4"/>
    <d v="2024-10-09T00:00:00"/>
    <n v="57881"/>
    <n v="3165"/>
    <n v="76"/>
    <n v="1492.01"/>
    <n v="8942.64"/>
    <n v="5.468115616523557E-2"/>
    <n v="2.4012638230647709E-2"/>
    <n v="19.631710526315789"/>
    <n v="5.9936863693943065"/>
    <n v="2024"/>
    <x v="3"/>
    <n v="10"/>
  </r>
  <r>
    <s v="CAMP2229"/>
    <x v="4"/>
    <x v="1"/>
    <d v="2025-02-08T00:00:00"/>
    <n v="131827"/>
    <n v="1739"/>
    <n v="105"/>
    <n v="4728.84"/>
    <n v="2189.0300000000002"/>
    <n v="1.3191531325145835E-2"/>
    <n v="6.0379528464634846E-2"/>
    <n v="45.036571428571428"/>
    <n v="0.46291056580472167"/>
    <n v="2025"/>
    <x v="9"/>
    <n v="2"/>
  </r>
  <r>
    <s v="CAMP2230"/>
    <x v="7"/>
    <x v="3"/>
    <d v="2024-07-22T00:00:00"/>
    <n v="136128"/>
    <n v="3218"/>
    <n v="378"/>
    <n v="3683.3"/>
    <n v="44371.56"/>
    <n v="2.3639515749882465E-2"/>
    <n v="0.11746426351771287"/>
    <n v="9.7441798941798954"/>
    <n v="12.046686395351992"/>
    <n v="2024"/>
    <x v="10"/>
    <n v="7"/>
  </r>
  <r>
    <s v="CAMP2231"/>
    <x v="0"/>
    <x v="3"/>
    <d v="2024-07-27T00:00:00"/>
    <n v="137010"/>
    <n v="2338"/>
    <n v="292"/>
    <n v="920.9"/>
    <n v="22985.52"/>
    <n v="1.7064447850521861E-2"/>
    <n v="0.12489307100085544"/>
    <n v="3.1537671232876709"/>
    <n v="24.959843631230321"/>
    <n v="2024"/>
    <x v="10"/>
    <n v="7"/>
  </r>
  <r>
    <s v="CAMP2232"/>
    <x v="3"/>
    <x v="2"/>
    <d v="2024-10-27T00:00:00"/>
    <n v="14806"/>
    <n v="448"/>
    <n v="17"/>
    <n v="2422.91"/>
    <n v="1844.85"/>
    <n v="3.0258003512089692E-2"/>
    <n v="3.7946428571428568E-2"/>
    <n v="142.5241176470588"/>
    <n v="0.76141911998382117"/>
    <n v="2024"/>
    <x v="3"/>
    <n v="10"/>
  </r>
  <r>
    <s v="CAMP2233"/>
    <x v="0"/>
    <x v="4"/>
    <d v="2024-04-20T00:00:00"/>
    <n v="41926"/>
    <n v="2675"/>
    <n v="109"/>
    <n v="4825.6000000000004"/>
    <n v="7807.68"/>
    <n v="6.3802890807613408E-2"/>
    <n v="4.0747663551401872E-2"/>
    <n v="44.271559633027529"/>
    <n v="1.6179708222811671"/>
    <n v="2024"/>
    <x v="7"/>
    <n v="4"/>
  </r>
  <r>
    <s v="CAMP2234"/>
    <x v="7"/>
    <x v="2"/>
    <d v="2025-02-06T00:00:00"/>
    <n v="39392"/>
    <n v="1328"/>
    <n v="88"/>
    <n v="4308.57"/>
    <n v="5551.93"/>
    <n v="3.3712428919577576E-2"/>
    <n v="6.6265060240963861E-2"/>
    <n v="48.961022727272727"/>
    <n v="1.2885783450193453"/>
    <n v="2025"/>
    <x v="9"/>
    <n v="2"/>
  </r>
  <r>
    <s v="CAMP2235"/>
    <x v="3"/>
    <x v="4"/>
    <d v="2024-04-16T00:00:00"/>
    <n v="24660"/>
    <n v="1900"/>
    <n v="178"/>
    <n v="4973.1400000000003"/>
    <n v="5293.83"/>
    <n v="7.7047850770478502E-2"/>
    <n v="9.3684210526315786E-2"/>
    <n v="27.938988764044947"/>
    <n v="1.0644844102518729"/>
    <n v="2024"/>
    <x v="7"/>
    <n v="4"/>
  </r>
  <r>
    <s v="CAMP2236"/>
    <x v="4"/>
    <x v="4"/>
    <d v="2025-01-27T00:00:00"/>
    <n v="86144"/>
    <n v="4160"/>
    <n v="607"/>
    <n v="3950.94"/>
    <n v="17431.080000000002"/>
    <n v="4.8291233283803865E-2"/>
    <n v="0.14591346153846155"/>
    <n v="6.508962108731466"/>
    <n v="4.4118817294112294"/>
    <n v="2025"/>
    <x v="0"/>
    <n v="1"/>
  </r>
  <r>
    <s v="CAMP2237"/>
    <x v="0"/>
    <x v="2"/>
    <d v="2024-06-09T00:00:00"/>
    <n v="49490"/>
    <n v="3730"/>
    <n v="152"/>
    <n v="1544.56"/>
    <n v="8562.59"/>
    <n v="7.5368761365932513E-2"/>
    <n v="4.0750670241286861E-2"/>
    <n v="10.161578947368421"/>
    <n v="5.5437082405345217"/>
    <n v="2024"/>
    <x v="2"/>
    <n v="6"/>
  </r>
  <r>
    <s v="CAMP2238"/>
    <x v="0"/>
    <x v="0"/>
    <d v="2024-04-01T00:00:00"/>
    <n v="125780"/>
    <n v="3528"/>
    <n v="287"/>
    <n v="1428.93"/>
    <n v="30900.080000000002"/>
    <n v="2.8048974399745588E-2"/>
    <n v="8.1349206349206352E-2"/>
    <n v="4.9788501742160278"/>
    <n v="21.624628218317202"/>
    <n v="2024"/>
    <x v="7"/>
    <n v="4"/>
  </r>
  <r>
    <s v="CAMP2239"/>
    <x v="2"/>
    <x v="0"/>
    <d v="2024-10-18T00:00:00"/>
    <n v="132994"/>
    <n v="1698"/>
    <n v="223"/>
    <n v="2124.5100000000002"/>
    <n v="23571.119999999999"/>
    <n v="1.27674932703731E-2"/>
    <n v="0.13133097762073026"/>
    <n v="9.5269506726457411"/>
    <n v="11.094850106612817"/>
    <n v="2024"/>
    <x v="3"/>
    <n v="10"/>
  </r>
  <r>
    <s v="CAMP2240"/>
    <x v="2"/>
    <x v="2"/>
    <d v="2024-07-06T00:00:00"/>
    <n v="139343"/>
    <n v="9633"/>
    <n v="1384"/>
    <n v="1993.68"/>
    <n v="122096.6"/>
    <n v="6.9131567427140217E-2"/>
    <n v="0.14367279144607079"/>
    <n v="1.440520231213873"/>
    <n v="61.241824164359379"/>
    <n v="2024"/>
    <x v="10"/>
    <n v="7"/>
  </r>
  <r>
    <s v="CAMP2241"/>
    <x v="6"/>
    <x v="3"/>
    <d v="2024-12-15T00:00:00"/>
    <n v="16187"/>
    <n v="865"/>
    <n v="89"/>
    <n v="3757"/>
    <n v="3958.87"/>
    <n v="5.3437944029159204E-2"/>
    <n v="0.10289017341040463"/>
    <n v="42.213483146067418"/>
    <n v="1.0537317008251263"/>
    <n v="2024"/>
    <x v="4"/>
    <n v="12"/>
  </r>
  <r>
    <s v="CAMP2242"/>
    <x v="4"/>
    <x v="4"/>
    <d v="2024-02-23T00:00:00"/>
    <n v="81194"/>
    <n v="2947"/>
    <n v="277"/>
    <n v="4298.38"/>
    <n v="11718.52"/>
    <n v="3.6295785402862282E-2"/>
    <n v="9.3993892093654566E-2"/>
    <n v="15.517617328519856"/>
    <n v="2.726264313532075"/>
    <n v="2024"/>
    <x v="9"/>
    <n v="2"/>
  </r>
  <r>
    <s v="CAMP2243"/>
    <x v="6"/>
    <x v="0"/>
    <d v="2024-06-27T00:00:00"/>
    <n v="127127"/>
    <n v="5440"/>
    <n v="487"/>
    <n v="4127.79"/>
    <n v="15054.1"/>
    <n v="4.2791853815475865E-2"/>
    <n v="8.9522058823529413E-2"/>
    <n v="8.4759548254620114"/>
    <n v="3.6470120815254652"/>
    <n v="2024"/>
    <x v="2"/>
    <n v="6"/>
  </r>
  <r>
    <s v="CAMP2244"/>
    <x v="2"/>
    <x v="0"/>
    <d v="2024-07-22T00:00:00"/>
    <n v="118538"/>
    <n v="2840"/>
    <n v="178"/>
    <n v="1722.97"/>
    <n v="21296.6"/>
    <n v="2.3958561811402251E-2"/>
    <n v="6.2676056338028169E-2"/>
    <n v="9.6796067415730338"/>
    <n v="12.36040093559377"/>
    <n v="2024"/>
    <x v="10"/>
    <n v="7"/>
  </r>
  <r>
    <s v="CAMP2245"/>
    <x v="6"/>
    <x v="4"/>
    <d v="2024-12-25T00:00:00"/>
    <n v="129838"/>
    <n v="2337"/>
    <n v="184"/>
    <n v="2816.39"/>
    <n v="21133.02"/>
    <n v="1.799935303994208E-2"/>
    <n v="7.8733418913136496E-2"/>
    <n v="15.306467391304347"/>
    <n v="7.5035843757434169"/>
    <n v="2024"/>
    <x v="4"/>
    <n v="12"/>
  </r>
  <r>
    <s v="CAMP2246"/>
    <x v="2"/>
    <x v="4"/>
    <d v="2024-06-12T00:00:00"/>
    <n v="13211"/>
    <n v="1045"/>
    <n v="126"/>
    <n v="499.52"/>
    <n v="12707.52"/>
    <n v="7.9100749375520404E-2"/>
    <n v="0.12057416267942583"/>
    <n v="3.9644444444444442"/>
    <n v="25.439461883408075"/>
    <n v="2024"/>
    <x v="2"/>
    <n v="6"/>
  </r>
  <r>
    <s v="CAMP2247"/>
    <x v="3"/>
    <x v="2"/>
    <d v="2024-04-19T00:00:00"/>
    <n v="19176"/>
    <n v="475"/>
    <n v="10"/>
    <n v="3841.36"/>
    <n v="622.91999999999996"/>
    <n v="2.4770546516478933E-2"/>
    <n v="2.1052631578947368E-2"/>
    <n v="384.13600000000002"/>
    <n v="0.16216131786658891"/>
    <n v="2024"/>
    <x v="7"/>
    <n v="4"/>
  </r>
  <r>
    <s v="CAMP2248"/>
    <x v="5"/>
    <x v="4"/>
    <d v="2024-02-12T00:00:00"/>
    <n v="42155"/>
    <n v="625"/>
    <n v="45"/>
    <n v="1632.02"/>
    <n v="4104.93"/>
    <n v="1.4826236508124778E-2"/>
    <n v="7.1999999999999995E-2"/>
    <n v="36.267111111111113"/>
    <n v="2.5152449112143236"/>
    <n v="2024"/>
    <x v="9"/>
    <n v="2"/>
  </r>
  <r>
    <s v="CAMP2249"/>
    <x v="3"/>
    <x v="1"/>
    <d v="2024-04-19T00:00:00"/>
    <n v="73012"/>
    <n v="1670"/>
    <n v="45"/>
    <n v="4495.79"/>
    <n v="2828.4"/>
    <n v="2.2872952391387716E-2"/>
    <n v="2.6946107784431138E-2"/>
    <n v="99.906444444444446"/>
    <n v="0.62912191183307054"/>
    <n v="2024"/>
    <x v="7"/>
    <n v="4"/>
  </r>
  <r>
    <s v="CAMP2250"/>
    <x v="5"/>
    <x v="4"/>
    <d v="2024-04-11T00:00:00"/>
    <n v="96560"/>
    <n v="7332"/>
    <n v="605"/>
    <n v="2770.43"/>
    <n v="59523.37"/>
    <n v="7.5932062966031486E-2"/>
    <n v="8.2515002727768683E-2"/>
    <n v="4.5792231404958672"/>
    <n v="21.485245972646847"/>
    <n v="2024"/>
    <x v="7"/>
    <n v="4"/>
  </r>
  <r>
    <s v="CAMP2251"/>
    <x v="3"/>
    <x v="3"/>
    <d v="2024-12-20T00:00:00"/>
    <n v="107010"/>
    <n v="7235"/>
    <n v="672"/>
    <n v="4490.1400000000003"/>
    <n v="26783.23"/>
    <n v="6.7610503691243815E-2"/>
    <n v="9.2881824464409124E-2"/>
    <n v="6.6817559523809527"/>
    <n v="5.9648986445856913"/>
    <n v="2024"/>
    <x v="4"/>
    <n v="12"/>
  </r>
  <r>
    <s v="CAMP2252"/>
    <x v="2"/>
    <x v="3"/>
    <d v="2024-12-06T00:00:00"/>
    <n v="87972"/>
    <n v="967"/>
    <n v="132"/>
    <n v="4682.33"/>
    <n v="9232.68"/>
    <n v="1.0992133860773882E-2"/>
    <n v="0.13650465356773525"/>
    <n v="35.472196969696967"/>
    <n v="1.9718131784816535"/>
    <n v="2024"/>
    <x v="4"/>
    <n v="12"/>
  </r>
  <r>
    <s v="CAMP2253"/>
    <x v="7"/>
    <x v="0"/>
    <d v="2025-02-09T00:00:00"/>
    <n v="111531"/>
    <n v="3167"/>
    <n v="360"/>
    <n v="4943.55"/>
    <n v="41159.65"/>
    <n v="2.8395692677372211E-2"/>
    <n v="0.11367224502683929"/>
    <n v="13.732083333333334"/>
    <n v="8.3259297468418438"/>
    <n v="2025"/>
    <x v="9"/>
    <n v="2"/>
  </r>
  <r>
    <s v="CAMP2254"/>
    <x v="2"/>
    <x v="2"/>
    <d v="2024-11-23T00:00:00"/>
    <n v="30544"/>
    <n v="383"/>
    <n v="44"/>
    <n v="1100.75"/>
    <n v="3944.36"/>
    <n v="1.2539287585123101E-2"/>
    <n v="0.11488250652741515"/>
    <n v="25.017045454545453"/>
    <n v="3.5833386327503978"/>
    <n v="2024"/>
    <x v="5"/>
    <n v="11"/>
  </r>
  <r>
    <s v="CAMP2255"/>
    <x v="2"/>
    <x v="1"/>
    <d v="2024-07-12T00:00:00"/>
    <n v="61659"/>
    <n v="2118"/>
    <n v="304"/>
    <n v="4864.37"/>
    <n v="23615.83"/>
    <n v="3.435021651340437E-2"/>
    <n v="0.14353163361661944"/>
    <n v="16.001217105263159"/>
    <n v="4.8548589025917028"/>
    <n v="2024"/>
    <x v="10"/>
    <n v="7"/>
  </r>
  <r>
    <s v="CAMP2256"/>
    <x v="4"/>
    <x v="3"/>
    <d v="2025-02-20T00:00:00"/>
    <n v="100366"/>
    <n v="1117"/>
    <n v="152"/>
    <n v="2610.0100000000002"/>
    <n v="16229.92"/>
    <n v="1.1129266883207461E-2"/>
    <n v="0.13607878245299909"/>
    <n v="17.171118421052633"/>
    <n v="6.2183363282133017"/>
    <n v="2025"/>
    <x v="9"/>
    <n v="2"/>
  </r>
  <r>
    <s v="CAMP2257"/>
    <x v="6"/>
    <x v="2"/>
    <d v="2024-07-30T00:00:00"/>
    <n v="112580"/>
    <n v="3897"/>
    <n v="497"/>
    <n v="2244.08"/>
    <n v="58351.29"/>
    <n v="3.4615384615384617E-2"/>
    <n v="0.12753400051321528"/>
    <n v="4.5152515090543259"/>
    <n v="26.002321664111797"/>
    <n v="2024"/>
    <x v="10"/>
    <n v="7"/>
  </r>
  <r>
    <s v="CAMP2258"/>
    <x v="7"/>
    <x v="0"/>
    <d v="2024-03-31T00:00:00"/>
    <n v="125277"/>
    <n v="5009"/>
    <n v="215"/>
    <n v="3055.48"/>
    <n v="15969.4"/>
    <n v="3.9983396792707362E-2"/>
    <n v="4.2922739069674587E-2"/>
    <n v="14.21153488372093"/>
    <n v="5.2264783274640969"/>
    <n v="2024"/>
    <x v="6"/>
    <n v="3"/>
  </r>
  <r>
    <s v="CAMP2259"/>
    <x v="3"/>
    <x v="3"/>
    <d v="2024-12-03T00:00:00"/>
    <n v="119686"/>
    <n v="6509"/>
    <n v="724"/>
    <n v="4701.93"/>
    <n v="80065.91"/>
    <n v="5.4383971391808568E-2"/>
    <n v="0.11123060377938239"/>
    <n v="6.4943784530386743"/>
    <n v="17.028307524782377"/>
    <n v="2024"/>
    <x v="4"/>
    <n v="12"/>
  </r>
  <r>
    <s v="CAMP2260"/>
    <x v="0"/>
    <x v="0"/>
    <d v="2025-02-16T00:00:00"/>
    <n v="32213"/>
    <n v="524"/>
    <n v="11"/>
    <n v="4675.9799999999996"/>
    <n v="334.04"/>
    <n v="1.6266724614286156E-2"/>
    <n v="2.0992366412213741E-2"/>
    <n v="425.08909090909088"/>
    <n v="7.1437431297824205E-2"/>
    <n v="2025"/>
    <x v="9"/>
    <n v="2"/>
  </r>
  <r>
    <s v="CAMP2261"/>
    <x v="0"/>
    <x v="2"/>
    <d v="2024-09-14T00:00:00"/>
    <n v="13555"/>
    <n v="769"/>
    <n v="100"/>
    <n v="1216.98"/>
    <n v="9768.7999999999993"/>
    <n v="5.6731833271855402E-2"/>
    <n v="0.13003901170351106"/>
    <n v="12.1698"/>
    <n v="8.0270834360466061"/>
    <n v="2024"/>
    <x v="11"/>
    <n v="9"/>
  </r>
  <r>
    <s v="CAMP2262"/>
    <x v="3"/>
    <x v="0"/>
    <d v="2024-04-10T00:00:00"/>
    <n v="128096"/>
    <n v="9804"/>
    <n v="642"/>
    <n v="4010.01"/>
    <n v="42625.41"/>
    <n v="7.6536347739195598E-2"/>
    <n v="6.5483476132190938E-2"/>
    <n v="6.2461214953271034"/>
    <n v="10.629751546754248"/>
    <n v="2024"/>
    <x v="7"/>
    <n v="4"/>
  </r>
  <r>
    <s v="CAMP2263"/>
    <x v="3"/>
    <x v="0"/>
    <d v="2024-07-10T00:00:00"/>
    <n v="63703"/>
    <n v="2900"/>
    <n v="158"/>
    <n v="3361.67"/>
    <n v="8016.87"/>
    <n v="4.5523758692683235E-2"/>
    <n v="5.4482758620689659E-2"/>
    <n v="21.276392405063291"/>
    <n v="2.3847879179098483"/>
    <n v="2024"/>
    <x v="10"/>
    <n v="7"/>
  </r>
  <r>
    <s v="CAMP2264"/>
    <x v="3"/>
    <x v="4"/>
    <d v="2024-01-03T00:00:00"/>
    <n v="113673"/>
    <n v="1396"/>
    <n v="32"/>
    <n v="3994.45"/>
    <n v="3330.46"/>
    <n v="1.2280840656972191E-2"/>
    <n v="2.2922636103151862E-2"/>
    <n v="124.82656249999999"/>
    <n v="0.83377185845360446"/>
    <n v="2024"/>
    <x v="0"/>
    <n v="1"/>
  </r>
  <r>
    <s v="CAMP2265"/>
    <x v="7"/>
    <x v="3"/>
    <d v="2024-03-28T00:00:00"/>
    <n v="117727"/>
    <n v="3170"/>
    <n v="464"/>
    <n v="1124.77"/>
    <n v="39181.75"/>
    <n v="2.6926703305104181E-2"/>
    <n v="0.14637223974763408"/>
    <n v="2.4240732758620691"/>
    <n v="34.835344114796804"/>
    <n v="2024"/>
    <x v="6"/>
    <n v="3"/>
  </r>
  <r>
    <s v="CAMP2266"/>
    <x v="4"/>
    <x v="1"/>
    <d v="2024-08-07T00:00:00"/>
    <n v="38782"/>
    <n v="2938"/>
    <n v="207"/>
    <n v="3694.94"/>
    <n v="12484.56"/>
    <n v="7.5756794389149604E-2"/>
    <n v="7.045609257998639E-2"/>
    <n v="17.849951690821257"/>
    <n v="3.3788261785035751"/>
    <n v="2024"/>
    <x v="1"/>
    <n v="8"/>
  </r>
  <r>
    <s v="CAMP2267"/>
    <x v="7"/>
    <x v="1"/>
    <d v="2024-03-22T00:00:00"/>
    <n v="119662"/>
    <n v="3131"/>
    <n v="351"/>
    <n v="806.39"/>
    <n v="11174.88"/>
    <n v="2.6165365780281124E-2"/>
    <n v="0.11210475886298307"/>
    <n v="2.2974074074074076"/>
    <n v="13.857909944319745"/>
    <n v="2024"/>
    <x v="6"/>
    <n v="3"/>
  </r>
  <r>
    <s v="CAMP2268"/>
    <x v="3"/>
    <x v="3"/>
    <d v="2024-10-10T00:00:00"/>
    <n v="46694"/>
    <n v="3567"/>
    <n v="165"/>
    <n v="647.66999999999996"/>
    <n v="10517.45"/>
    <n v="7.6390971002698413E-2"/>
    <n v="4.6257359125315388E-2"/>
    <n v="3.925272727272727"/>
    <n v="16.238902527521734"/>
    <n v="2024"/>
    <x v="3"/>
    <n v="10"/>
  </r>
  <r>
    <s v="CAMP2269"/>
    <x v="2"/>
    <x v="0"/>
    <d v="2024-11-12T00:00:00"/>
    <n v="147520"/>
    <n v="10981"/>
    <n v="332"/>
    <n v="2035.54"/>
    <n v="31285.68"/>
    <n v="7.4437364425162689E-2"/>
    <n v="3.0234040615608779E-2"/>
    <n v="6.1311445783132532"/>
    <n v="15.369720074280044"/>
    <n v="2024"/>
    <x v="5"/>
    <n v="11"/>
  </r>
  <r>
    <s v="CAMP2270"/>
    <x v="2"/>
    <x v="2"/>
    <d v="2024-11-20T00:00:00"/>
    <n v="98879"/>
    <n v="2280"/>
    <n v="239"/>
    <n v="1264.43"/>
    <n v="9412.51"/>
    <n v="2.3058485623843283E-2"/>
    <n v="0.10482456140350878"/>
    <n v="5.2905020920502093"/>
    <n v="7.444073614197702"/>
    <n v="2024"/>
    <x v="5"/>
    <n v="11"/>
  </r>
  <r>
    <s v="CAMP2271"/>
    <x v="1"/>
    <x v="2"/>
    <d v="2025-01-29T00:00:00"/>
    <n v="73283"/>
    <n v="4114"/>
    <n v="229"/>
    <n v="4687.88"/>
    <n v="18948.330000000002"/>
    <n v="5.6138531446583789E-2"/>
    <n v="5.5663587749149243E-2"/>
    <n v="20.471091703056768"/>
    <n v="4.0419827299333599"/>
    <n v="2025"/>
    <x v="0"/>
    <n v="1"/>
  </r>
  <r>
    <s v="CAMP2272"/>
    <x v="0"/>
    <x v="0"/>
    <d v="2024-08-23T00:00:00"/>
    <n v="37160"/>
    <n v="650"/>
    <n v="36"/>
    <n v="4494.1000000000004"/>
    <n v="1054"/>
    <n v="1.7491926803013993E-2"/>
    <n v="5.5384615384615386E-2"/>
    <n v="124.83611111111112"/>
    <n v="0.23452971673972539"/>
    <n v="2024"/>
    <x v="1"/>
    <n v="8"/>
  </r>
  <r>
    <s v="CAMP2273"/>
    <x v="6"/>
    <x v="3"/>
    <d v="2024-04-16T00:00:00"/>
    <n v="107445"/>
    <n v="1831"/>
    <n v="225"/>
    <n v="2185.98"/>
    <n v="15446.64"/>
    <n v="1.7041276932384011E-2"/>
    <n v="0.12288367012561442"/>
    <n v="9.715466666666666"/>
    <n v="7.0662311640545656"/>
    <n v="2024"/>
    <x v="7"/>
    <n v="4"/>
  </r>
  <r>
    <s v="CAMP2274"/>
    <x v="0"/>
    <x v="4"/>
    <d v="2024-12-17T00:00:00"/>
    <n v="115076"/>
    <n v="4173"/>
    <n v="253"/>
    <n v="4559.8500000000004"/>
    <n v="25516.29"/>
    <n v="3.6262991414369637E-2"/>
    <n v="6.0627845674574646E-2"/>
    <n v="18.023122529644269"/>
    <n v="5.5958617059771703"/>
    <n v="2024"/>
    <x v="4"/>
    <n v="12"/>
  </r>
  <r>
    <s v="CAMP2275"/>
    <x v="2"/>
    <x v="3"/>
    <d v="2024-01-06T00:00:00"/>
    <n v="51839"/>
    <n v="2912"/>
    <n v="297"/>
    <n v="4303.08"/>
    <n v="9421.0499999999993"/>
    <n v="5.6173923108084646E-2"/>
    <n v="0.10199175824175824"/>
    <n v="14.488484848484848"/>
    <n v="2.189373657938035"/>
    <n v="2024"/>
    <x v="0"/>
    <n v="1"/>
  </r>
  <r>
    <s v="CAMP2276"/>
    <x v="7"/>
    <x v="3"/>
    <d v="2024-09-04T00:00:00"/>
    <n v="148257"/>
    <n v="1534"/>
    <n v="134"/>
    <n v="1421.6"/>
    <n v="4309.3500000000004"/>
    <n v="1.0346897616975928E-2"/>
    <n v="8.7353324641460228E-2"/>
    <n v="10.608955223880596"/>
    <n v="3.0313379290939793"/>
    <n v="2024"/>
    <x v="11"/>
    <n v="9"/>
  </r>
  <r>
    <s v="CAMP2277"/>
    <x v="4"/>
    <x v="1"/>
    <d v="2024-01-12T00:00:00"/>
    <n v="140789"/>
    <n v="6451"/>
    <n v="256"/>
    <n v="4361"/>
    <n v="8058.58"/>
    <n v="4.5820341077783065E-2"/>
    <n v="3.9683769958146022E-2"/>
    <n v="17.03515625"/>
    <n v="1.8478743407475349"/>
    <n v="2024"/>
    <x v="0"/>
    <n v="1"/>
  </r>
  <r>
    <s v="CAMP2278"/>
    <x v="1"/>
    <x v="0"/>
    <d v="2024-06-16T00:00:00"/>
    <n v="41323"/>
    <n v="1048"/>
    <n v="120"/>
    <n v="4711.2700000000004"/>
    <n v="5611.09"/>
    <n v="2.5361179004428528E-2"/>
    <n v="0.11450381679389313"/>
    <n v="39.260583333333336"/>
    <n v="1.1909930867897616"/>
    <n v="2024"/>
    <x v="2"/>
    <n v="6"/>
  </r>
  <r>
    <s v="CAMP2279"/>
    <x v="6"/>
    <x v="4"/>
    <d v="2024-02-17T00:00:00"/>
    <n v="96371"/>
    <n v="5740"/>
    <n v="601"/>
    <n v="2441.81"/>
    <n v="60641.61"/>
    <n v="5.9561486339251436E-2"/>
    <n v="0.10470383275261325"/>
    <n v="4.0629118136439271"/>
    <n v="24.834696393249271"/>
    <n v="2024"/>
    <x v="9"/>
    <n v="2"/>
  </r>
  <r>
    <s v="CAMP2280"/>
    <x v="3"/>
    <x v="1"/>
    <d v="2024-07-23T00:00:00"/>
    <n v="55608"/>
    <n v="1529"/>
    <n v="69"/>
    <n v="4260.97"/>
    <n v="6330.03"/>
    <n v="2.7496043734714429E-2"/>
    <n v="4.5127534336167431E-2"/>
    <n v="61.753188405797104"/>
    <n v="1.4855842683708169"/>
    <n v="2024"/>
    <x v="10"/>
    <n v="7"/>
  </r>
  <r>
    <s v="CAMP2281"/>
    <x v="3"/>
    <x v="0"/>
    <d v="2024-10-25T00:00:00"/>
    <n v="86680"/>
    <n v="1871"/>
    <n v="87"/>
    <n v="3665.89"/>
    <n v="5511.2"/>
    <n v="2.1585140747577294E-2"/>
    <n v="4.6499198289684664E-2"/>
    <n v="42.136666666666663"/>
    <n v="1.5033729871872861"/>
    <n v="2024"/>
    <x v="3"/>
    <n v="10"/>
  </r>
  <r>
    <s v="CAMP2282"/>
    <x v="6"/>
    <x v="2"/>
    <d v="2024-11-01T00:00:00"/>
    <n v="76217"/>
    <n v="5115"/>
    <n v="516"/>
    <n v="3115.02"/>
    <n v="32472.55"/>
    <n v="6.7111011978954832E-2"/>
    <n v="0.10087976539589442"/>
    <n v="6.0368604651162787"/>
    <n v="10.42450770781568"/>
    <n v="2024"/>
    <x v="5"/>
    <n v="11"/>
  </r>
  <r>
    <s v="CAMP2283"/>
    <x v="7"/>
    <x v="3"/>
    <d v="2024-11-19T00:00:00"/>
    <n v="21847"/>
    <n v="905"/>
    <n v="122"/>
    <n v="4798.87"/>
    <n v="5527.38"/>
    <n v="4.1424451869821945E-2"/>
    <n v="0.13480662983425415"/>
    <n v="39.335000000000001"/>
    <n v="1.1518086549541873"/>
    <n v="2024"/>
    <x v="5"/>
    <n v="11"/>
  </r>
  <r>
    <s v="CAMP2284"/>
    <x v="3"/>
    <x v="3"/>
    <d v="2024-11-05T00:00:00"/>
    <n v="144066"/>
    <n v="4993"/>
    <n v="119"/>
    <n v="1063.54"/>
    <n v="6219.91"/>
    <n v="3.4657726319881163E-2"/>
    <n v="2.3833366713398758E-2"/>
    <n v="8.9373109243697471"/>
    <n v="5.8483084792297424"/>
    <n v="2024"/>
    <x v="5"/>
    <n v="11"/>
  </r>
  <r>
    <s v="CAMP2285"/>
    <x v="2"/>
    <x v="3"/>
    <d v="2024-05-05T00:00:00"/>
    <n v="24042"/>
    <n v="602"/>
    <n v="41"/>
    <n v="896.19"/>
    <n v="2109.2600000000002"/>
    <n v="2.5039514183512187E-2"/>
    <n v="6.8106312292358806E-2"/>
    <n v="21.85829268292683"/>
    <n v="2.353585735167766"/>
    <n v="2024"/>
    <x v="8"/>
    <n v="5"/>
  </r>
  <r>
    <s v="CAMP2286"/>
    <x v="4"/>
    <x v="3"/>
    <d v="2024-12-18T00:00:00"/>
    <n v="7857"/>
    <n v="472"/>
    <n v="22"/>
    <n v="2923.85"/>
    <n v="1147.43"/>
    <n v="6.0073819523991344E-2"/>
    <n v="4.6610169491525424E-2"/>
    <n v="132.90227272727273"/>
    <n v="0.39243805256767622"/>
    <n v="2024"/>
    <x v="4"/>
    <n v="12"/>
  </r>
  <r>
    <s v="CAMP2287"/>
    <x v="1"/>
    <x v="1"/>
    <d v="2024-02-03T00:00:00"/>
    <n v="106080"/>
    <n v="3166"/>
    <n v="150"/>
    <n v="1243.82"/>
    <n v="11414.38"/>
    <n v="2.9845399698340876E-2"/>
    <n v="4.7378395451674035E-2"/>
    <n v="8.2921333333333322"/>
    <n v="9.1768744673666607"/>
    <n v="2024"/>
    <x v="9"/>
    <n v="2"/>
  </r>
  <r>
    <s v="CAMP2288"/>
    <x v="0"/>
    <x v="1"/>
    <d v="2024-11-26T00:00:00"/>
    <n v="115559"/>
    <n v="6673"/>
    <n v="510"/>
    <n v="4104.29"/>
    <n v="20305.669999999998"/>
    <n v="5.7745394127675043E-2"/>
    <n v="7.6427393975723068E-2"/>
    <n v="8.0476274509803929"/>
    <n v="4.9474257423330217"/>
    <n v="2024"/>
    <x v="5"/>
    <n v="11"/>
  </r>
  <r>
    <s v="CAMP2289"/>
    <x v="4"/>
    <x v="2"/>
    <d v="2024-09-12T00:00:00"/>
    <n v="17266"/>
    <n v="1369"/>
    <n v="102"/>
    <n v="795.64"/>
    <n v="3785.63"/>
    <n v="7.9288775628402641E-2"/>
    <n v="7.4506939371804234E-2"/>
    <n v="7.8003921568627446"/>
    <n v="4.757968427932231"/>
    <n v="2024"/>
    <x v="11"/>
    <n v="9"/>
  </r>
  <r>
    <s v="CAMP2290"/>
    <x v="7"/>
    <x v="1"/>
    <d v="2024-07-15T00:00:00"/>
    <n v="66976"/>
    <n v="3372"/>
    <n v="192"/>
    <n v="3289.6"/>
    <n v="20277.18"/>
    <n v="5.0346392737697088E-2"/>
    <n v="5.6939501779359428E-2"/>
    <n v="17.133333333333333"/>
    <n v="6.1640260214007787"/>
    <n v="2024"/>
    <x v="10"/>
    <n v="7"/>
  </r>
  <r>
    <s v="CAMP2291"/>
    <x v="4"/>
    <x v="2"/>
    <d v="2024-05-25T00:00:00"/>
    <n v="39356"/>
    <n v="2712"/>
    <n v="196"/>
    <n v="4499.9799999999996"/>
    <n v="21913.48"/>
    <n v="6.8909442016465094E-2"/>
    <n v="7.2271386430678472E-2"/>
    <n v="22.95908163265306"/>
    <n v="4.8696838652616234"/>
    <n v="2024"/>
    <x v="8"/>
    <n v="5"/>
  </r>
  <r>
    <s v="CAMP2292"/>
    <x v="4"/>
    <x v="3"/>
    <d v="2024-11-26T00:00:00"/>
    <n v="9265"/>
    <n v="137"/>
    <n v="4"/>
    <n v="4052.06"/>
    <n v="369.3"/>
    <n v="1.4786832164058284E-2"/>
    <n v="2.9197080291970802E-2"/>
    <n v="1013.015"/>
    <n v="9.1138828151606843E-2"/>
    <n v="2024"/>
    <x v="5"/>
    <n v="11"/>
  </r>
  <r>
    <s v="CAMP2293"/>
    <x v="5"/>
    <x v="3"/>
    <d v="2025-01-20T00:00:00"/>
    <n v="95655"/>
    <n v="3637"/>
    <n v="335"/>
    <n v="1703.24"/>
    <n v="27212.74"/>
    <n v="3.802205843918248E-2"/>
    <n v="9.2108880945834484E-2"/>
    <n v="5.0842985074626865"/>
    <n v="15.977043751908129"/>
    <n v="2025"/>
    <x v="0"/>
    <n v="1"/>
  </r>
  <r>
    <s v="CAMP2294"/>
    <x v="3"/>
    <x v="3"/>
    <d v="2024-12-22T00:00:00"/>
    <n v="124165"/>
    <n v="5529"/>
    <n v="571"/>
    <n v="4570.26"/>
    <n v="59559.62"/>
    <n v="4.452945677123183E-2"/>
    <n v="0.10327364803761982"/>
    <n v="8.0039579684763584"/>
    <n v="13.031998179534643"/>
    <n v="2024"/>
    <x v="4"/>
    <n v="12"/>
  </r>
  <r>
    <s v="CAMP2295"/>
    <x v="0"/>
    <x v="0"/>
    <d v="2024-04-24T00:00:00"/>
    <n v="17539"/>
    <n v="1188"/>
    <n v="45"/>
    <n v="4968.99"/>
    <n v="4776.25"/>
    <n v="6.7734762529220588E-2"/>
    <n v="3.787878787878788E-2"/>
    <n v="110.422"/>
    <n v="0.96121143330938486"/>
    <n v="2024"/>
    <x v="7"/>
    <n v="4"/>
  </r>
  <r>
    <s v="CAMP2296"/>
    <x v="3"/>
    <x v="4"/>
    <d v="2024-03-28T00:00:00"/>
    <n v="28073"/>
    <n v="656"/>
    <n v="90"/>
    <n v="1970.62"/>
    <n v="9925.93"/>
    <n v="2.336764863035657E-2"/>
    <n v="0.13719512195121952"/>
    <n v="21.895777777777777"/>
    <n v="5.0369579117232144"/>
    <n v="2024"/>
    <x v="6"/>
    <n v="3"/>
  </r>
  <r>
    <s v="CAMP2297"/>
    <x v="4"/>
    <x v="0"/>
    <d v="2024-05-12T00:00:00"/>
    <n v="16292"/>
    <n v="289"/>
    <n v="41"/>
    <n v="560.20000000000005"/>
    <n v="2170.25"/>
    <n v="1.7738767493248219E-2"/>
    <n v="0.14186851211072665"/>
    <n v="13.663414634146342"/>
    <n v="3.8740628347018919"/>
    <n v="2024"/>
    <x v="8"/>
    <n v="5"/>
  </r>
  <r>
    <s v="CAMP2298"/>
    <x v="3"/>
    <x v="3"/>
    <d v="2024-12-23T00:00:00"/>
    <n v="49653"/>
    <n v="3711"/>
    <n v="355"/>
    <n v="775.53"/>
    <n v="18436.310000000001"/>
    <n v="7.4738686484200345E-2"/>
    <n v="9.5661546752896787E-2"/>
    <n v="2.1845915492957744"/>
    <n v="23.77252975384576"/>
    <n v="2024"/>
    <x v="4"/>
    <n v="12"/>
  </r>
  <r>
    <s v="CAMP2299"/>
    <x v="2"/>
    <x v="1"/>
    <d v="2024-07-30T00:00:00"/>
    <n v="122120"/>
    <n v="6933"/>
    <n v="608"/>
    <n v="1354.51"/>
    <n v="41217.949999999997"/>
    <n v="5.6772027513920735E-2"/>
    <n v="8.7696523871339971E-2"/>
    <n v="2.2278125000000002"/>
    <n v="30.430155554407126"/>
    <n v="2024"/>
    <x v="10"/>
    <n v="7"/>
  </r>
  <r>
    <s v="CAMP2300"/>
    <x v="6"/>
    <x v="3"/>
    <d v="2024-06-13T00:00:00"/>
    <n v="131538"/>
    <n v="3394"/>
    <n v="184"/>
    <n v="1621.92"/>
    <n v="5203.41"/>
    <n v="2.5802429716127659E-2"/>
    <n v="5.4213317619328225E-2"/>
    <n v="8.8147826086956531"/>
    <n v="3.2081791950281144"/>
    <n v="2024"/>
    <x v="2"/>
    <n v="6"/>
  </r>
  <r>
    <s v="CAMP2301"/>
    <x v="1"/>
    <x v="4"/>
    <d v="2024-12-21T00:00:00"/>
    <n v="25451"/>
    <n v="388"/>
    <n v="32"/>
    <n v="1219.8800000000001"/>
    <n v="2785.6"/>
    <n v="1.5244980550862441E-2"/>
    <n v="8.247422680412371E-2"/>
    <n v="38.121250000000003"/>
    <n v="2.2835032954061054"/>
    <n v="2024"/>
    <x v="4"/>
    <n v="12"/>
  </r>
  <r>
    <s v="CAMP2302"/>
    <x v="6"/>
    <x v="2"/>
    <d v="2024-04-06T00:00:00"/>
    <n v="132833"/>
    <n v="2300"/>
    <n v="108"/>
    <n v="3034.51"/>
    <n v="7858.56"/>
    <n v="1.7314974441592076E-2"/>
    <n v="4.6956521739130432E-2"/>
    <n v="28.097314814814816"/>
    <n v="2.5897294785649083"/>
    <n v="2024"/>
    <x v="7"/>
    <n v="4"/>
  </r>
  <r>
    <s v="CAMP2303"/>
    <x v="7"/>
    <x v="3"/>
    <d v="2024-12-28T00:00:00"/>
    <n v="124019"/>
    <n v="6928"/>
    <n v="902"/>
    <n v="707.17"/>
    <n v="29771.46"/>
    <n v="5.5862408179391865E-2"/>
    <n v="0.13019630484988454"/>
    <n v="0.78400221729490016"/>
    <n v="42.099438607406988"/>
    <n v="2024"/>
    <x v="4"/>
    <n v="12"/>
  </r>
  <r>
    <s v="CAMP2304"/>
    <x v="7"/>
    <x v="2"/>
    <d v="2024-08-19T00:00:00"/>
    <n v="139601"/>
    <n v="3379"/>
    <n v="243"/>
    <n v="529.47"/>
    <n v="15141.18"/>
    <n v="2.4204697674085431E-2"/>
    <n v="7.1914767682746378E-2"/>
    <n v="2.1788888888888889"/>
    <n v="28.596861011955351"/>
    <n v="2024"/>
    <x v="1"/>
    <n v="8"/>
  </r>
  <r>
    <s v="CAMP2305"/>
    <x v="5"/>
    <x v="1"/>
    <d v="2024-11-27T00:00:00"/>
    <n v="31755"/>
    <n v="644"/>
    <n v="86"/>
    <n v="3776.12"/>
    <n v="3788.84"/>
    <n v="2.0280270823492364E-2"/>
    <n v="0.13354037267080746"/>
    <n v="43.908372093023253"/>
    <n v="1.0033685370168322"/>
    <n v="2024"/>
    <x v="5"/>
    <n v="11"/>
  </r>
  <r>
    <s v="CAMP2306"/>
    <x v="6"/>
    <x v="4"/>
    <d v="2024-05-16T00:00:00"/>
    <n v="12493"/>
    <n v="541"/>
    <n v="48"/>
    <n v="1889.39"/>
    <n v="1527.97"/>
    <n v="4.3304250380212919E-2"/>
    <n v="8.8724584103512014E-2"/>
    <n v="39.362291666666671"/>
    <n v="0.80871074791334763"/>
    <n v="2024"/>
    <x v="8"/>
    <n v="5"/>
  </r>
  <r>
    <s v="CAMP2307"/>
    <x v="0"/>
    <x v="3"/>
    <d v="2024-08-08T00:00:00"/>
    <n v="60591"/>
    <n v="1244"/>
    <n v="106"/>
    <n v="2638.05"/>
    <n v="2683.46"/>
    <n v="2.0531101978841743E-2"/>
    <n v="8.5209003215434079E-2"/>
    <n v="24.887264150943398"/>
    <n v="1.0172134720721744"/>
    <n v="2024"/>
    <x v="1"/>
    <n v="8"/>
  </r>
  <r>
    <s v="CAMP2308"/>
    <x v="5"/>
    <x v="3"/>
    <d v="2024-02-20T00:00:00"/>
    <n v="17880"/>
    <n v="990"/>
    <n v="114"/>
    <n v="2228.42"/>
    <n v="5631.67"/>
    <n v="5.5369127516778527E-2"/>
    <n v="0.11515151515151516"/>
    <n v="19.547543859649124"/>
    <n v="2.5272031304691214"/>
    <n v="2024"/>
    <x v="9"/>
    <n v="2"/>
  </r>
  <r>
    <s v="CAMP2309"/>
    <x v="3"/>
    <x v="4"/>
    <d v="2024-10-31T00:00:00"/>
    <n v="77332"/>
    <n v="3639"/>
    <n v="306"/>
    <n v="2281.11"/>
    <n v="26963.51"/>
    <n v="4.7056845807686341E-2"/>
    <n v="8.4089035449299257E-2"/>
    <n v="7.4546078431372553"/>
    <n v="11.820346234947021"/>
    <n v="2024"/>
    <x v="3"/>
    <n v="10"/>
  </r>
  <r>
    <s v="CAMP2310"/>
    <x v="1"/>
    <x v="0"/>
    <d v="2024-04-22T00:00:00"/>
    <n v="35195"/>
    <n v="482"/>
    <n v="11"/>
    <n v="1477.66"/>
    <n v="292.43"/>
    <n v="1.3695127148742719E-2"/>
    <n v="2.2821576763485476E-2"/>
    <n v="134.33272727272728"/>
    <n v="0.19790073494579266"/>
    <n v="2024"/>
    <x v="7"/>
    <n v="4"/>
  </r>
  <r>
    <s v="CAMP2311"/>
    <x v="0"/>
    <x v="3"/>
    <d v="2024-04-25T00:00:00"/>
    <n v="111052"/>
    <n v="4157"/>
    <n v="137"/>
    <n v="3722.84"/>
    <n v="14789.53"/>
    <n v="3.7432914310413137E-2"/>
    <n v="3.2956458984844839E-2"/>
    <n v="27.174014598540147"/>
    <n v="3.9726472263110959"/>
    <n v="2024"/>
    <x v="7"/>
    <n v="4"/>
  </r>
  <r>
    <s v="CAMP2312"/>
    <x v="5"/>
    <x v="2"/>
    <d v="2024-04-15T00:00:00"/>
    <n v="49834"/>
    <n v="3239"/>
    <n v="211"/>
    <n v="1582.36"/>
    <n v="16802.21"/>
    <n v="6.4995786009551706E-2"/>
    <n v="6.5143562828033338E-2"/>
    <n v="7.4993364928909951"/>
    <n v="10.618449657473647"/>
    <n v="2024"/>
    <x v="7"/>
    <n v="4"/>
  </r>
  <r>
    <s v="CAMP2313"/>
    <x v="4"/>
    <x v="0"/>
    <d v="2024-04-04T00:00:00"/>
    <n v="136921"/>
    <n v="10069"/>
    <n v="1015"/>
    <n v="3747.64"/>
    <n v="106835.24"/>
    <n v="7.353875592494942E-2"/>
    <n v="0.10080444929983116"/>
    <n v="3.6922561576354678"/>
    <n v="28.507337951350721"/>
    <n v="2024"/>
    <x v="7"/>
    <n v="4"/>
  </r>
  <r>
    <s v="CAMP2314"/>
    <x v="1"/>
    <x v="4"/>
    <d v="2024-06-10T00:00:00"/>
    <n v="23207"/>
    <n v="502"/>
    <n v="31"/>
    <n v="2385.04"/>
    <n v="3602.95"/>
    <n v="2.1631404317662774E-2"/>
    <n v="6.1752988047808766E-2"/>
    <n v="76.936774193548388"/>
    <n v="1.5106455237648004"/>
    <n v="2024"/>
    <x v="2"/>
    <n v="6"/>
  </r>
  <r>
    <s v="CAMP2315"/>
    <x v="6"/>
    <x v="2"/>
    <d v="2024-06-20T00:00:00"/>
    <n v="10459"/>
    <n v="234"/>
    <n v="12"/>
    <n v="569.49"/>
    <n v="1055.04"/>
    <n v="2.2373075819868055E-2"/>
    <n v="5.128205128205128E-2"/>
    <n v="47.457500000000003"/>
    <n v="1.8526049623347205"/>
    <n v="2024"/>
    <x v="2"/>
    <n v="6"/>
  </r>
  <r>
    <s v="CAMP2316"/>
    <x v="4"/>
    <x v="1"/>
    <d v="2024-06-29T00:00:00"/>
    <n v="129211"/>
    <n v="6566"/>
    <n v="548"/>
    <n v="1388.05"/>
    <n v="16954.349999999999"/>
    <n v="5.0816106987795158E-2"/>
    <n v="8.3460249771550407E-2"/>
    <n v="2.5329379562043797"/>
    <n v="12.21450956377652"/>
    <n v="2024"/>
    <x v="2"/>
    <n v="6"/>
  </r>
  <r>
    <s v="CAMP2317"/>
    <x v="4"/>
    <x v="1"/>
    <d v="2024-12-14T00:00:00"/>
    <n v="81194"/>
    <n v="5559"/>
    <n v="490"/>
    <n v="1003.06"/>
    <n v="16982.57"/>
    <n v="6.8465650171194922E-2"/>
    <n v="8.8145349883072502E-2"/>
    <n v="2.0470612244897959"/>
    <n v="16.930761868681834"/>
    <n v="2024"/>
    <x v="4"/>
    <n v="12"/>
  </r>
  <r>
    <s v="CAMP2318"/>
    <x v="0"/>
    <x v="0"/>
    <d v="2024-06-04T00:00:00"/>
    <n v="92995"/>
    <n v="3876"/>
    <n v="447"/>
    <n v="4951.01"/>
    <n v="20443.080000000002"/>
    <n v="4.1679660196784776E-2"/>
    <n v="0.1153250773993808"/>
    <n v="11.076085011185683"/>
    <n v="4.1290726538625453"/>
    <n v="2024"/>
    <x v="2"/>
    <n v="6"/>
  </r>
  <r>
    <s v="CAMP2319"/>
    <x v="6"/>
    <x v="3"/>
    <d v="2024-07-05T00:00:00"/>
    <n v="125258"/>
    <n v="1371"/>
    <n v="90"/>
    <n v="3608.75"/>
    <n v="9822.35"/>
    <n v="1.0945408676491721E-2"/>
    <n v="6.5645514223194742E-2"/>
    <n v="40.097222222222221"/>
    <n v="2.721815032906131"/>
    <n v="2024"/>
    <x v="10"/>
    <n v="7"/>
  </r>
  <r>
    <s v="CAMP2320"/>
    <x v="6"/>
    <x v="0"/>
    <d v="2024-05-18T00:00:00"/>
    <n v="141133"/>
    <n v="8605"/>
    <n v="195"/>
    <n v="4897.46"/>
    <n v="20597.18"/>
    <n v="6.0970857276469712E-2"/>
    <n v="2.2661243463102849E-2"/>
    <n v="25.115179487179489"/>
    <n v="4.2056862128531929"/>
    <n v="2024"/>
    <x v="8"/>
    <n v="5"/>
  </r>
  <r>
    <s v="CAMP2321"/>
    <x v="2"/>
    <x v="3"/>
    <d v="2024-09-11T00:00:00"/>
    <n v="13101"/>
    <n v="355"/>
    <n v="41"/>
    <n v="4871.79"/>
    <n v="2293.62"/>
    <n v="2.7097168155102665E-2"/>
    <n v="0.11549295774647887"/>
    <n v="118.82414634146342"/>
    <n v="0.47079615500668132"/>
    <n v="2024"/>
    <x v="11"/>
    <n v="9"/>
  </r>
  <r>
    <s v="CAMP2322"/>
    <x v="0"/>
    <x v="4"/>
    <d v="2024-07-12T00:00:00"/>
    <n v="33293"/>
    <n v="2582"/>
    <n v="346"/>
    <n v="3458.25"/>
    <n v="38033.06"/>
    <n v="7.755384014657736E-2"/>
    <n v="0.13400464756003097"/>
    <n v="9.9949421965317917"/>
    <n v="10.997776331959805"/>
    <n v="2024"/>
    <x v="10"/>
    <n v="7"/>
  </r>
  <r>
    <s v="CAMP2323"/>
    <x v="6"/>
    <x v="1"/>
    <d v="2024-03-30T00:00:00"/>
    <n v="74549"/>
    <n v="5495"/>
    <n v="359"/>
    <n v="1789.74"/>
    <n v="28330.41"/>
    <n v="7.3709908918966047E-2"/>
    <n v="6.5332120109190178E-2"/>
    <n v="4.985348189415042"/>
    <n v="15.829343927050857"/>
    <n v="2024"/>
    <x v="6"/>
    <n v="3"/>
  </r>
  <r>
    <s v="CAMP2324"/>
    <x v="5"/>
    <x v="3"/>
    <d v="2024-04-07T00:00:00"/>
    <n v="15774"/>
    <n v="797"/>
    <n v="88"/>
    <n v="4204.0200000000004"/>
    <n v="2842.06"/>
    <n v="5.0526182325345503E-2"/>
    <n v="0.11041405269761606"/>
    <n v="47.772954545454553"/>
    <n v="0.67603389137064041"/>
    <n v="2024"/>
    <x v="7"/>
    <n v="4"/>
  </r>
  <r>
    <s v="CAMP2325"/>
    <x v="6"/>
    <x v="1"/>
    <d v="2025-02-09T00:00:00"/>
    <n v="95963"/>
    <n v="2896"/>
    <n v="422"/>
    <n v="2594.85"/>
    <n v="37369.230000000003"/>
    <n v="3.0178297885643426E-2"/>
    <n v="0.1457182320441989"/>
    <n v="6.1489336492890994"/>
    <n v="14.401306433897915"/>
    <n v="2025"/>
    <x v="9"/>
    <n v="2"/>
  </r>
  <r>
    <s v="CAMP2326"/>
    <x v="6"/>
    <x v="4"/>
    <d v="2024-09-24T00:00:00"/>
    <n v="80964"/>
    <n v="4344"/>
    <n v="462"/>
    <n v="1657.5"/>
    <n v="22557.61"/>
    <n v="5.3653475618793536E-2"/>
    <n v="0.106353591160221"/>
    <n v="3.5876623376623376"/>
    <n v="13.609417797888387"/>
    <n v="2024"/>
    <x v="11"/>
    <n v="9"/>
  </r>
  <r>
    <s v="CAMP2327"/>
    <x v="5"/>
    <x v="0"/>
    <d v="2024-08-20T00:00:00"/>
    <n v="15735"/>
    <n v="396"/>
    <n v="50"/>
    <n v="792.49"/>
    <n v="3441.83"/>
    <n v="2.5166825548141088E-2"/>
    <n v="0.12626262626262627"/>
    <n v="15.8498"/>
    <n v="4.3430579565672751"/>
    <n v="2024"/>
    <x v="1"/>
    <n v="8"/>
  </r>
  <r>
    <s v="CAMP2328"/>
    <x v="4"/>
    <x v="2"/>
    <d v="2024-06-29T00:00:00"/>
    <n v="5168"/>
    <n v="69"/>
    <n v="2"/>
    <n v="4417.87"/>
    <n v="197.05"/>
    <n v="1.3351393188854489E-2"/>
    <n v="2.8985507246376812E-2"/>
    <n v="2208.9349999999999"/>
    <n v="4.4602942141801369E-2"/>
    <n v="2024"/>
    <x v="2"/>
    <n v="6"/>
  </r>
  <r>
    <s v="CAMP2329"/>
    <x v="2"/>
    <x v="0"/>
    <d v="2024-12-31T00:00:00"/>
    <n v="75954"/>
    <n v="1517"/>
    <n v="174"/>
    <n v="2273.84"/>
    <n v="19457.72"/>
    <n v="1.9972615003818101E-2"/>
    <n v="0.11470006591957811"/>
    <n v="13.068045977011495"/>
    <n v="8.5572071913591099"/>
    <n v="2024"/>
    <x v="4"/>
    <n v="12"/>
  </r>
  <r>
    <s v="CAMP2330"/>
    <x v="5"/>
    <x v="4"/>
    <d v="2024-01-17T00:00:00"/>
    <n v="129040"/>
    <n v="9717"/>
    <n v="508"/>
    <n v="3456.8"/>
    <n v="29781.03"/>
    <n v="7.5302231866088032E-2"/>
    <n v="5.2279510136873521E-2"/>
    <n v="6.8047244094488191"/>
    <n v="8.6152019208516535"/>
    <n v="2024"/>
    <x v="0"/>
    <n v="1"/>
  </r>
  <r>
    <s v="CAMP2331"/>
    <x v="3"/>
    <x v="0"/>
    <d v="2024-05-13T00:00:00"/>
    <n v="84173"/>
    <n v="4359"/>
    <n v="185"/>
    <n v="2291.92"/>
    <n v="19904.75"/>
    <n v="5.1786202226367123E-2"/>
    <n v="4.244092681807754E-2"/>
    <n v="12.388756756756758"/>
    <n v="8.6847490313798037"/>
    <n v="2024"/>
    <x v="8"/>
    <n v="5"/>
  </r>
  <r>
    <s v="CAMP2332"/>
    <x v="2"/>
    <x v="4"/>
    <d v="2024-05-08T00:00:00"/>
    <n v="40570"/>
    <n v="1587"/>
    <n v="72"/>
    <n v="1663.98"/>
    <n v="3580.81"/>
    <n v="3.9117574562484596E-2"/>
    <n v="4.5368620037807186E-2"/>
    <n v="23.110833333333332"/>
    <n v="2.1519549513816272"/>
    <n v="2024"/>
    <x v="8"/>
    <n v="5"/>
  </r>
  <r>
    <s v="CAMP2333"/>
    <x v="6"/>
    <x v="1"/>
    <d v="2024-04-03T00:00:00"/>
    <n v="103557"/>
    <n v="6707"/>
    <n v="861"/>
    <n v="661"/>
    <n v="62557.8"/>
    <n v="6.4766263989879974E-2"/>
    <n v="0.1283733412852244"/>
    <n v="0.76771196283391407"/>
    <n v="94.641149773071106"/>
    <n v="2024"/>
    <x v="7"/>
    <n v="4"/>
  </r>
  <r>
    <s v="CAMP2334"/>
    <x v="7"/>
    <x v="1"/>
    <d v="2024-12-16T00:00:00"/>
    <n v="98731"/>
    <n v="4224"/>
    <n v="319"/>
    <n v="2218.4299999999998"/>
    <n v="19467.25"/>
    <n v="4.2782915193809438E-2"/>
    <n v="7.5520833333333329E-2"/>
    <n v="6.9543260188087768"/>
    <n v="8.7752374426959605"/>
    <n v="2024"/>
    <x v="4"/>
    <n v="12"/>
  </r>
  <r>
    <s v="CAMP2335"/>
    <x v="4"/>
    <x v="1"/>
    <d v="2024-01-14T00:00:00"/>
    <n v="115341"/>
    <n v="1867"/>
    <n v="71"/>
    <n v="4552.87"/>
    <n v="7005.09"/>
    <n v="1.6186785271499294E-2"/>
    <n v="3.8028923406534548E-2"/>
    <n v="64.124929577464783"/>
    <n v="1.5386097121156546"/>
    <n v="2024"/>
    <x v="0"/>
    <n v="1"/>
  </r>
  <r>
    <s v="CAMP2336"/>
    <x v="7"/>
    <x v="4"/>
    <d v="2024-11-13T00:00:00"/>
    <n v="147414"/>
    <n v="10760"/>
    <n v="1443"/>
    <n v="456.97"/>
    <n v="150808.99"/>
    <n v="7.2991710420991215E-2"/>
    <n v="0.13410780669144981"/>
    <n v="0.31668052668052671"/>
    <n v="330.01945423113108"/>
    <n v="2024"/>
    <x v="5"/>
    <n v="11"/>
  </r>
  <r>
    <s v="CAMP2337"/>
    <x v="2"/>
    <x v="2"/>
    <d v="2024-12-09T00:00:00"/>
    <n v="6560"/>
    <n v="278"/>
    <n v="33"/>
    <n v="2686.44"/>
    <n v="3429.35"/>
    <n v="4.2378048780487808E-2"/>
    <n v="0.11870503597122302"/>
    <n v="81.407272727272726"/>
    <n v="1.2765407007042777"/>
    <n v="2024"/>
    <x v="4"/>
    <n v="12"/>
  </r>
  <r>
    <s v="CAMP2338"/>
    <x v="0"/>
    <x v="0"/>
    <d v="2024-05-18T00:00:00"/>
    <n v="33062"/>
    <n v="1102"/>
    <n v="35"/>
    <n v="1594.77"/>
    <n v="2385.14"/>
    <n v="3.3331316919726572E-2"/>
    <n v="3.1760435571687839E-2"/>
    <n v="45.564857142857143"/>
    <n v="1.495601246574741"/>
    <n v="2024"/>
    <x v="8"/>
    <n v="5"/>
  </r>
  <r>
    <s v="CAMP2339"/>
    <x v="7"/>
    <x v="0"/>
    <d v="2024-03-03T00:00:00"/>
    <n v="138908"/>
    <n v="8578"/>
    <n v="230"/>
    <n v="1184.31"/>
    <n v="7915.49"/>
    <n v="6.1753102773058427E-2"/>
    <n v="2.6812776871065515E-2"/>
    <n v="5.1491739130434784"/>
    <n v="6.6836301306245831"/>
    <n v="2024"/>
    <x v="6"/>
    <n v="3"/>
  </r>
  <r>
    <s v="CAMP2340"/>
    <x v="6"/>
    <x v="4"/>
    <d v="2024-04-24T00:00:00"/>
    <n v="45573"/>
    <n v="1415"/>
    <n v="85"/>
    <n v="4947.96"/>
    <n v="1754.83"/>
    <n v="3.1049086081671166E-2"/>
    <n v="6.0070671378091869E-2"/>
    <n v="58.211294117647057"/>
    <n v="0.35465727289630472"/>
    <n v="2024"/>
    <x v="7"/>
    <n v="4"/>
  </r>
  <r>
    <s v="CAMP2341"/>
    <x v="6"/>
    <x v="1"/>
    <d v="2024-12-18T00:00:00"/>
    <n v="57612"/>
    <n v="1038"/>
    <n v="20"/>
    <n v="3098.2"/>
    <n v="642.07000000000005"/>
    <n v="1.8017079775046865E-2"/>
    <n v="1.9267822736030827E-2"/>
    <n v="154.91"/>
    <n v="0.20723968756051903"/>
    <n v="2024"/>
    <x v="4"/>
    <n v="12"/>
  </r>
  <r>
    <s v="CAMP2342"/>
    <x v="0"/>
    <x v="4"/>
    <d v="2024-04-14T00:00:00"/>
    <n v="32159"/>
    <n v="1388"/>
    <n v="178"/>
    <n v="2330.3200000000002"/>
    <n v="4550.63"/>
    <n v="4.3160546036879258E-2"/>
    <n v="0.12824207492795389"/>
    <n v="13.091685393258429"/>
    <n v="1.9527918912424045"/>
    <n v="2024"/>
    <x v="7"/>
    <n v="4"/>
  </r>
  <r>
    <s v="CAMP2343"/>
    <x v="0"/>
    <x v="3"/>
    <d v="2024-07-26T00:00:00"/>
    <n v="131804"/>
    <n v="10384"/>
    <n v="1314"/>
    <n v="4240.26"/>
    <n v="98118.91"/>
    <n v="7.8783648447695059E-2"/>
    <n v="0.12654083204930663"/>
    <n v="3.226986301369863"/>
    <n v="23.139833406442058"/>
    <n v="2024"/>
    <x v="10"/>
    <n v="7"/>
  </r>
  <r>
    <s v="CAMP2344"/>
    <x v="6"/>
    <x v="1"/>
    <d v="2024-03-04T00:00:00"/>
    <n v="118338"/>
    <n v="2394"/>
    <n v="54"/>
    <n v="880.09"/>
    <n v="5100.83"/>
    <n v="2.0230188105257819E-2"/>
    <n v="2.2556390977443608E-2"/>
    <n v="16.297962962962963"/>
    <n v="5.7958049744912445"/>
    <n v="2024"/>
    <x v="6"/>
    <n v="3"/>
  </r>
  <r>
    <s v="CAMP2345"/>
    <x v="1"/>
    <x v="4"/>
    <d v="2024-09-18T00:00:00"/>
    <n v="148309"/>
    <n v="3563"/>
    <n v="293"/>
    <n v="1589.36"/>
    <n v="8790.58"/>
    <n v="2.4024165762023882E-2"/>
    <n v="8.2234072410889703E-2"/>
    <n v="5.4244368600682593"/>
    <n v="5.5308929380379528"/>
    <n v="2024"/>
    <x v="11"/>
    <n v="9"/>
  </r>
  <r>
    <s v="CAMP2346"/>
    <x v="6"/>
    <x v="3"/>
    <d v="2024-12-07T00:00:00"/>
    <n v="77137"/>
    <n v="2883"/>
    <n v="319"/>
    <n v="715.21"/>
    <n v="19679"/>
    <n v="3.7375059958256088E-2"/>
    <n v="0.11064862989941034"/>
    <n v="2.2420376175548591"/>
    <n v="27.514995595699165"/>
    <n v="2024"/>
    <x v="4"/>
    <n v="12"/>
  </r>
  <r>
    <s v="CAMP2347"/>
    <x v="3"/>
    <x v="4"/>
    <d v="2024-01-15T00:00:00"/>
    <n v="79297"/>
    <n v="3330"/>
    <n v="310"/>
    <n v="252.89"/>
    <n v="15585.61"/>
    <n v="4.199402247247689E-2"/>
    <n v="9.3093093093093091E-2"/>
    <n v="0.81577419354838709"/>
    <n v="61.629997231998111"/>
    <n v="2024"/>
    <x v="0"/>
    <n v="1"/>
  </r>
  <r>
    <s v="CAMP2348"/>
    <x v="6"/>
    <x v="0"/>
    <d v="2024-06-30T00:00:00"/>
    <n v="41517"/>
    <n v="1774"/>
    <n v="202"/>
    <n v="1529.14"/>
    <n v="23871.42"/>
    <n v="4.2729484307633014E-2"/>
    <n v="0.11386696730552424"/>
    <n v="7.57"/>
    <n v="15.611010110258052"/>
    <n v="2024"/>
    <x v="2"/>
    <n v="6"/>
  </r>
  <r>
    <s v="CAMP2349"/>
    <x v="7"/>
    <x v="1"/>
    <d v="2024-09-14T00:00:00"/>
    <n v="60254"/>
    <n v="2073"/>
    <n v="231"/>
    <n v="2075"/>
    <n v="6069.89"/>
    <n v="3.4404354897600159E-2"/>
    <n v="0.11143270622286541"/>
    <n v="8.9826839826839819"/>
    <n v="2.9252481927710843"/>
    <n v="2024"/>
    <x v="11"/>
    <n v="9"/>
  </r>
  <r>
    <s v="CAMP2350"/>
    <x v="2"/>
    <x v="3"/>
    <d v="2024-12-01T00:00:00"/>
    <n v="93943"/>
    <n v="3960"/>
    <n v="521"/>
    <n v="872.19"/>
    <n v="51316.46"/>
    <n v="4.2153220569920061E-2"/>
    <n v="0.13156565656565655"/>
    <n v="1.6740690978886756"/>
    <n v="58.836331533266829"/>
    <n v="2024"/>
    <x v="4"/>
    <n v="12"/>
  </r>
  <r>
    <s v="CAMP2351"/>
    <x v="5"/>
    <x v="2"/>
    <d v="2024-02-04T00:00:00"/>
    <n v="131810"/>
    <n v="4792"/>
    <n v="389"/>
    <n v="3363.06"/>
    <n v="30187.919999999998"/>
    <n v="3.6355359987861317E-2"/>
    <n v="8.1176961602671113E-2"/>
    <n v="8.6453984575835481"/>
    <n v="8.9763251324686451"/>
    <n v="2024"/>
    <x v="9"/>
    <n v="2"/>
  </r>
  <r>
    <s v="CAMP2352"/>
    <x v="5"/>
    <x v="4"/>
    <d v="2024-12-23T00:00:00"/>
    <n v="89954"/>
    <n v="4607"/>
    <n v="439"/>
    <n v="3005.57"/>
    <n v="45212.01"/>
    <n v="5.121506547791093E-2"/>
    <n v="9.5289776427176037E-2"/>
    <n v="6.8464009111617319"/>
    <n v="15.04274064486936"/>
    <n v="2024"/>
    <x v="4"/>
    <n v="12"/>
  </r>
  <r>
    <s v="CAMP2353"/>
    <x v="0"/>
    <x v="0"/>
    <d v="2024-01-16T00:00:00"/>
    <n v="46727"/>
    <n v="1225"/>
    <n v="130"/>
    <n v="2597.2800000000002"/>
    <n v="11431.19"/>
    <n v="2.621610631968669E-2"/>
    <n v="0.10612244897959183"/>
    <n v="19.979076923076924"/>
    <n v="4.4012158873898848"/>
    <n v="2024"/>
    <x v="0"/>
    <n v="1"/>
  </r>
  <r>
    <s v="CAMP2354"/>
    <x v="7"/>
    <x v="4"/>
    <d v="2025-01-30T00:00:00"/>
    <n v="67027"/>
    <n v="1164"/>
    <n v="156"/>
    <n v="3695.18"/>
    <n v="9111.7000000000007"/>
    <n v="1.7366136034732273E-2"/>
    <n v="0.13402061855670103"/>
    <n v="23.687051282051282"/>
    <n v="2.4658338700685762"/>
    <n v="2025"/>
    <x v="0"/>
    <n v="1"/>
  </r>
  <r>
    <s v="CAMP2355"/>
    <x v="3"/>
    <x v="0"/>
    <d v="2024-02-01T00:00:00"/>
    <n v="70662"/>
    <n v="1272"/>
    <n v="165"/>
    <n v="549.83000000000004"/>
    <n v="15895.31"/>
    <n v="1.8001188757748154E-2"/>
    <n v="0.12971698113207547"/>
    <n v="3.3323030303030308"/>
    <n v="28.909499299783565"/>
    <n v="2024"/>
    <x v="9"/>
    <n v="2"/>
  </r>
  <r>
    <s v="CAMP2356"/>
    <x v="4"/>
    <x v="4"/>
    <d v="2024-06-13T00:00:00"/>
    <n v="33222"/>
    <n v="1957"/>
    <n v="135"/>
    <n v="4946.58"/>
    <n v="10446.030000000001"/>
    <n v="5.8906748540124017E-2"/>
    <n v="6.8983137455288709E-2"/>
    <n v="36.641333333333336"/>
    <n v="2.1117681307084895"/>
    <n v="2024"/>
    <x v="2"/>
    <n v="6"/>
  </r>
  <r>
    <s v="CAMP2357"/>
    <x v="1"/>
    <x v="4"/>
    <d v="2024-05-09T00:00:00"/>
    <n v="133739"/>
    <n v="5433"/>
    <n v="310"/>
    <n v="1165.73"/>
    <n v="11224.78"/>
    <n v="4.0623901778837887E-2"/>
    <n v="5.7058715258604821E-2"/>
    <n v="3.7604193548387097"/>
    <n v="9.6289706878951389"/>
    <n v="2024"/>
    <x v="8"/>
    <n v="5"/>
  </r>
  <r>
    <s v="CAMP2358"/>
    <x v="1"/>
    <x v="0"/>
    <d v="2024-10-25T00:00:00"/>
    <n v="11355"/>
    <n v="613"/>
    <n v="65"/>
    <n v="1176.99"/>
    <n v="6565.06"/>
    <n v="5.3985028621752529E-2"/>
    <n v="0.10603588907014681"/>
    <n v="18.107538461538461"/>
    <n v="5.5778383843533081"/>
    <n v="2024"/>
    <x v="3"/>
    <n v="10"/>
  </r>
  <r>
    <s v="CAMP2359"/>
    <x v="4"/>
    <x v="3"/>
    <d v="2025-01-31T00:00:00"/>
    <n v="111961"/>
    <n v="5573"/>
    <n v="737"/>
    <n v="1835.41"/>
    <n v="65030.02"/>
    <n v="4.97762613767294E-2"/>
    <n v="0.1322447514803517"/>
    <n v="2.4903799185888738"/>
    <n v="35.430786581744677"/>
    <n v="2025"/>
    <x v="0"/>
    <n v="1"/>
  </r>
  <r>
    <s v="CAMP2360"/>
    <x v="6"/>
    <x v="4"/>
    <d v="2024-04-16T00:00:00"/>
    <n v="129186"/>
    <n v="5821"/>
    <n v="386"/>
    <n v="4518.83"/>
    <n v="40662.07"/>
    <n v="4.5059062127475111E-2"/>
    <n v="6.6311630304071459E-2"/>
    <n v="11.70681347150259"/>
    <n v="8.9983624079684343"/>
    <n v="2024"/>
    <x v="7"/>
    <n v="4"/>
  </r>
  <r>
    <s v="CAMP2361"/>
    <x v="0"/>
    <x v="2"/>
    <d v="2024-08-06T00:00:00"/>
    <n v="103597"/>
    <n v="7373"/>
    <n v="692"/>
    <n v="810.52"/>
    <n v="49633.48"/>
    <n v="7.1170014575711649E-2"/>
    <n v="9.3855960938559607E-2"/>
    <n v="1.1712716763005779"/>
    <n v="61.236588856536549"/>
    <n v="2024"/>
    <x v="1"/>
    <n v="8"/>
  </r>
  <r>
    <s v="CAMP2362"/>
    <x v="0"/>
    <x v="0"/>
    <d v="2024-09-12T00:00:00"/>
    <n v="65443"/>
    <n v="890"/>
    <n v="80"/>
    <n v="308.2"/>
    <n v="8170.62"/>
    <n v="1.359962104426753E-2"/>
    <n v="8.98876404494382E-2"/>
    <n v="3.8525"/>
    <n v="26.510772225827385"/>
    <n v="2024"/>
    <x v="11"/>
    <n v="9"/>
  </r>
  <r>
    <s v="CAMP2363"/>
    <x v="5"/>
    <x v="3"/>
    <d v="2024-07-18T00:00:00"/>
    <n v="98822"/>
    <n v="1458"/>
    <n v="194"/>
    <n v="4846.95"/>
    <n v="5330.68"/>
    <n v="1.475379976118678E-2"/>
    <n v="0.13305898491083676"/>
    <n v="24.984278350515464"/>
    <n v="1.0998009057242184"/>
    <n v="2024"/>
    <x v="10"/>
    <n v="7"/>
  </r>
  <r>
    <s v="CAMP2364"/>
    <x v="1"/>
    <x v="1"/>
    <d v="2024-11-08T00:00:00"/>
    <n v="136084"/>
    <n v="4335"/>
    <n v="435"/>
    <n v="2820.52"/>
    <n v="47493.66"/>
    <n v="3.1855324652420566E-2"/>
    <n v="0.10034602076124567"/>
    <n v="6.483954022988506"/>
    <n v="16.838618410789501"/>
    <n v="2024"/>
    <x v="5"/>
    <n v="11"/>
  </r>
  <r>
    <s v="CAMP2365"/>
    <x v="6"/>
    <x v="3"/>
    <d v="2024-11-30T00:00:00"/>
    <n v="12858"/>
    <n v="157"/>
    <n v="11"/>
    <n v="1162.45"/>
    <n v="1196.83"/>
    <n v="1.2210297091305024E-2"/>
    <n v="7.0063694267515922E-2"/>
    <n v="105.67727272727274"/>
    <n v="1.029575465611424"/>
    <n v="2024"/>
    <x v="5"/>
    <n v="11"/>
  </r>
  <r>
    <s v="CAMP2366"/>
    <x v="4"/>
    <x v="4"/>
    <d v="2024-04-14T00:00:00"/>
    <n v="148415"/>
    <n v="9969"/>
    <n v="626"/>
    <n v="3835.25"/>
    <n v="69631.199999999997"/>
    <n v="6.71697604689553E-2"/>
    <n v="6.2794663456715819E-2"/>
    <n v="6.1265974440894571"/>
    <n v="18.155583078026204"/>
    <n v="2024"/>
    <x v="7"/>
    <n v="4"/>
  </r>
  <r>
    <s v="CAMP2367"/>
    <x v="4"/>
    <x v="4"/>
    <d v="2024-09-09T00:00:00"/>
    <n v="24113"/>
    <n v="1601"/>
    <n v="149"/>
    <n v="3128.01"/>
    <n v="15421.55"/>
    <n v="6.639572015095592E-2"/>
    <n v="9.3066833229231732E-2"/>
    <n v="20.993355704697986"/>
    <n v="4.9301472821378445"/>
    <n v="2024"/>
    <x v="11"/>
    <n v="9"/>
  </r>
  <r>
    <s v="CAMP2368"/>
    <x v="4"/>
    <x v="3"/>
    <d v="2024-02-06T00:00:00"/>
    <n v="114114"/>
    <n v="5919"/>
    <n v="589"/>
    <n v="586.85"/>
    <n v="44258.95"/>
    <n v="5.1869183448130816E-2"/>
    <n v="9.9510052373711771E-2"/>
    <n v="0.99634974533106968"/>
    <n v="75.417823975462213"/>
    <n v="2024"/>
    <x v="9"/>
    <n v="2"/>
  </r>
  <r>
    <s v="CAMP2369"/>
    <x v="2"/>
    <x v="3"/>
    <d v="2025-01-05T00:00:00"/>
    <n v="15942"/>
    <n v="275"/>
    <n v="23"/>
    <n v="1281.18"/>
    <n v="1265.5899999999999"/>
    <n v="1.7250031363693387E-2"/>
    <n v="8.3636363636363634E-2"/>
    <n v="55.703478260869566"/>
    <n v="0.9878315303079972"/>
    <n v="2025"/>
    <x v="0"/>
    <n v="1"/>
  </r>
  <r>
    <s v="CAMP2370"/>
    <x v="6"/>
    <x v="3"/>
    <d v="2025-02-04T00:00:00"/>
    <n v="64704"/>
    <n v="744"/>
    <n v="20"/>
    <n v="3913.34"/>
    <n v="2022.73"/>
    <n v="1.1498516320474777E-2"/>
    <n v="2.6881720430107527E-2"/>
    <n v="195.667"/>
    <n v="0.51688072081648917"/>
    <n v="2025"/>
    <x v="9"/>
    <n v="2"/>
  </r>
  <r>
    <s v="CAMP2371"/>
    <x v="3"/>
    <x v="0"/>
    <d v="2024-10-09T00:00:00"/>
    <n v="131398"/>
    <n v="1793"/>
    <n v="214"/>
    <n v="3538.11"/>
    <n v="13475.98"/>
    <n v="1.3645565381512657E-2"/>
    <n v="0.11935303959843838"/>
    <n v="16.53322429906542"/>
    <n v="3.8088075271825916"/>
    <n v="2024"/>
    <x v="3"/>
    <n v="10"/>
  </r>
  <r>
    <s v="CAMP2372"/>
    <x v="3"/>
    <x v="1"/>
    <d v="2024-03-11T00:00:00"/>
    <n v="35299"/>
    <n v="1435"/>
    <n v="196"/>
    <n v="4916.17"/>
    <n v="11127.09"/>
    <n v="4.0652709708490324E-2"/>
    <n v="0.13658536585365855"/>
    <n v="25.0825"/>
    <n v="2.2633655874390022"/>
    <n v="2024"/>
    <x v="6"/>
    <n v="3"/>
  </r>
  <r>
    <s v="CAMP2373"/>
    <x v="1"/>
    <x v="3"/>
    <d v="2024-08-11T00:00:00"/>
    <n v="20184"/>
    <n v="538"/>
    <n v="17"/>
    <n v="248.24"/>
    <n v="1042.21"/>
    <n v="2.6654776060245741E-2"/>
    <n v="3.1598513011152414E-2"/>
    <n v="14.602352941176472"/>
    <n v="4.198396712858524"/>
    <n v="2024"/>
    <x v="1"/>
    <n v="8"/>
  </r>
  <r>
    <s v="CAMP2374"/>
    <x v="4"/>
    <x v="0"/>
    <d v="2025-01-03T00:00:00"/>
    <n v="70515"/>
    <n v="4716"/>
    <n v="141"/>
    <n v="808.24"/>
    <n v="5366.37"/>
    <n v="6.6879387364390558E-2"/>
    <n v="2.989821882951654E-2"/>
    <n v="5.7321985815602838"/>
    <n v="6.6395748787488866"/>
    <n v="2025"/>
    <x v="0"/>
    <n v="1"/>
  </r>
  <r>
    <s v="CAMP2375"/>
    <x v="4"/>
    <x v="3"/>
    <d v="2024-06-28T00:00:00"/>
    <n v="69027"/>
    <n v="5512"/>
    <n v="203"/>
    <n v="2109.5300000000002"/>
    <n v="17408.93"/>
    <n v="7.9852811218798447E-2"/>
    <n v="3.6828737300435413E-2"/>
    <n v="10.391773399014779"/>
    <n v="8.2525159632714384"/>
    <n v="2024"/>
    <x v="2"/>
    <n v="6"/>
  </r>
  <r>
    <s v="CAMP2376"/>
    <x v="0"/>
    <x v="0"/>
    <d v="2024-05-08T00:00:00"/>
    <n v="147513"/>
    <n v="3600"/>
    <n v="402"/>
    <n v="4104.4399999999996"/>
    <n v="44125.14"/>
    <n v="2.4404628744585224E-2"/>
    <n v="0.11166666666666666"/>
    <n v="10.21004975124378"/>
    <n v="10.750587169016969"/>
    <n v="2024"/>
    <x v="8"/>
    <n v="5"/>
  </r>
  <r>
    <s v="CAMP2377"/>
    <x v="1"/>
    <x v="2"/>
    <d v="2024-12-31T00:00:00"/>
    <n v="84355"/>
    <n v="6402"/>
    <n v="777"/>
    <n v="1604.88"/>
    <n v="66328.13"/>
    <n v="7.5893545136624982E-2"/>
    <n v="0.12136832239925023"/>
    <n v="2.0654826254826255"/>
    <n v="41.329027715467824"/>
    <n v="2024"/>
    <x v="4"/>
    <n v="12"/>
  </r>
  <r>
    <s v="CAMP2378"/>
    <x v="5"/>
    <x v="3"/>
    <d v="2024-12-23T00:00:00"/>
    <n v="146929"/>
    <n v="6647"/>
    <n v="179"/>
    <n v="4522.04"/>
    <n v="16208.48"/>
    <n v="4.523953746367293E-2"/>
    <n v="2.6929441853467729E-2"/>
    <n v="25.262793296089384"/>
    <n v="3.5843291965573059"/>
    <n v="2024"/>
    <x v="4"/>
    <n v="12"/>
  </r>
  <r>
    <s v="CAMP2379"/>
    <x v="6"/>
    <x v="3"/>
    <d v="2024-02-10T00:00:00"/>
    <n v="58360"/>
    <n v="4309"/>
    <n v="557"/>
    <n v="2700.78"/>
    <n v="28125.11"/>
    <n v="7.3834818368745711E-2"/>
    <n v="0.129264330471107"/>
    <n v="4.8487971274685817"/>
    <n v="10.413699005472493"/>
    <n v="2024"/>
    <x v="9"/>
    <n v="2"/>
  </r>
  <r>
    <s v="CAMP2380"/>
    <x v="1"/>
    <x v="0"/>
    <d v="2024-07-09T00:00:00"/>
    <n v="42214"/>
    <n v="528"/>
    <n v="26"/>
    <n v="2313.33"/>
    <n v="2506.9"/>
    <n v="1.250769886767423E-2"/>
    <n v="4.924242424242424E-2"/>
    <n v="88.974230769230772"/>
    <n v="1.0836759130776845"/>
    <n v="2024"/>
    <x v="10"/>
    <n v="7"/>
  </r>
  <r>
    <s v="CAMP2381"/>
    <x v="0"/>
    <x v="0"/>
    <d v="2024-09-12T00:00:00"/>
    <n v="13848"/>
    <n v="400"/>
    <n v="38"/>
    <n v="1641.98"/>
    <n v="4427.37"/>
    <n v="2.8885037550548817E-2"/>
    <n v="9.5000000000000001E-2"/>
    <n v="43.21"/>
    <n v="2.6963604916016028"/>
    <n v="2024"/>
    <x v="11"/>
    <n v="9"/>
  </r>
  <r>
    <s v="CAMP2382"/>
    <x v="4"/>
    <x v="3"/>
    <d v="2024-11-08T00:00:00"/>
    <n v="105646"/>
    <n v="4719"/>
    <n v="623"/>
    <n v="2046.38"/>
    <n v="15227.09"/>
    <n v="4.4668042330045621E-2"/>
    <n v="0.1320194956558593"/>
    <n v="3.2847191011235957"/>
    <n v="7.4409884772134207"/>
    <n v="2024"/>
    <x v="5"/>
    <n v="11"/>
  </r>
  <r>
    <s v="CAMP2383"/>
    <x v="1"/>
    <x v="2"/>
    <d v="2024-04-04T00:00:00"/>
    <n v="118006"/>
    <n v="5578"/>
    <n v="590"/>
    <n v="350.27"/>
    <n v="56816.78"/>
    <n v="4.7268782943240176E-2"/>
    <n v="0.10577267837934744"/>
    <n v="0.59367796610169488"/>
    <n v="162.20852485225683"/>
    <n v="2024"/>
    <x v="7"/>
    <n v="4"/>
  </r>
  <r>
    <s v="CAMP2384"/>
    <x v="4"/>
    <x v="1"/>
    <d v="2025-01-21T00:00:00"/>
    <n v="93137"/>
    <n v="6946"/>
    <n v="958"/>
    <n v="4089.17"/>
    <n v="75773.84"/>
    <n v="7.4578309372215129E-2"/>
    <n v="0.1379211056723294"/>
    <n v="4.2684446764091861"/>
    <n v="18.530371689120283"/>
    <n v="2025"/>
    <x v="0"/>
    <n v="1"/>
  </r>
  <r>
    <s v="CAMP2385"/>
    <x v="4"/>
    <x v="3"/>
    <d v="2025-01-06T00:00:00"/>
    <n v="118790"/>
    <n v="8386"/>
    <n v="1020"/>
    <n v="4657.12"/>
    <n v="97144.87"/>
    <n v="7.0595167943429585E-2"/>
    <n v="0.12163129024564751"/>
    <n v="4.5658039215686275"/>
    <n v="20.859430291682411"/>
    <n v="2025"/>
    <x v="0"/>
    <n v="1"/>
  </r>
  <r>
    <s v="CAMP2386"/>
    <x v="0"/>
    <x v="1"/>
    <d v="2024-07-17T00:00:00"/>
    <n v="80345"/>
    <n v="5631"/>
    <n v="799"/>
    <n v="2424.81"/>
    <n v="61730.94"/>
    <n v="7.0085257327773973E-2"/>
    <n v="0.14189309181317705"/>
    <n v="3.0348060075093866"/>
    <n v="25.458052383485718"/>
    <n v="2024"/>
    <x v="10"/>
    <n v="7"/>
  </r>
  <r>
    <s v="CAMP2387"/>
    <x v="5"/>
    <x v="4"/>
    <d v="2024-07-14T00:00:00"/>
    <n v="127508"/>
    <n v="7930"/>
    <n v="1111"/>
    <n v="832.99"/>
    <n v="23906.880000000001"/>
    <n v="6.2192176177181042E-2"/>
    <n v="0.14010088272383353"/>
    <n v="0.74976597659765976"/>
    <n v="28.700080433138453"/>
    <n v="2024"/>
    <x v="10"/>
    <n v="7"/>
  </r>
  <r>
    <s v="CAMP2388"/>
    <x v="5"/>
    <x v="0"/>
    <d v="2024-05-07T00:00:00"/>
    <n v="147292"/>
    <n v="4523"/>
    <n v="426"/>
    <n v="385.31"/>
    <n v="20203.900000000001"/>
    <n v="3.070770985525351E-2"/>
    <n v="9.4185275259783333E-2"/>
    <n v="0.90448356807511743"/>
    <n v="52.435441592483976"/>
    <n v="2024"/>
    <x v="8"/>
    <n v="5"/>
  </r>
  <r>
    <s v="CAMP2389"/>
    <x v="5"/>
    <x v="3"/>
    <d v="2025-02-04T00:00:00"/>
    <n v="8234"/>
    <n v="153"/>
    <n v="14"/>
    <n v="1740.75"/>
    <n v="650.32000000000005"/>
    <n v="1.858149137721642E-2"/>
    <n v="9.1503267973856203E-2"/>
    <n v="124.33928571428571"/>
    <n v="0.37358609794628755"/>
    <n v="2025"/>
    <x v="9"/>
    <n v="2"/>
  </r>
  <r>
    <s v="CAMP2390"/>
    <x v="2"/>
    <x v="2"/>
    <d v="2024-08-24T00:00:00"/>
    <n v="9526"/>
    <n v="388"/>
    <n v="31"/>
    <n v="4836.25"/>
    <n v="2108.64"/>
    <n v="4.0730631954650431E-2"/>
    <n v="7.9896907216494839E-2"/>
    <n v="156.00806451612902"/>
    <n v="0.43600723701214783"/>
    <n v="2024"/>
    <x v="1"/>
    <n v="8"/>
  </r>
  <r>
    <s v="CAMP2391"/>
    <x v="1"/>
    <x v="2"/>
    <d v="2024-01-30T00:00:00"/>
    <n v="25852"/>
    <n v="758"/>
    <n v="75"/>
    <n v="1707.33"/>
    <n v="1980.33"/>
    <n v="2.9320748878229923E-2"/>
    <n v="9.894459102902374E-2"/>
    <n v="22.764399999999998"/>
    <n v="1.1598987893377379"/>
    <n v="2024"/>
    <x v="0"/>
    <n v="1"/>
  </r>
  <r>
    <s v="CAMP2392"/>
    <x v="2"/>
    <x v="3"/>
    <d v="2025-01-27T00:00:00"/>
    <n v="77389"/>
    <n v="2179"/>
    <n v="183"/>
    <n v="1291.6099999999999"/>
    <n v="6853.26"/>
    <n v="2.8156456343924847E-2"/>
    <n v="8.3983478659935745E-2"/>
    <n v="7.057978142076502"/>
    <n v="5.3059824560045223"/>
    <n v="2025"/>
    <x v="0"/>
    <n v="1"/>
  </r>
  <r>
    <s v="CAMP2393"/>
    <x v="4"/>
    <x v="4"/>
    <d v="2024-02-28T00:00:00"/>
    <n v="15093"/>
    <n v="345"/>
    <n v="29"/>
    <n v="2313.48"/>
    <n v="1500.27"/>
    <n v="2.2858278672232162E-2"/>
    <n v="8.4057971014492749E-2"/>
    <n v="79.775172413793101"/>
    <n v="0.64849058561128692"/>
    <n v="2024"/>
    <x v="9"/>
    <n v="2"/>
  </r>
  <r>
    <s v="CAMP2394"/>
    <x v="1"/>
    <x v="0"/>
    <d v="2024-12-31T00:00:00"/>
    <n v="72909"/>
    <n v="5706"/>
    <n v="126"/>
    <n v="4255.67"/>
    <n v="13222.53"/>
    <n v="7.8261942970003703E-2"/>
    <n v="2.2082018927444796E-2"/>
    <n v="33.775158730158729"/>
    <n v="3.1070383746860073"/>
    <n v="2024"/>
    <x v="4"/>
    <n v="12"/>
  </r>
  <r>
    <s v="CAMP2395"/>
    <x v="4"/>
    <x v="1"/>
    <d v="2024-04-30T00:00:00"/>
    <n v="96679"/>
    <n v="1705"/>
    <n v="146"/>
    <n v="743.28"/>
    <n v="4050.77"/>
    <n v="1.7635680964842415E-2"/>
    <n v="8.5630498533724342E-2"/>
    <n v="5.0909589041095886"/>
    <n v="5.4498573888709503"/>
    <n v="2024"/>
    <x v="7"/>
    <n v="4"/>
  </r>
  <r>
    <s v="CAMP2396"/>
    <x v="1"/>
    <x v="3"/>
    <d v="2024-10-19T00:00:00"/>
    <n v="102349"/>
    <n v="6963"/>
    <n v="755"/>
    <n v="542.69000000000005"/>
    <n v="47298.89"/>
    <n v="6.803192996511935E-2"/>
    <n v="0.10843027430705156"/>
    <n v="0.71879470198675499"/>
    <n v="87.156369197884601"/>
    <n v="2024"/>
    <x v="3"/>
    <n v="10"/>
  </r>
  <r>
    <s v="CAMP2397"/>
    <x v="5"/>
    <x v="4"/>
    <d v="2024-01-13T00:00:00"/>
    <n v="90600"/>
    <n v="4755"/>
    <n v="317"/>
    <n v="4880.47"/>
    <n v="34787.33"/>
    <n v="5.2483443708609273E-2"/>
    <n v="6.6666666666666666E-2"/>
    <n v="15.395804416403786"/>
    <n v="7.1278647343391111"/>
    <n v="2024"/>
    <x v="0"/>
    <n v="1"/>
  </r>
  <r>
    <s v="CAMP2398"/>
    <x v="7"/>
    <x v="2"/>
    <d v="2024-05-30T00:00:00"/>
    <n v="13167"/>
    <n v="279"/>
    <n v="7"/>
    <n v="4665.4799999999996"/>
    <n v="778.31"/>
    <n v="2.1189336978810664E-2"/>
    <n v="2.5089605734767026E-2"/>
    <n v="666.49714285714276"/>
    <n v="0.16682313502576371"/>
    <n v="2024"/>
    <x v="8"/>
    <n v="5"/>
  </r>
  <r>
    <s v="CAMP2399"/>
    <x v="4"/>
    <x v="0"/>
    <d v="2024-11-07T00:00:00"/>
    <n v="60438"/>
    <n v="4022"/>
    <n v="347"/>
    <n v="3948.19"/>
    <n v="24573.919999999998"/>
    <n v="6.6547536318210393E-2"/>
    <n v="8.6275484833416211E-2"/>
    <n v="11.378069164265129"/>
    <n v="6.2240976244810904"/>
    <n v="2024"/>
    <x v="5"/>
    <n v="11"/>
  </r>
  <r>
    <s v="CAMP2400"/>
    <x v="7"/>
    <x v="4"/>
    <d v="2024-07-12T00:00:00"/>
    <n v="13545"/>
    <n v="758"/>
    <n v="29"/>
    <n v="3860.54"/>
    <n v="2462.7199999999998"/>
    <n v="5.5961609449981541E-2"/>
    <n v="3.825857519788918E-2"/>
    <n v="133.12206896551723"/>
    <n v="0.63792111984333788"/>
    <n v="2024"/>
    <x v="10"/>
    <n v="7"/>
  </r>
  <r>
    <s v="CAMP2401"/>
    <x v="0"/>
    <x v="4"/>
    <d v="2024-10-16T00:00:00"/>
    <n v="136988"/>
    <n v="10938"/>
    <n v="1115"/>
    <n v="3722.97"/>
    <n v="82394.86"/>
    <n v="7.984640990451719E-2"/>
    <n v="0.10193819711098921"/>
    <n v="3.3389865470852018"/>
    <n v="22.131486420787706"/>
    <n v="2024"/>
    <x v="3"/>
    <n v="10"/>
  </r>
  <r>
    <s v="CAMP2402"/>
    <x v="0"/>
    <x v="1"/>
    <d v="2025-02-12T00:00:00"/>
    <n v="18482"/>
    <n v="970"/>
    <n v="102"/>
    <n v="2697.61"/>
    <n v="5272.78"/>
    <n v="5.2483497456985176E-2"/>
    <n v="0.10515463917525773"/>
    <n v="26.4471568627451"/>
    <n v="1.9546116747787854"/>
    <n v="2025"/>
    <x v="9"/>
    <n v="2"/>
  </r>
  <r>
    <s v="CAMP2403"/>
    <x v="1"/>
    <x v="1"/>
    <d v="2024-05-30T00:00:00"/>
    <n v="68970"/>
    <n v="2276"/>
    <n v="281"/>
    <n v="4891.88"/>
    <n v="12108.03"/>
    <n v="3.2999855009424386E-2"/>
    <n v="0.1234622144112478"/>
    <n v="17.408825622775801"/>
    <n v="2.4751281715822957"/>
    <n v="2024"/>
    <x v="8"/>
    <n v="5"/>
  </r>
  <r>
    <s v="CAMP2404"/>
    <x v="7"/>
    <x v="0"/>
    <d v="2024-12-20T00:00:00"/>
    <n v="68188"/>
    <n v="2805"/>
    <n v="405"/>
    <n v="2167.64"/>
    <n v="11327.45"/>
    <n v="4.1136270311491759E-2"/>
    <n v="0.14438502673796791"/>
    <n v="5.3521975308641974"/>
    <n v="5.2257062980937796"/>
    <n v="2024"/>
    <x v="4"/>
    <n v="12"/>
  </r>
  <r>
    <s v="CAMP2405"/>
    <x v="0"/>
    <x v="3"/>
    <d v="2024-11-30T00:00:00"/>
    <n v="131918"/>
    <n v="6907"/>
    <n v="541"/>
    <n v="2210.48"/>
    <n v="41621.42"/>
    <n v="5.2358283175912311E-2"/>
    <n v="7.8326335601563629E-2"/>
    <n v="4.0859149722735673"/>
    <n v="18.829132134197096"/>
    <n v="2024"/>
    <x v="5"/>
    <n v="11"/>
  </r>
  <r>
    <s v="CAMP2406"/>
    <x v="2"/>
    <x v="1"/>
    <d v="2024-05-05T00:00:00"/>
    <n v="111854"/>
    <n v="6396"/>
    <n v="681"/>
    <n v="3106.62"/>
    <n v="67817.789999999994"/>
    <n v="5.7181683265685623E-2"/>
    <n v="0.10647279549718575"/>
    <n v="4.5618502202643167"/>
    <n v="21.830088649400313"/>
    <n v="2024"/>
    <x v="8"/>
    <n v="5"/>
  </r>
  <r>
    <s v="CAMP2407"/>
    <x v="7"/>
    <x v="3"/>
    <d v="2024-03-01T00:00:00"/>
    <n v="26366"/>
    <n v="1017"/>
    <n v="87"/>
    <n v="912.31"/>
    <n v="6039.54"/>
    <n v="3.8572403853447623E-2"/>
    <n v="8.5545722713864306E-2"/>
    <n v="10.486321839080459"/>
    <n v="6.6200523944711778"/>
    <n v="2024"/>
    <x v="6"/>
    <n v="3"/>
  </r>
  <r>
    <s v="CAMP2408"/>
    <x v="1"/>
    <x v="4"/>
    <d v="2024-08-20T00:00:00"/>
    <n v="9066"/>
    <n v="196"/>
    <n v="14"/>
    <n v="3874.45"/>
    <n v="1275.93"/>
    <n v="2.1619236708581513E-2"/>
    <n v="7.1428571428571425E-2"/>
    <n v="276.74642857142857"/>
    <n v="0.32931900011614557"/>
    <n v="2024"/>
    <x v="1"/>
    <n v="8"/>
  </r>
  <r>
    <s v="CAMP2409"/>
    <x v="6"/>
    <x v="0"/>
    <d v="2024-03-05T00:00:00"/>
    <n v="13932"/>
    <n v="952"/>
    <n v="22"/>
    <n v="1001.29"/>
    <n v="600.63"/>
    <n v="6.833189778926213E-2"/>
    <n v="2.3109243697478993E-2"/>
    <n v="45.513181818181813"/>
    <n v="0.59985618552067832"/>
    <n v="2024"/>
    <x v="6"/>
    <n v="3"/>
  </r>
  <r>
    <s v="CAMP2410"/>
    <x v="3"/>
    <x v="2"/>
    <d v="2024-06-30T00:00:00"/>
    <n v="38411"/>
    <n v="1465"/>
    <n v="135"/>
    <n v="3617.52"/>
    <n v="4306.8999999999996"/>
    <n v="3.8140116112571919E-2"/>
    <n v="9.2150170648464161E-2"/>
    <n v="26.796444444444443"/>
    <n v="1.1905670182887724"/>
    <n v="2024"/>
    <x v="2"/>
    <n v="6"/>
  </r>
  <r>
    <s v="CAMP2411"/>
    <x v="7"/>
    <x v="1"/>
    <d v="2024-11-07T00:00:00"/>
    <n v="33251"/>
    <n v="2646"/>
    <n v="68"/>
    <n v="3745.99"/>
    <n v="3773.71"/>
    <n v="7.9576554088598844E-2"/>
    <n v="2.5699168556311415E-2"/>
    <n v="55.088088235294116"/>
    <n v="1.0073999129736064"/>
    <n v="2024"/>
    <x v="5"/>
    <n v="11"/>
  </r>
  <r>
    <s v="CAMP2412"/>
    <x v="6"/>
    <x v="2"/>
    <d v="2024-11-18T00:00:00"/>
    <n v="122900"/>
    <n v="7601"/>
    <n v="582"/>
    <n v="3836.77"/>
    <n v="52386.62"/>
    <n v="6.1847030105777051E-2"/>
    <n v="7.6568872516774106E-2"/>
    <n v="6.5923883161512027"/>
    <n v="13.653833823763218"/>
    <n v="2024"/>
    <x v="5"/>
    <n v="11"/>
  </r>
  <r>
    <s v="CAMP2413"/>
    <x v="2"/>
    <x v="1"/>
    <d v="2025-02-23T00:00:00"/>
    <n v="138529"/>
    <n v="2197"/>
    <n v="299"/>
    <n v="3049.06"/>
    <n v="17039.23"/>
    <n v="1.5859495123764698E-2"/>
    <n v="0.13609467455621302"/>
    <n v="10.197525083612041"/>
    <n v="5.5883550996044686"/>
    <n v="2025"/>
    <x v="9"/>
    <n v="2"/>
  </r>
  <r>
    <s v="CAMP2414"/>
    <x v="6"/>
    <x v="2"/>
    <d v="2024-06-13T00:00:00"/>
    <n v="119972"/>
    <n v="2683"/>
    <n v="305"/>
    <n v="1540.64"/>
    <n v="29676.69"/>
    <n v="2.2363551495348914E-2"/>
    <n v="0.11367871785314947"/>
    <n v="5.0512786885245902"/>
    <n v="19.262572697060961"/>
    <n v="2024"/>
    <x v="2"/>
    <n v="6"/>
  </r>
  <r>
    <s v="CAMP2415"/>
    <x v="1"/>
    <x v="3"/>
    <d v="2024-09-09T00:00:00"/>
    <n v="94421"/>
    <n v="1263"/>
    <n v="110"/>
    <n v="2720.93"/>
    <n v="7790.51"/>
    <n v="1.3376261636712171E-2"/>
    <n v="8.7094220110847193E-2"/>
    <n v="24.735727272727271"/>
    <n v="2.8631791336050543"/>
    <n v="2024"/>
    <x v="11"/>
    <n v="9"/>
  </r>
  <r>
    <s v="CAMP2416"/>
    <x v="3"/>
    <x v="3"/>
    <d v="2024-06-14T00:00:00"/>
    <n v="105681"/>
    <n v="3413"/>
    <n v="147"/>
    <n v="887.34"/>
    <n v="14905.61"/>
    <n v="3.2295303791599249E-2"/>
    <n v="4.3070612364488718E-2"/>
    <n v="6.0363265306122456"/>
    <n v="16.79808190772421"/>
    <n v="2024"/>
    <x v="2"/>
    <n v="6"/>
  </r>
  <r>
    <s v="CAMP2417"/>
    <x v="1"/>
    <x v="2"/>
    <d v="2024-09-22T00:00:00"/>
    <n v="77943"/>
    <n v="3917"/>
    <n v="391"/>
    <n v="677.44"/>
    <n v="18955.330000000002"/>
    <n v="5.0254673286889137E-2"/>
    <n v="9.9821291804952764E-2"/>
    <n v="1.7325831202046038"/>
    <n v="27.980824870099198"/>
    <n v="2024"/>
    <x v="11"/>
    <n v="9"/>
  </r>
  <r>
    <s v="CAMP2418"/>
    <x v="0"/>
    <x v="3"/>
    <d v="2024-05-20T00:00:00"/>
    <n v="132568"/>
    <n v="5398"/>
    <n v="729"/>
    <n v="1584.7"/>
    <n v="81479.820000000007"/>
    <n v="4.0718725484279766E-2"/>
    <n v="0.13505001852537976"/>
    <n v="2.1737997256515778"/>
    <n v="51.41655833911782"/>
    <n v="2024"/>
    <x v="8"/>
    <n v="5"/>
  </r>
  <r>
    <s v="CAMP2419"/>
    <x v="0"/>
    <x v="4"/>
    <d v="2024-12-07T00:00:00"/>
    <n v="78040"/>
    <n v="1550"/>
    <n v="72"/>
    <n v="4226.1899999999996"/>
    <n v="6875.03"/>
    <n v="1.9861609431060995E-2"/>
    <n v="4.645161290322581E-2"/>
    <n v="58.697083333333325"/>
    <n v="1.6267678452696164"/>
    <n v="2024"/>
    <x v="4"/>
    <n v="12"/>
  </r>
  <r>
    <s v="CAMP2420"/>
    <x v="4"/>
    <x v="1"/>
    <d v="2024-01-21T00:00:00"/>
    <n v="146513"/>
    <n v="6981"/>
    <n v="316"/>
    <n v="2544.16"/>
    <n v="32307.78"/>
    <n v="4.7647649014080661E-2"/>
    <n v="4.5265721243374878E-2"/>
    <n v="8.0511392405063287"/>
    <n v="12.698800389912584"/>
    <n v="2024"/>
    <x v="0"/>
    <n v="1"/>
  </r>
  <r>
    <s v="CAMP2421"/>
    <x v="7"/>
    <x v="4"/>
    <d v="2024-05-24T00:00:00"/>
    <n v="116805"/>
    <n v="7153"/>
    <n v="627"/>
    <n v="4188.9799999999996"/>
    <n v="31032.84"/>
    <n v="6.1238816831471254E-2"/>
    <n v="8.7655529148608982E-2"/>
    <n v="6.6809888357256773"/>
    <n v="7.4082091583153904"/>
    <n v="2024"/>
    <x v="8"/>
    <n v="5"/>
  </r>
  <r>
    <s v="CAMP2422"/>
    <x v="0"/>
    <x v="0"/>
    <d v="2024-08-15T00:00:00"/>
    <n v="118315"/>
    <n v="5268"/>
    <n v="164"/>
    <n v="856.73"/>
    <n v="7846.63"/>
    <n v="4.4525208130837171E-2"/>
    <n v="3.1131359149582385E-2"/>
    <n v="5.223963414634146"/>
    <n v="9.1588131616728727"/>
    <n v="2024"/>
    <x v="1"/>
    <n v="8"/>
  </r>
  <r>
    <s v="CAMP2423"/>
    <x v="0"/>
    <x v="3"/>
    <d v="2025-02-15T00:00:00"/>
    <n v="25726"/>
    <n v="1597"/>
    <n v="78"/>
    <n v="556.88"/>
    <n v="2782.47"/>
    <n v="6.2077275907642074E-2"/>
    <n v="4.8841577958672514E-2"/>
    <n v="7.1394871794871797"/>
    <n v="4.9965342623186322"/>
    <n v="2025"/>
    <x v="9"/>
    <n v="2"/>
  </r>
  <r>
    <s v="CAMP2424"/>
    <x v="7"/>
    <x v="3"/>
    <d v="2024-08-20T00:00:00"/>
    <n v="139439"/>
    <n v="7954"/>
    <n v="235"/>
    <n v="3502.1"/>
    <n v="25668.400000000001"/>
    <n v="5.7042864621805953E-2"/>
    <n v="2.9544883077696756E-2"/>
    <n v="14.902553191489361"/>
    <n v="7.3294309128808433"/>
    <n v="2024"/>
    <x v="1"/>
    <n v="8"/>
  </r>
  <r>
    <s v="CAMP2425"/>
    <x v="4"/>
    <x v="2"/>
    <d v="2024-02-21T00:00:00"/>
    <n v="141654"/>
    <n v="4565"/>
    <n v="590"/>
    <n v="3373.43"/>
    <n v="63576.84"/>
    <n v="3.2226410832027333E-2"/>
    <n v="0.12924424972617743"/>
    <n v="5.7176779661016948"/>
    <n v="18.846349264694982"/>
    <n v="2024"/>
    <x v="9"/>
    <n v="2"/>
  </r>
  <r>
    <s v="CAMP2426"/>
    <x v="4"/>
    <x v="0"/>
    <d v="2024-05-05T00:00:00"/>
    <n v="40880"/>
    <n v="2086"/>
    <n v="278"/>
    <n v="1257.01"/>
    <n v="10999.86"/>
    <n v="5.1027397260273971E-2"/>
    <n v="0.13326941514860979"/>
    <n v="4.5216187050359711"/>
    <n v="8.7508134382383602"/>
    <n v="2024"/>
    <x v="8"/>
    <n v="5"/>
  </r>
  <r>
    <s v="CAMP2427"/>
    <x v="6"/>
    <x v="4"/>
    <d v="2024-09-05T00:00:00"/>
    <n v="54048"/>
    <n v="3315"/>
    <n v="188"/>
    <n v="1153.1500000000001"/>
    <n v="20226.240000000002"/>
    <n v="6.1334369449378333E-2"/>
    <n v="5.6711915535444947E-2"/>
    <n v="6.1337765957446813"/>
    <n v="17.539990460911415"/>
    <n v="2024"/>
    <x v="11"/>
    <n v="9"/>
  </r>
  <r>
    <s v="CAMP2428"/>
    <x v="1"/>
    <x v="0"/>
    <d v="2024-08-10T00:00:00"/>
    <n v="22632"/>
    <n v="1003"/>
    <n v="99"/>
    <n v="3607.95"/>
    <n v="2364.25"/>
    <n v="4.4317780134323081E-2"/>
    <n v="9.8703888334995021E-2"/>
    <n v="36.443939393939395"/>
    <n v="0.65528901453734123"/>
    <n v="2024"/>
    <x v="1"/>
    <n v="8"/>
  </r>
  <r>
    <s v="CAMP2429"/>
    <x v="5"/>
    <x v="1"/>
    <d v="2024-07-13T00:00:00"/>
    <n v="66529"/>
    <n v="3635"/>
    <n v="301"/>
    <n v="3353.32"/>
    <n v="11439.94"/>
    <n v="5.463782711298832E-2"/>
    <n v="8.2806052269601096E-2"/>
    <n v="11.140598006644518"/>
    <n v="3.4115264871828517"/>
    <n v="2024"/>
    <x v="10"/>
    <n v="7"/>
  </r>
  <r>
    <s v="CAMP2430"/>
    <x v="5"/>
    <x v="4"/>
    <d v="2024-05-29T00:00:00"/>
    <n v="132155"/>
    <n v="5856"/>
    <n v="596"/>
    <n v="3069.64"/>
    <n v="44307.43"/>
    <n v="4.4311603798569861E-2"/>
    <n v="0.10177595628415301"/>
    <n v="5.1504026845637583"/>
    <n v="14.434080217875712"/>
    <n v="2024"/>
    <x v="8"/>
    <n v="5"/>
  </r>
  <r>
    <s v="CAMP2431"/>
    <x v="5"/>
    <x v="0"/>
    <d v="2024-04-22T00:00:00"/>
    <n v="34456"/>
    <n v="2667"/>
    <n v="364"/>
    <n v="3866.9"/>
    <n v="22553.22"/>
    <n v="7.740306477826793E-2"/>
    <n v="0.13648293963254593"/>
    <n v="10.623351648351649"/>
    <n v="5.8323773565388297"/>
    <n v="2024"/>
    <x v="7"/>
    <n v="4"/>
  </r>
  <r>
    <s v="CAMP2432"/>
    <x v="6"/>
    <x v="3"/>
    <d v="2024-05-06T00:00:00"/>
    <n v="116375"/>
    <n v="2107"/>
    <n v="169"/>
    <n v="1730.75"/>
    <n v="5298.76"/>
    <n v="1.8105263157894735E-2"/>
    <n v="8.0208827717133363E-2"/>
    <n v="10.241124260355029"/>
    <n v="3.0615397948866101"/>
    <n v="2024"/>
    <x v="8"/>
    <n v="5"/>
  </r>
  <r>
    <s v="CAMP2433"/>
    <x v="3"/>
    <x v="4"/>
    <d v="2025-01-31T00:00:00"/>
    <n v="131809"/>
    <n v="9069"/>
    <n v="1200"/>
    <n v="3085.08"/>
    <n v="106466.63"/>
    <n v="6.8804102906478315E-2"/>
    <n v="0.13231888852133641"/>
    <n v="2.5709"/>
    <n v="34.510168293852999"/>
    <n v="2025"/>
    <x v="0"/>
    <n v="1"/>
  </r>
  <r>
    <s v="CAMP2434"/>
    <x v="4"/>
    <x v="3"/>
    <d v="2024-05-17T00:00:00"/>
    <n v="138034"/>
    <n v="3458"/>
    <n v="451"/>
    <n v="2163.23"/>
    <n v="34377.800000000003"/>
    <n v="2.5051798832171783E-2"/>
    <n v="0.1304222093695778"/>
    <n v="4.7965188470066522"/>
    <n v="15.891883895840943"/>
    <n v="2024"/>
    <x v="8"/>
    <n v="5"/>
  </r>
  <r>
    <s v="CAMP2435"/>
    <x v="7"/>
    <x v="3"/>
    <d v="2024-12-11T00:00:00"/>
    <n v="88261"/>
    <n v="3423"/>
    <n v="428"/>
    <n v="2240.96"/>
    <n v="19717.93"/>
    <n v="3.8782701306352751E-2"/>
    <n v="0.12503651767455448"/>
    <n v="5.2358878504672894"/>
    <n v="8.7988763744109662"/>
    <n v="2024"/>
    <x v="4"/>
    <n v="12"/>
  </r>
  <r>
    <s v="CAMP2436"/>
    <x v="4"/>
    <x v="3"/>
    <d v="2024-09-05T00:00:00"/>
    <n v="62395"/>
    <n v="2108"/>
    <n v="266"/>
    <n v="1680.85"/>
    <n v="16220.99"/>
    <n v="3.3784758394102089E-2"/>
    <n v="0.12618595825426945"/>
    <n v="6.3189849624060148"/>
    <n v="9.6504685129547561"/>
    <n v="2024"/>
    <x v="11"/>
    <n v="9"/>
  </r>
  <r>
    <s v="CAMP2437"/>
    <x v="2"/>
    <x v="1"/>
    <d v="2024-04-15T00:00:00"/>
    <n v="33918"/>
    <n v="2589"/>
    <n v="258"/>
    <n v="1782.48"/>
    <n v="20768"/>
    <n v="7.6331151600919869E-2"/>
    <n v="9.9652375434530704E-2"/>
    <n v="6.9088372093023258"/>
    <n v="11.651182621964903"/>
    <n v="2024"/>
    <x v="7"/>
    <n v="4"/>
  </r>
  <r>
    <s v="CAMP2438"/>
    <x v="4"/>
    <x v="0"/>
    <d v="2025-02-14T00:00:00"/>
    <n v="104401"/>
    <n v="1703"/>
    <n v="190"/>
    <n v="4578.7"/>
    <n v="18370"/>
    <n v="1.6312104290188791E-2"/>
    <n v="0.11156782149148561"/>
    <n v="24.098421052631579"/>
    <n v="4.0120558237054187"/>
    <n v="2025"/>
    <x v="9"/>
    <n v="2"/>
  </r>
  <r>
    <s v="CAMP2439"/>
    <x v="0"/>
    <x v="0"/>
    <d v="2024-09-22T00:00:00"/>
    <n v="60171"/>
    <n v="2126"/>
    <n v="97"/>
    <n v="953.57"/>
    <n v="7136.28"/>
    <n v="3.5332635322663744E-2"/>
    <n v="4.5625587958607716E-2"/>
    <n v="9.8306185567010314"/>
    <n v="7.4837505374539877"/>
    <n v="2024"/>
    <x v="11"/>
    <n v="9"/>
  </r>
  <r>
    <s v="CAMP2440"/>
    <x v="1"/>
    <x v="3"/>
    <d v="2025-02-14T00:00:00"/>
    <n v="47311"/>
    <n v="3488"/>
    <n v="220"/>
    <n v="1234.95"/>
    <n v="20533.36"/>
    <n v="7.372492654985098E-2"/>
    <n v="6.3073394495412841E-2"/>
    <n v="5.6134090909090908"/>
    <n v="16.626875582007369"/>
    <n v="2025"/>
    <x v="9"/>
    <n v="2"/>
  </r>
  <r>
    <s v="CAMP2441"/>
    <x v="4"/>
    <x v="0"/>
    <d v="2024-01-11T00:00:00"/>
    <n v="143033"/>
    <n v="2456"/>
    <n v="176"/>
    <n v="2527.52"/>
    <n v="6282.24"/>
    <n v="1.7170862668055623E-2"/>
    <n v="7.1661237785016291E-2"/>
    <n v="14.360909090909091"/>
    <n v="2.4855352282078873"/>
    <n v="2024"/>
    <x v="0"/>
    <n v="1"/>
  </r>
  <r>
    <s v="CAMP2442"/>
    <x v="5"/>
    <x v="0"/>
    <d v="2024-04-27T00:00:00"/>
    <n v="69830"/>
    <n v="863"/>
    <n v="101"/>
    <n v="4102.38"/>
    <n v="5836.35"/>
    <n v="1.2358585135328655E-2"/>
    <n v="0.11703360370799537"/>
    <n v="40.61762376237624"/>
    <n v="1.4226741550027058"/>
    <n v="2024"/>
    <x v="7"/>
    <n v="4"/>
  </r>
  <r>
    <s v="CAMP2443"/>
    <x v="3"/>
    <x v="4"/>
    <d v="2025-02-22T00:00:00"/>
    <n v="75778"/>
    <n v="5330"/>
    <n v="159"/>
    <n v="2621.65"/>
    <n v="14365.48"/>
    <n v="7.0337037134788463E-2"/>
    <n v="2.9831144465290806E-2"/>
    <n v="16.488364779874214"/>
    <n v="5.479556767684473"/>
    <n v="2025"/>
    <x v="9"/>
    <n v="2"/>
  </r>
  <r>
    <s v="CAMP2444"/>
    <x v="3"/>
    <x v="0"/>
    <d v="2024-01-08T00:00:00"/>
    <n v="147002"/>
    <n v="7694"/>
    <n v="305"/>
    <n v="3732.19"/>
    <n v="30274.91"/>
    <n v="5.2339423953415599E-2"/>
    <n v="3.9641278918637897E-2"/>
    <n v="12.236688524590164"/>
    <n v="8.1118351423694932"/>
    <n v="2024"/>
    <x v="0"/>
    <n v="1"/>
  </r>
  <r>
    <s v="CAMP2445"/>
    <x v="1"/>
    <x v="1"/>
    <d v="2024-06-08T00:00:00"/>
    <n v="89863"/>
    <n v="3573"/>
    <n v="416"/>
    <n v="1650.34"/>
    <n v="27410.47"/>
    <n v="3.9760524353738468E-2"/>
    <n v="0.11642877134061014"/>
    <n v="3.9671634615384614"/>
    <n v="16.6089836033787"/>
    <n v="2024"/>
    <x v="2"/>
    <n v="6"/>
  </r>
  <r>
    <s v="CAMP2446"/>
    <x v="0"/>
    <x v="3"/>
    <d v="2024-12-01T00:00:00"/>
    <n v="128574"/>
    <n v="4675"/>
    <n v="354"/>
    <n v="1266.81"/>
    <n v="21464.11"/>
    <n v="3.636038390343304E-2"/>
    <n v="7.5721925133689846E-2"/>
    <n v="3.578559322033898"/>
    <n v="16.943432716824152"/>
    <n v="2024"/>
    <x v="4"/>
    <n v="12"/>
  </r>
  <r>
    <s v="CAMP2447"/>
    <x v="5"/>
    <x v="2"/>
    <d v="2024-05-25T00:00:00"/>
    <n v="144776"/>
    <n v="6581"/>
    <n v="458"/>
    <n v="4967.1400000000003"/>
    <n v="42482.13"/>
    <n v="4.5456429242415872E-2"/>
    <n v="6.9594286582586234E-2"/>
    <n v="10.84528384279476"/>
    <n v="8.5526339100568922"/>
    <n v="2024"/>
    <x v="8"/>
    <n v="5"/>
  </r>
  <r>
    <s v="CAMP2448"/>
    <x v="7"/>
    <x v="1"/>
    <d v="2024-12-31T00:00:00"/>
    <n v="33391"/>
    <n v="1391"/>
    <n v="132"/>
    <n v="319.48"/>
    <n v="12819.92"/>
    <n v="4.1657931778024015E-2"/>
    <n v="9.4895758447160319E-2"/>
    <n v="2.4203030303030304"/>
    <n v="40.127457117816448"/>
    <n v="2024"/>
    <x v="4"/>
    <n v="12"/>
  </r>
  <r>
    <s v="CAMP2449"/>
    <x v="6"/>
    <x v="3"/>
    <d v="2024-09-01T00:00:00"/>
    <n v="33560"/>
    <n v="1845"/>
    <n v="116"/>
    <n v="4086.47"/>
    <n v="13639.48"/>
    <n v="5.4976162097735398E-2"/>
    <n v="6.2872628726287266E-2"/>
    <n v="35.228189655172415"/>
    <n v="3.337716904810264"/>
    <n v="2024"/>
    <x v="11"/>
    <n v="9"/>
  </r>
  <r>
    <s v="CAMP2450"/>
    <x v="0"/>
    <x v="1"/>
    <d v="2024-03-27T00:00:00"/>
    <n v="59442"/>
    <n v="4192"/>
    <n v="350"/>
    <n v="1399.85"/>
    <n v="11946.57"/>
    <n v="7.0522526159954246E-2"/>
    <n v="8.3492366412213734E-2"/>
    <n v="3.9995714285714281"/>
    <n v="8.5341786619994995"/>
    <n v="2024"/>
    <x v="6"/>
    <n v="3"/>
  </r>
  <r>
    <s v="CAMP2451"/>
    <x v="6"/>
    <x v="1"/>
    <d v="2025-01-05T00:00:00"/>
    <n v="65930"/>
    <n v="931"/>
    <n v="78"/>
    <n v="2176.92"/>
    <n v="7335.99"/>
    <n v="1.4121037463976945E-2"/>
    <n v="8.3780880773361974E-2"/>
    <n v="27.909230769230771"/>
    <n v="3.3698941623945755"/>
    <n v="2025"/>
    <x v="0"/>
    <n v="1"/>
  </r>
  <r>
    <s v="CAMP2452"/>
    <x v="2"/>
    <x v="0"/>
    <d v="2024-06-13T00:00:00"/>
    <n v="111570"/>
    <n v="7921"/>
    <n v="434"/>
    <n v="1204.28"/>
    <n v="33088.57"/>
    <n v="7.0995787398046073E-2"/>
    <n v="5.4791061734629463E-2"/>
    <n v="2.7748387096774194"/>
    <n v="27.475811273125853"/>
    <n v="2024"/>
    <x v="2"/>
    <n v="6"/>
  </r>
  <r>
    <s v="CAMP2453"/>
    <x v="6"/>
    <x v="1"/>
    <d v="2024-09-12T00:00:00"/>
    <n v="87055"/>
    <n v="6717"/>
    <n v="340"/>
    <n v="2414.59"/>
    <n v="23221.88"/>
    <n v="7.7158118430877026E-2"/>
    <n v="5.0617835343159147E-2"/>
    <n v="7.1017352941176473"/>
    <n v="9.617318053996744"/>
    <n v="2024"/>
    <x v="11"/>
    <n v="9"/>
  </r>
  <r>
    <s v="CAMP2454"/>
    <x v="0"/>
    <x v="0"/>
    <d v="2024-08-05T00:00:00"/>
    <n v="25317"/>
    <n v="918"/>
    <n v="108"/>
    <n v="978.05"/>
    <n v="10240.01"/>
    <n v="3.6260220405261286E-2"/>
    <n v="0.11764705882352941"/>
    <n v="9.0560185185185187"/>
    <n v="10.469822606206227"/>
    <n v="2024"/>
    <x v="1"/>
    <n v="8"/>
  </r>
  <r>
    <s v="CAMP2455"/>
    <x v="2"/>
    <x v="4"/>
    <d v="2024-08-12T00:00:00"/>
    <n v="34796"/>
    <n v="443"/>
    <n v="33"/>
    <n v="1019.47"/>
    <n v="3310.41"/>
    <n v="1.2731348430854121E-2"/>
    <n v="7.4492099322799099E-2"/>
    <n v="30.893030303030304"/>
    <n v="3.2471872639704942"/>
    <n v="2024"/>
    <x v="1"/>
    <n v="8"/>
  </r>
  <r>
    <s v="CAMP2456"/>
    <x v="6"/>
    <x v="4"/>
    <d v="2025-01-18T00:00:00"/>
    <n v="148415"/>
    <n v="5828"/>
    <n v="123"/>
    <n v="764.4"/>
    <n v="14707.66"/>
    <n v="3.9268268032206989E-2"/>
    <n v="2.1105010295126972E-2"/>
    <n v="6.2146341463414636"/>
    <n v="19.240790162218733"/>
    <n v="2025"/>
    <x v="0"/>
    <n v="1"/>
  </r>
  <r>
    <s v="CAMP2457"/>
    <x v="5"/>
    <x v="1"/>
    <d v="2024-06-14T00:00:00"/>
    <n v="102421"/>
    <n v="5066"/>
    <n v="210"/>
    <n v="1592.94"/>
    <n v="18585.5"/>
    <n v="4.9462512570664217E-2"/>
    <n v="4.1452822739834187E-2"/>
    <n v="7.5854285714285714"/>
    <n v="11.667419990709003"/>
    <n v="2024"/>
    <x v="2"/>
    <n v="6"/>
  </r>
  <r>
    <s v="CAMP2458"/>
    <x v="7"/>
    <x v="1"/>
    <d v="2024-11-05T00:00:00"/>
    <n v="70860"/>
    <n v="3050"/>
    <n v="144"/>
    <n v="1784.85"/>
    <n v="13633.41"/>
    <n v="4.3042619249223819E-2"/>
    <n v="4.7213114754098361E-2"/>
    <n v="12.394791666666666"/>
    <n v="7.6384065887889738"/>
    <n v="2024"/>
    <x v="5"/>
    <n v="11"/>
  </r>
  <r>
    <s v="CAMP2459"/>
    <x v="2"/>
    <x v="4"/>
    <d v="2024-09-25T00:00:00"/>
    <n v="129222"/>
    <n v="1381"/>
    <n v="102"/>
    <n v="921.68"/>
    <n v="2723.89"/>
    <n v="1.0687034715450929E-2"/>
    <n v="7.3859522085445328E-2"/>
    <n v="9.0360784313725482"/>
    <n v="2.9553532679454908"/>
    <n v="2024"/>
    <x v="11"/>
    <n v="9"/>
  </r>
  <r>
    <s v="CAMP2460"/>
    <x v="4"/>
    <x v="3"/>
    <d v="2024-12-25T00:00:00"/>
    <n v="54197"/>
    <n v="1297"/>
    <n v="41"/>
    <n v="2401.25"/>
    <n v="1208.33"/>
    <n v="2.3931213904828681E-2"/>
    <n v="3.1611410948342328E-2"/>
    <n v="58.56707317073171"/>
    <n v="0.50320874544508065"/>
    <n v="2024"/>
    <x v="4"/>
    <n v="12"/>
  </r>
  <r>
    <s v="CAMP2461"/>
    <x v="6"/>
    <x v="1"/>
    <d v="2024-03-21T00:00:00"/>
    <n v="22503"/>
    <n v="777"/>
    <n v="72"/>
    <n v="1284.94"/>
    <n v="5967.52"/>
    <n v="3.4528729502732967E-2"/>
    <n v="9.2664092664092659E-2"/>
    <n v="17.846388888888889"/>
    <n v="4.6442012856631436"/>
    <n v="2024"/>
    <x v="6"/>
    <n v="3"/>
  </r>
  <r>
    <s v="CAMP2462"/>
    <x v="1"/>
    <x v="3"/>
    <d v="2024-05-25T00:00:00"/>
    <n v="116716"/>
    <n v="5942"/>
    <n v="355"/>
    <n v="3197.6"/>
    <n v="21416.03"/>
    <n v="5.0909900956167105E-2"/>
    <n v="5.9744193874116461E-2"/>
    <n v="9.0073239436619712"/>
    <n v="6.6975325243932948"/>
    <n v="2024"/>
    <x v="8"/>
    <n v="5"/>
  </r>
  <r>
    <s v="CAMP2463"/>
    <x v="5"/>
    <x v="1"/>
    <d v="2024-10-04T00:00:00"/>
    <n v="58107"/>
    <n v="896"/>
    <n v="35"/>
    <n v="3707.16"/>
    <n v="1679.95"/>
    <n v="1.5419828936272738E-2"/>
    <n v="3.90625E-2"/>
    <n v="105.91885714285714"/>
    <n v="0.45316360772127456"/>
    <n v="2024"/>
    <x v="3"/>
    <n v="10"/>
  </r>
  <r>
    <s v="CAMP2464"/>
    <x v="5"/>
    <x v="1"/>
    <d v="2024-02-22T00:00:00"/>
    <n v="38214"/>
    <n v="2513"/>
    <n v="242"/>
    <n v="3877.06"/>
    <n v="12829.88"/>
    <n v="6.5761239336368876E-2"/>
    <n v="9.6299243931555908E-2"/>
    <n v="16.02090909090909"/>
    <n v="3.3091775726968371"/>
    <n v="2024"/>
    <x v="9"/>
    <n v="2"/>
  </r>
  <r>
    <s v="CAMP2465"/>
    <x v="5"/>
    <x v="1"/>
    <d v="2024-12-08T00:00:00"/>
    <n v="129100"/>
    <n v="3182"/>
    <n v="64"/>
    <n v="1312.79"/>
    <n v="2665.24"/>
    <n v="2.4647560030983732E-2"/>
    <n v="2.011313639220616E-2"/>
    <n v="20.512343749999999"/>
    <n v="2.0302104677823567"/>
    <n v="2024"/>
    <x v="4"/>
    <n v="12"/>
  </r>
  <r>
    <s v="CAMP2466"/>
    <x v="2"/>
    <x v="4"/>
    <d v="2024-03-25T00:00:00"/>
    <n v="129640"/>
    <n v="9233"/>
    <n v="572"/>
    <n v="4500.58"/>
    <n v="14425.22"/>
    <n v="7.1220302375809938E-2"/>
    <n v="6.1951695007039967E-2"/>
    <n v="7.868146853146853"/>
    <n v="3.2051913308951292"/>
    <n v="2024"/>
    <x v="6"/>
    <n v="3"/>
  </r>
  <r>
    <s v="CAMP2467"/>
    <x v="6"/>
    <x v="2"/>
    <d v="2024-12-06T00:00:00"/>
    <n v="128650"/>
    <n v="4232"/>
    <n v="359"/>
    <n v="763.02"/>
    <n v="27289.21"/>
    <n v="3.2895452778857366E-2"/>
    <n v="8.4829867674858228E-2"/>
    <n v="2.1254038997214484"/>
    <n v="35.764737490498284"/>
    <n v="2024"/>
    <x v="4"/>
    <n v="12"/>
  </r>
  <r>
    <s v="CAMP2468"/>
    <x v="3"/>
    <x v="2"/>
    <d v="2024-12-27T00:00:00"/>
    <n v="129381"/>
    <n v="4508"/>
    <n v="581"/>
    <n v="1721.47"/>
    <n v="16163.4"/>
    <n v="3.4842828545149598E-2"/>
    <n v="0.12888198757763975"/>
    <n v="2.9629432013769366"/>
    <n v="9.3893010043741683"/>
    <n v="2024"/>
    <x v="4"/>
    <n v="12"/>
  </r>
  <r>
    <s v="CAMP2469"/>
    <x v="1"/>
    <x v="4"/>
    <d v="2024-11-20T00:00:00"/>
    <n v="77807"/>
    <n v="4652"/>
    <n v="600"/>
    <n v="2890.33"/>
    <n v="41405.61"/>
    <n v="5.9788965003148814E-2"/>
    <n v="0.12897678417884781"/>
    <n v="4.8172166666666669"/>
    <n v="14.325564900893671"/>
    <n v="2024"/>
    <x v="5"/>
    <n v="11"/>
  </r>
  <r>
    <s v="CAMP2470"/>
    <x v="5"/>
    <x v="0"/>
    <d v="2024-10-12T00:00:00"/>
    <n v="119141"/>
    <n v="6629"/>
    <n v="285"/>
    <n v="4357.46"/>
    <n v="30078.11"/>
    <n v="5.5639956018499089E-2"/>
    <n v="4.2992909941167598E-2"/>
    <n v="15.289333333333333"/>
    <n v="6.9026703630096433"/>
    <n v="2024"/>
    <x v="3"/>
    <n v="10"/>
  </r>
  <r>
    <s v="CAMP2471"/>
    <x v="7"/>
    <x v="2"/>
    <d v="2024-04-19T00:00:00"/>
    <n v="55065"/>
    <n v="2024"/>
    <n v="87"/>
    <n v="3788.62"/>
    <n v="1832.85"/>
    <n v="3.6756560428584398E-2"/>
    <n v="4.298418972332016E-2"/>
    <n v="43.547356321839082"/>
    <n v="0.48377773437293792"/>
    <n v="2024"/>
    <x v="7"/>
    <n v="4"/>
  </r>
  <r>
    <s v="CAMP2472"/>
    <x v="6"/>
    <x v="3"/>
    <d v="2024-09-26T00:00:00"/>
    <n v="56088"/>
    <n v="582"/>
    <n v="35"/>
    <n v="651.72"/>
    <n v="1991.04"/>
    <n v="1.0376551133932392E-2"/>
    <n v="6.0137457044673541E-2"/>
    <n v="18.620571428571431"/>
    <n v="3.0550543178051921"/>
    <n v="2024"/>
    <x v="11"/>
    <n v="9"/>
  </r>
  <r>
    <s v="CAMP2473"/>
    <x v="5"/>
    <x v="1"/>
    <d v="2024-01-07T00:00:00"/>
    <n v="76572"/>
    <n v="945"/>
    <n v="52"/>
    <n v="2497.9299999999998"/>
    <n v="1268.3699999999999"/>
    <n v="1.234132581100141E-2"/>
    <n v="5.5026455026455028E-2"/>
    <n v="48.037115384615383"/>
    <n v="0.50776843226191282"/>
    <n v="2024"/>
    <x v="0"/>
    <n v="1"/>
  </r>
  <r>
    <s v="CAMP2474"/>
    <x v="5"/>
    <x v="3"/>
    <d v="2024-11-16T00:00:00"/>
    <n v="20001"/>
    <n v="1559"/>
    <n v="198"/>
    <n v="4343.29"/>
    <n v="22325.98"/>
    <n v="7.7946102694865252E-2"/>
    <n v="0.12700449005772932"/>
    <n v="21.93580808080808"/>
    <n v="5.1403383149640023"/>
    <n v="2024"/>
    <x v="5"/>
    <n v="11"/>
  </r>
  <r>
    <s v="CAMP2475"/>
    <x v="6"/>
    <x v="2"/>
    <d v="2024-03-29T00:00:00"/>
    <n v="129111"/>
    <n v="8068"/>
    <n v="840"/>
    <n v="2818.82"/>
    <n v="25526.53"/>
    <n v="6.2488866169420114E-2"/>
    <n v="0.10411502231036192"/>
    <n v="3.3557380952380953"/>
    <n v="9.0557502784853234"/>
    <n v="2024"/>
    <x v="6"/>
    <n v="3"/>
  </r>
  <r>
    <s v="CAMP2476"/>
    <x v="7"/>
    <x v="0"/>
    <d v="2024-11-09T00:00:00"/>
    <n v="45158"/>
    <n v="2682"/>
    <n v="115"/>
    <n v="4284.53"/>
    <n v="3252.48"/>
    <n v="5.9391469949953493E-2"/>
    <n v="4.2878448918717373E-2"/>
    <n v="37.256782608695652"/>
    <n v="0.75912177064928943"/>
    <n v="2024"/>
    <x v="5"/>
    <n v="11"/>
  </r>
  <r>
    <s v="CAMP2477"/>
    <x v="0"/>
    <x v="0"/>
    <d v="2024-08-15T00:00:00"/>
    <n v="21338"/>
    <n v="682"/>
    <n v="89"/>
    <n v="1531.9"/>
    <n v="9367.93"/>
    <n v="3.1961758365357577E-2"/>
    <n v="0.13049853372434017"/>
    <n v="17.2123595505618"/>
    <n v="6.1152359814609305"/>
    <n v="2024"/>
    <x v="1"/>
    <n v="8"/>
  </r>
  <r>
    <s v="CAMP2478"/>
    <x v="4"/>
    <x v="3"/>
    <d v="2024-12-10T00:00:00"/>
    <n v="87963"/>
    <n v="6407"/>
    <n v="269"/>
    <n v="4934.1000000000004"/>
    <n v="24805.45"/>
    <n v="7.2837443015813463E-2"/>
    <n v="4.1985328546901825E-2"/>
    <n v="18.342379182156137"/>
    <n v="5.0273504793174029"/>
    <n v="2024"/>
    <x v="4"/>
    <n v="12"/>
  </r>
  <r>
    <s v="CAMP2479"/>
    <x v="7"/>
    <x v="1"/>
    <d v="2024-01-08T00:00:00"/>
    <n v="110689"/>
    <n v="4333"/>
    <n v="462"/>
    <n v="495.12"/>
    <n v="18153.830000000002"/>
    <n v="3.9145714569650103E-2"/>
    <n v="0.10662358642972536"/>
    <n v="1.0716883116883118"/>
    <n v="36.665515430602689"/>
    <n v="2024"/>
    <x v="0"/>
    <n v="1"/>
  </r>
  <r>
    <s v="CAMP2480"/>
    <x v="2"/>
    <x v="3"/>
    <d v="2024-02-12T00:00:00"/>
    <n v="50242"/>
    <n v="2061"/>
    <n v="115"/>
    <n v="1153.68"/>
    <n v="8112.86"/>
    <n v="4.1021456152223239E-2"/>
    <n v="5.5798156234837457E-2"/>
    <n v="10.032"/>
    <n v="7.0321579640801604"/>
    <n v="2024"/>
    <x v="9"/>
    <n v="2"/>
  </r>
  <r>
    <s v="CAMP2481"/>
    <x v="2"/>
    <x v="0"/>
    <d v="2024-06-08T00:00:00"/>
    <n v="76765"/>
    <n v="3779"/>
    <n v="133"/>
    <n v="2438.0100000000002"/>
    <n v="13780.2"/>
    <n v="4.9228163876766755E-2"/>
    <n v="3.5194495898385816E-2"/>
    <n v="18.330902255639099"/>
    <n v="5.652232763606384"/>
    <n v="2024"/>
    <x v="2"/>
    <n v="6"/>
  </r>
  <r>
    <s v="CAMP2482"/>
    <x v="0"/>
    <x v="1"/>
    <d v="2024-08-25T00:00:00"/>
    <n v="28111"/>
    <n v="509"/>
    <n v="16"/>
    <n v="3701.84"/>
    <n v="617.04999999999995"/>
    <n v="1.8106790935932555E-2"/>
    <n v="3.1434184675834968E-2"/>
    <n v="231.36500000000001"/>
    <n v="0.16668737708815073"/>
    <n v="2024"/>
    <x v="1"/>
    <n v="8"/>
  </r>
  <r>
    <s v="CAMP2483"/>
    <x v="4"/>
    <x v="4"/>
    <d v="2025-02-07T00:00:00"/>
    <n v="7736"/>
    <n v="195"/>
    <n v="13"/>
    <n v="590.12"/>
    <n v="1201.56"/>
    <n v="2.5206825232678386E-2"/>
    <n v="6.6666666666666666E-2"/>
    <n v="45.393846153846155"/>
    <n v="2.0361282451026907"/>
    <n v="2025"/>
    <x v="9"/>
    <n v="2"/>
  </r>
  <r>
    <s v="CAMP2484"/>
    <x v="1"/>
    <x v="3"/>
    <d v="2024-12-14T00:00:00"/>
    <n v="55092"/>
    <n v="3433"/>
    <n v="398"/>
    <n v="1690.34"/>
    <n v="23056.560000000001"/>
    <n v="6.2313947578595805E-2"/>
    <n v="0.11593358578502767"/>
    <n v="4.2470854271356782"/>
    <n v="13.640190730858881"/>
    <n v="2024"/>
    <x v="4"/>
    <n v="12"/>
  </r>
  <r>
    <s v="CAMP2485"/>
    <x v="5"/>
    <x v="4"/>
    <d v="2024-05-22T00:00:00"/>
    <n v="41811"/>
    <n v="2071"/>
    <n v="152"/>
    <n v="4209.32"/>
    <n v="7186.55"/>
    <n v="4.9532419698165554E-2"/>
    <n v="7.3394495412844041E-2"/>
    <n v="27.692894736842103"/>
    <n v="1.7072947649501584"/>
    <n v="2024"/>
    <x v="8"/>
    <n v="5"/>
  </r>
  <r>
    <s v="CAMP2486"/>
    <x v="1"/>
    <x v="4"/>
    <d v="2024-05-31T00:00:00"/>
    <n v="72988"/>
    <n v="4293"/>
    <n v="233"/>
    <n v="2551.4499999999998"/>
    <n v="18143.62"/>
    <n v="5.8817887871978954E-2"/>
    <n v="5.4274400186349873E-2"/>
    <n v="10.950429184549355"/>
    <n v="7.1111015305022631"/>
    <n v="2024"/>
    <x v="8"/>
    <n v="5"/>
  </r>
  <r>
    <s v="CAMP2487"/>
    <x v="7"/>
    <x v="1"/>
    <d v="2024-08-18T00:00:00"/>
    <n v="49688"/>
    <n v="624"/>
    <n v="80"/>
    <n v="2051.27"/>
    <n v="5903.59"/>
    <n v="1.2558364192561584E-2"/>
    <n v="0.12820512820512819"/>
    <n v="25.640875000000001"/>
    <n v="2.878017033350071"/>
    <n v="2024"/>
    <x v="1"/>
    <n v="8"/>
  </r>
  <r>
    <s v="CAMP2488"/>
    <x v="1"/>
    <x v="2"/>
    <d v="2024-06-26T00:00:00"/>
    <n v="80678"/>
    <n v="1978"/>
    <n v="219"/>
    <n v="2618.0700000000002"/>
    <n v="22553.88"/>
    <n v="2.4517216589404794E-2"/>
    <n v="0.11071789686552073"/>
    <n v="11.954657534246577"/>
    <n v="8.6146970860213816"/>
    <n v="2024"/>
    <x v="2"/>
    <n v="6"/>
  </r>
  <r>
    <s v="CAMP2489"/>
    <x v="5"/>
    <x v="0"/>
    <d v="2024-09-19T00:00:00"/>
    <n v="60239"/>
    <n v="1691"/>
    <n v="136"/>
    <n v="350.95"/>
    <n v="4288.0600000000004"/>
    <n v="2.8071515131393283E-2"/>
    <n v="8.0425783560023653E-2"/>
    <n v="2.580514705882353"/>
    <n v="12.218435674597522"/>
    <n v="2024"/>
    <x v="11"/>
    <n v="9"/>
  </r>
  <r>
    <s v="CAMP2490"/>
    <x v="2"/>
    <x v="2"/>
    <d v="2024-03-12T00:00:00"/>
    <n v="127485"/>
    <n v="6511"/>
    <n v="445"/>
    <n v="2013.97"/>
    <n v="35083.39"/>
    <n v="5.1072675216692162E-2"/>
    <n v="6.8345876209491632E-2"/>
    <n v="4.525775280898876"/>
    <n v="17.420016186934262"/>
    <n v="2024"/>
    <x v="6"/>
    <n v="3"/>
  </r>
  <r>
    <s v="CAMP2491"/>
    <x v="4"/>
    <x v="3"/>
    <d v="2024-12-25T00:00:00"/>
    <n v="32423"/>
    <n v="1752"/>
    <n v="233"/>
    <n v="237.91"/>
    <n v="14478.8"/>
    <n v="5.4035715387225118E-2"/>
    <n v="0.13299086757990869"/>
    <n v="1.0210729613733907"/>
    <n v="60.858307763439953"/>
    <n v="2024"/>
    <x v="4"/>
    <n v="12"/>
  </r>
  <r>
    <s v="CAMP2492"/>
    <x v="7"/>
    <x v="3"/>
    <d v="2024-11-27T00:00:00"/>
    <n v="31268"/>
    <n v="722"/>
    <n v="48"/>
    <n v="981.18"/>
    <n v="3584.53"/>
    <n v="2.3090699756940003E-2"/>
    <n v="6.6481994459833799E-2"/>
    <n v="20.44125"/>
    <n v="3.6532848203183925"/>
    <n v="2024"/>
    <x v="5"/>
    <n v="11"/>
  </r>
  <r>
    <s v="CAMP2493"/>
    <x v="4"/>
    <x v="2"/>
    <d v="2025-02-18T00:00:00"/>
    <n v="124654"/>
    <n v="6425"/>
    <n v="708"/>
    <n v="3708.58"/>
    <n v="47688.9"/>
    <n v="5.1542670110866877E-2"/>
    <n v="0.11019455252918288"/>
    <n v="5.2381073446327679"/>
    <n v="12.859072744824164"/>
    <n v="2025"/>
    <x v="9"/>
    <n v="2"/>
  </r>
  <r>
    <s v="CAMP2494"/>
    <x v="1"/>
    <x v="3"/>
    <d v="2025-01-05T00:00:00"/>
    <n v="102836"/>
    <n v="5354"/>
    <n v="442"/>
    <n v="2125.5300000000002"/>
    <n v="10613.7"/>
    <n v="5.2063479715274807E-2"/>
    <n v="8.2555098991408296E-2"/>
    <n v="4.8088914027149325"/>
    <n v="4.9934369310242621"/>
    <n v="2025"/>
    <x v="0"/>
    <n v="1"/>
  </r>
  <r>
    <s v="CAMP2495"/>
    <x v="1"/>
    <x v="1"/>
    <d v="2024-02-25T00:00:00"/>
    <n v="115358"/>
    <n v="4592"/>
    <n v="252"/>
    <n v="2971.94"/>
    <n v="19985.52"/>
    <n v="3.9806515369545242E-2"/>
    <n v="5.4878048780487805E-2"/>
    <n v="11.793412698412698"/>
    <n v="6.7247387228544317"/>
    <n v="2024"/>
    <x v="9"/>
    <n v="2"/>
  </r>
  <r>
    <s v="CAMP2496"/>
    <x v="2"/>
    <x v="1"/>
    <d v="2024-03-26T00:00:00"/>
    <n v="83795"/>
    <n v="6038"/>
    <n v="878"/>
    <n v="4725.66"/>
    <n v="34984.980000000003"/>
    <n v="7.2056805298645499E-2"/>
    <n v="0.14541238820801589"/>
    <n v="5.3823006833712981"/>
    <n v="7.4031944744226212"/>
    <n v="2024"/>
    <x v="6"/>
    <n v="3"/>
  </r>
  <r>
    <s v="CAMP2497"/>
    <x v="2"/>
    <x v="4"/>
    <d v="2024-12-05T00:00:00"/>
    <n v="92332"/>
    <n v="6020"/>
    <n v="162"/>
    <n v="633.91"/>
    <n v="16084.39"/>
    <n v="6.5199497465667375E-2"/>
    <n v="2.6910299003322258E-2"/>
    <n v="3.9130246913580247"/>
    <n v="25.37330220378287"/>
    <n v="2024"/>
    <x v="4"/>
    <n v="12"/>
  </r>
  <r>
    <s v="CAMP2498"/>
    <x v="2"/>
    <x v="3"/>
    <d v="2024-08-22T00:00:00"/>
    <n v="108807"/>
    <n v="2347"/>
    <n v="47"/>
    <n v="907.96"/>
    <n v="5089.8900000000003"/>
    <n v="2.1570303381216283E-2"/>
    <n v="2.0025564550489986E-2"/>
    <n v="19.318297872340427"/>
    <n v="5.6058526807348343"/>
    <n v="2024"/>
    <x v="1"/>
    <n v="8"/>
  </r>
  <r>
    <s v="CAMP2499"/>
    <x v="5"/>
    <x v="3"/>
    <d v="2024-02-11T00:00:00"/>
    <n v="53390"/>
    <n v="1416"/>
    <n v="65"/>
    <n v="632.79999999999995"/>
    <n v="2890.76"/>
    <n v="2.6521820565648998E-2"/>
    <n v="4.5903954802259887E-2"/>
    <n v="9.7353846153846142"/>
    <n v="4.5682048040455125"/>
    <n v="2024"/>
    <x v="9"/>
    <n v="2"/>
  </r>
  <r>
    <s v="CAMP2500"/>
    <x v="7"/>
    <x v="0"/>
    <d v="2024-09-01T00:00:00"/>
    <n v="46767"/>
    <n v="1596"/>
    <n v="129"/>
    <n v="3496.57"/>
    <n v="11594.26"/>
    <n v="3.4126627750336778E-2"/>
    <n v="8.0827067669172928E-2"/>
    <n v="27.105193798449612"/>
    <n v="3.3158952916715525"/>
    <n v="2024"/>
    <x v="11"/>
    <n v="9"/>
  </r>
  <r>
    <s v="CAMP2501"/>
    <x v="6"/>
    <x v="2"/>
    <d v="2025-03-01T00:00:00"/>
    <n v="126499"/>
    <n v="7518"/>
    <n v="896"/>
    <n v="659.96"/>
    <n v="29433.81"/>
    <n v="5.9431299852172742E-2"/>
    <n v="0.11918063314711359"/>
    <n v="0.73656250000000001"/>
    <n v="44.599384811200679"/>
    <n v="2025"/>
    <x v="6"/>
    <n v="3"/>
  </r>
  <r>
    <s v="CAMP2502"/>
    <x v="2"/>
    <x v="2"/>
    <d v="2025-01-30T00:00:00"/>
    <n v="90750"/>
    <n v="6612"/>
    <n v="836"/>
    <n v="3705.79"/>
    <n v="52215.93"/>
    <n v="7.2859504132231412E-2"/>
    <n v="0.12643678160919541"/>
    <n v="4.4327631578947368"/>
    <n v="14.090363997959949"/>
    <n v="2025"/>
    <x v="0"/>
    <n v="1"/>
  </r>
  <r>
    <s v="CAMP2503"/>
    <x v="3"/>
    <x v="1"/>
    <d v="2024-02-06T00:00:00"/>
    <n v="95929"/>
    <n v="4238"/>
    <n v="492"/>
    <n v="3014.86"/>
    <n v="20747.349999999999"/>
    <n v="4.4178507020817478E-2"/>
    <n v="0.11609249646059462"/>
    <n v="6.1277642276422766"/>
    <n v="6.8816959991508719"/>
    <n v="2024"/>
    <x v="9"/>
    <n v="2"/>
  </r>
  <r>
    <s v="CAMP2504"/>
    <x v="2"/>
    <x v="4"/>
    <d v="2024-07-07T00:00:00"/>
    <n v="99969"/>
    <n v="3377"/>
    <n v="428"/>
    <n v="3130.72"/>
    <n v="40732.089999999997"/>
    <n v="3.3780471946303355E-2"/>
    <n v="0.12673970980159904"/>
    <n v="7.3147663551401862"/>
    <n v="13.010454464148822"/>
    <n v="2024"/>
    <x v="10"/>
    <n v="7"/>
  </r>
  <r>
    <s v="CAMP2505"/>
    <x v="0"/>
    <x v="4"/>
    <d v="2024-03-11T00:00:00"/>
    <n v="136058"/>
    <n v="3150"/>
    <n v="149"/>
    <n v="2289.92"/>
    <n v="8039.84"/>
    <n v="2.315189110526393E-2"/>
    <n v="4.7301587301587303E-2"/>
    <n v="15.368590604026846"/>
    <n v="3.5109698155394073"/>
    <n v="2024"/>
    <x v="6"/>
    <n v="3"/>
  </r>
  <r>
    <s v="CAMP2506"/>
    <x v="2"/>
    <x v="2"/>
    <d v="2024-03-18T00:00:00"/>
    <n v="79701"/>
    <n v="2532"/>
    <n v="272"/>
    <n v="2507.13"/>
    <n v="12539.73"/>
    <n v="3.1768735649489968E-2"/>
    <n v="0.10742496050552923"/>
    <n v="9.2173897058823542"/>
    <n v="5.0016273587727795"/>
    <n v="2024"/>
    <x v="6"/>
    <n v="3"/>
  </r>
  <r>
    <s v="CAMP2507"/>
    <x v="3"/>
    <x v="4"/>
    <d v="2024-03-24T00:00:00"/>
    <n v="109389"/>
    <n v="6318"/>
    <n v="811"/>
    <n v="2431.63"/>
    <n v="22922.14"/>
    <n v="5.7757178509722187E-2"/>
    <n v="0.12836340614118391"/>
    <n v="2.9983107274969174"/>
    <n v="9.4266561935820814"/>
    <n v="2024"/>
    <x v="6"/>
    <n v="3"/>
  </r>
  <r>
    <s v="CAMP2508"/>
    <x v="0"/>
    <x v="2"/>
    <d v="2025-02-15T00:00:00"/>
    <n v="8204"/>
    <n v="174"/>
    <n v="6"/>
    <n v="2633.46"/>
    <n v="531.78"/>
    <n v="2.12091662603608E-2"/>
    <n v="3.4482758620689655E-2"/>
    <n v="438.91"/>
    <n v="0.20193205896425234"/>
    <n v="2025"/>
    <x v="9"/>
    <n v="2"/>
  </r>
  <r>
    <s v="CAMP2509"/>
    <x v="4"/>
    <x v="2"/>
    <d v="2024-11-30T00:00:00"/>
    <n v="110304"/>
    <n v="4364"/>
    <n v="118"/>
    <n v="2239.91"/>
    <n v="11116.37"/>
    <n v="3.956338845372788E-2"/>
    <n v="2.7039413382218148E-2"/>
    <n v="18.982288135593219"/>
    <n v="4.9628645793804225"/>
    <n v="2024"/>
    <x v="5"/>
    <n v="11"/>
  </r>
  <r>
    <s v="CAMP2510"/>
    <x v="0"/>
    <x v="1"/>
    <d v="2025-02-17T00:00:00"/>
    <n v="123035"/>
    <n v="5554"/>
    <n v="674"/>
    <n v="3617.71"/>
    <n v="70376.95"/>
    <n v="4.5141626366481086E-2"/>
    <n v="0.12135397911415197"/>
    <n v="5.3675222551928785"/>
    <n v="19.453452598466985"/>
    <n v="2025"/>
    <x v="9"/>
    <n v="2"/>
  </r>
  <r>
    <s v="CAMP2511"/>
    <x v="7"/>
    <x v="0"/>
    <d v="2025-02-06T00:00:00"/>
    <n v="51881"/>
    <n v="4080"/>
    <n v="363"/>
    <n v="2040.66"/>
    <n v="31752.3"/>
    <n v="7.8641506524546559E-2"/>
    <n v="8.8970588235294121E-2"/>
    <n v="5.6216528925619835"/>
    <n v="15.55981888212637"/>
    <n v="2025"/>
    <x v="9"/>
    <n v="2"/>
  </r>
  <r>
    <s v="CAMP2512"/>
    <x v="2"/>
    <x v="0"/>
    <d v="2024-06-21T00:00:00"/>
    <n v="72590"/>
    <n v="1730"/>
    <n v="217"/>
    <n v="3692.62"/>
    <n v="14213.27"/>
    <n v="2.383248381319741E-2"/>
    <n v="0.12543352601156069"/>
    <n v="17.016682027649768"/>
    <n v="3.8491017218126968"/>
    <n v="2024"/>
    <x v="2"/>
    <n v="6"/>
  </r>
  <r>
    <s v="CAMP2513"/>
    <x v="4"/>
    <x v="2"/>
    <d v="2024-05-24T00:00:00"/>
    <n v="15444"/>
    <n v="285"/>
    <n v="23"/>
    <n v="1962.1"/>
    <n v="2505.08"/>
    <n v="1.8453768453768452E-2"/>
    <n v="8.0701754385964913E-2"/>
    <n v="85.30869565217391"/>
    <n v="1.2767341114112432"/>
    <n v="2024"/>
    <x v="8"/>
    <n v="5"/>
  </r>
  <r>
    <s v="CAMP2514"/>
    <x v="7"/>
    <x v="3"/>
    <d v="2024-08-05T00:00:00"/>
    <n v="93463"/>
    <n v="5350"/>
    <n v="640"/>
    <n v="312.95"/>
    <n v="29903.07"/>
    <n v="5.7241903213036176E-2"/>
    <n v="0.11962616822429907"/>
    <n v="0.48898437499999997"/>
    <n v="95.552228790541619"/>
    <n v="2024"/>
    <x v="1"/>
    <n v="8"/>
  </r>
  <r>
    <s v="CAMP2515"/>
    <x v="5"/>
    <x v="3"/>
    <d v="2024-08-01T00:00:00"/>
    <n v="9592"/>
    <n v="395"/>
    <n v="23"/>
    <n v="370.95"/>
    <n v="716.87"/>
    <n v="4.1180150125104252E-2"/>
    <n v="5.8227848101265821E-2"/>
    <n v="16.128260869565217"/>
    <n v="1.932524599002561"/>
    <n v="2024"/>
    <x v="1"/>
    <n v="8"/>
  </r>
  <r>
    <s v="CAMP2516"/>
    <x v="4"/>
    <x v="1"/>
    <d v="2025-01-13T00:00:00"/>
    <n v="108865"/>
    <n v="2983"/>
    <n v="92"/>
    <n v="653.95000000000005"/>
    <n v="8526.44"/>
    <n v="2.7400909383181005E-2"/>
    <n v="3.0841434797184042E-2"/>
    <n v="7.1081521739130435"/>
    <n v="13.038366847618319"/>
    <n v="2025"/>
    <x v="0"/>
    <n v="1"/>
  </r>
  <r>
    <s v="CAMP2517"/>
    <x v="6"/>
    <x v="2"/>
    <d v="2024-05-20T00:00:00"/>
    <n v="95540"/>
    <n v="7454"/>
    <n v="816"/>
    <n v="1371.68"/>
    <n v="83686.63"/>
    <n v="7.8019677621938455E-2"/>
    <n v="0.1094714247383955"/>
    <n v="1.6809803921568629"/>
    <n v="61.010315817100199"/>
    <n v="2024"/>
    <x v="8"/>
    <n v="5"/>
  </r>
  <r>
    <s v="CAMP2518"/>
    <x v="6"/>
    <x v="0"/>
    <d v="2024-02-09T00:00:00"/>
    <n v="90613"/>
    <n v="3270"/>
    <n v="127"/>
    <n v="4888.8500000000004"/>
    <n v="10640.24"/>
    <n v="3.6087537108361933E-2"/>
    <n v="3.8837920489296636E-2"/>
    <n v="38.494881889763782"/>
    <n v="2.1764300397844072"/>
    <n v="2024"/>
    <x v="9"/>
    <n v="2"/>
  </r>
  <r>
    <s v="CAMP2519"/>
    <x v="0"/>
    <x v="2"/>
    <d v="2024-09-19T00:00:00"/>
    <n v="25647"/>
    <n v="862"/>
    <n v="88"/>
    <n v="1649.53"/>
    <n v="5286.51"/>
    <n v="3.3610168830662458E-2"/>
    <n v="0.10208816705336426"/>
    <n v="18.744659090909092"/>
    <n v="3.2048583535916295"/>
    <n v="2024"/>
    <x v="11"/>
    <n v="9"/>
  </r>
  <r>
    <s v="CAMP2520"/>
    <x v="2"/>
    <x v="3"/>
    <d v="2025-01-04T00:00:00"/>
    <n v="25783"/>
    <n v="1768"/>
    <n v="134"/>
    <n v="758.84"/>
    <n v="5248.02"/>
    <n v="6.857231509133925E-2"/>
    <n v="7.5791855203619904E-2"/>
    <n v="5.6629850746268655"/>
    <n v="6.915845237467714"/>
    <n v="2025"/>
    <x v="0"/>
    <n v="1"/>
  </r>
  <r>
    <s v="CAMP2521"/>
    <x v="5"/>
    <x v="3"/>
    <d v="2024-11-11T00:00:00"/>
    <n v="139752"/>
    <n v="6671"/>
    <n v="821"/>
    <n v="3532.43"/>
    <n v="20429.04"/>
    <n v="4.7734558360524357E-2"/>
    <n v="0.1230700044970769"/>
    <n v="4.3025943970767351"/>
    <n v="5.7832823297276947"/>
    <n v="2024"/>
    <x v="5"/>
    <n v="11"/>
  </r>
  <r>
    <s v="CAMP2522"/>
    <x v="6"/>
    <x v="4"/>
    <d v="2025-01-24T00:00:00"/>
    <n v="119542"/>
    <n v="3494"/>
    <n v="382"/>
    <n v="1091.42"/>
    <n v="26799.71"/>
    <n v="2.922822104364993E-2"/>
    <n v="0.10933028048082427"/>
    <n v="2.8571204188481678"/>
    <n v="24.554900954719539"/>
    <n v="2025"/>
    <x v="0"/>
    <n v="1"/>
  </r>
  <r>
    <s v="CAMP2523"/>
    <x v="4"/>
    <x v="1"/>
    <d v="2024-07-23T00:00:00"/>
    <n v="52516"/>
    <n v="3018"/>
    <n v="167"/>
    <n v="2154.48"/>
    <n v="3652.61"/>
    <n v="5.7468200167567977E-2"/>
    <n v="5.5334658714380383E-2"/>
    <n v="12.901077844311377"/>
    <n v="1.6953557238869705"/>
    <n v="2024"/>
    <x v="10"/>
    <n v="7"/>
  </r>
  <r>
    <s v="CAMP2524"/>
    <x v="3"/>
    <x v="4"/>
    <d v="2024-05-20T00:00:00"/>
    <n v="75006"/>
    <n v="3178"/>
    <n v="390"/>
    <n v="3247.31"/>
    <n v="11588.76"/>
    <n v="4.2369943737834308E-2"/>
    <n v="0.12271869100062932"/>
    <n v="8.3264358974358981"/>
    <n v="3.5687261148458265"/>
    <n v="2024"/>
    <x v="8"/>
    <n v="5"/>
  </r>
  <r>
    <s v="CAMP2525"/>
    <x v="1"/>
    <x v="0"/>
    <d v="2024-12-29T00:00:00"/>
    <n v="90094"/>
    <n v="2295"/>
    <n v="228"/>
    <n v="3695.19"/>
    <n v="18452.41"/>
    <n v="2.5473394454680668E-2"/>
    <n v="9.9346405228758164E-2"/>
    <n v="16.206973684210528"/>
    <n v="4.9936295562609772"/>
    <n v="2024"/>
    <x v="4"/>
    <n v="12"/>
  </r>
  <r>
    <s v="CAMP2526"/>
    <x v="6"/>
    <x v="1"/>
    <d v="2024-08-03T00:00:00"/>
    <n v="91180"/>
    <n v="4367"/>
    <n v="357"/>
    <n v="2876.75"/>
    <n v="19383.34"/>
    <n v="4.7894275060320249E-2"/>
    <n v="8.1749484772154796E-2"/>
    <n v="8.0581232492997206"/>
    <n v="6.7379299556791521"/>
    <n v="2024"/>
    <x v="1"/>
    <n v="8"/>
  </r>
  <r>
    <s v="CAMP2527"/>
    <x v="7"/>
    <x v="3"/>
    <d v="2025-02-25T00:00:00"/>
    <n v="121492"/>
    <n v="2505"/>
    <n v="328"/>
    <n v="2595.08"/>
    <n v="24017.48"/>
    <n v="2.0618641556645705E-2"/>
    <n v="0.130938123752495"/>
    <n v="7.9118292682926823"/>
    <n v="9.2550056260307976"/>
    <n v="2025"/>
    <x v="9"/>
    <n v="2"/>
  </r>
  <r>
    <s v="CAMP2528"/>
    <x v="2"/>
    <x v="2"/>
    <d v="2024-05-10T00:00:00"/>
    <n v="110627"/>
    <n v="1356"/>
    <n v="177"/>
    <n v="4845.07"/>
    <n v="14715.5"/>
    <n v="1.2257405515832482E-2"/>
    <n v="0.13053097345132744"/>
    <n v="27.37327683615819"/>
    <n v="3.0372110206870078"/>
    <n v="2024"/>
    <x v="8"/>
    <n v="5"/>
  </r>
  <r>
    <s v="CAMP2529"/>
    <x v="7"/>
    <x v="0"/>
    <d v="2024-04-16T00:00:00"/>
    <n v="143829"/>
    <n v="5155"/>
    <n v="298"/>
    <n v="1713.62"/>
    <n v="26060.14"/>
    <n v="3.5841172503458966E-2"/>
    <n v="5.7807953443258973E-2"/>
    <n v="5.7504026845637579"/>
    <n v="15.207653972292574"/>
    <n v="2024"/>
    <x v="7"/>
    <n v="4"/>
  </r>
  <r>
    <s v="CAMP2530"/>
    <x v="4"/>
    <x v="4"/>
    <d v="2024-11-15T00:00:00"/>
    <n v="48708"/>
    <n v="2615"/>
    <n v="244"/>
    <n v="2193.89"/>
    <n v="23544.54"/>
    <n v="5.3687279297035394E-2"/>
    <n v="9.3307839388145311E-2"/>
    <n v="8.9913524590163938"/>
    <n v="10.731868963348209"/>
    <n v="2024"/>
    <x v="5"/>
    <n v="11"/>
  </r>
  <r>
    <s v="CAMP2531"/>
    <x v="5"/>
    <x v="1"/>
    <d v="2025-01-15T00:00:00"/>
    <n v="133648"/>
    <n v="10595"/>
    <n v="728"/>
    <n v="2780.45"/>
    <n v="42109.62"/>
    <n v="7.9275410032323718E-2"/>
    <n v="6.8711656441717797E-2"/>
    <n v="3.8192994505494502"/>
    <n v="15.144893812152711"/>
    <n v="2025"/>
    <x v="0"/>
    <n v="1"/>
  </r>
  <r>
    <s v="CAMP2532"/>
    <x v="0"/>
    <x v="0"/>
    <d v="2024-07-21T00:00:00"/>
    <n v="62227"/>
    <n v="1542"/>
    <n v="53"/>
    <n v="1588.88"/>
    <n v="5643.93"/>
    <n v="2.4780240088707474E-2"/>
    <n v="3.4370946822308693E-2"/>
    <n v="29.978867924528306"/>
    <n v="3.5521436483560747"/>
    <n v="2024"/>
    <x v="10"/>
    <n v="7"/>
  </r>
  <r>
    <s v="CAMP2533"/>
    <x v="3"/>
    <x v="1"/>
    <d v="2024-07-28T00:00:00"/>
    <n v="97281"/>
    <n v="6088"/>
    <n v="452"/>
    <n v="3076.39"/>
    <n v="23477.040000000001"/>
    <n v="6.2581593528027057E-2"/>
    <n v="7.4244415243101186E-2"/>
    <n v="6.8061725663716812"/>
    <n v="7.631360133143068"/>
    <n v="2024"/>
    <x v="10"/>
    <n v="7"/>
  </r>
  <r>
    <s v="CAMP2534"/>
    <x v="7"/>
    <x v="0"/>
    <d v="2024-12-06T00:00:00"/>
    <n v="88302"/>
    <n v="3987"/>
    <n v="355"/>
    <n v="1280.48"/>
    <n v="21440.79"/>
    <n v="4.5151865189916422E-2"/>
    <n v="8.9039377978429896E-2"/>
    <n v="3.6069859154929578"/>
    <n v="16.744338060727227"/>
    <n v="2024"/>
    <x v="4"/>
    <n v="12"/>
  </r>
  <r>
    <s v="CAMP2535"/>
    <x v="6"/>
    <x v="3"/>
    <d v="2025-02-26T00:00:00"/>
    <n v="122822"/>
    <n v="2577"/>
    <n v="344"/>
    <n v="2120.2600000000002"/>
    <n v="6994.81"/>
    <n v="2.0981583104004168E-2"/>
    <n v="0.13348855258051998"/>
    <n v="6.1635465116279073"/>
    <n v="3.2990340807259484"/>
    <n v="2025"/>
    <x v="9"/>
    <n v="2"/>
  </r>
  <r>
    <s v="CAMP2536"/>
    <x v="7"/>
    <x v="2"/>
    <d v="2024-12-01T00:00:00"/>
    <n v="50159"/>
    <n v="2900"/>
    <n v="95"/>
    <n v="2984.76"/>
    <n v="5871.95"/>
    <n v="5.7816144659981257E-2"/>
    <n v="3.2758620689655175E-2"/>
    <n v="31.418526315789475"/>
    <n v="1.967310604537718"/>
    <n v="2024"/>
    <x v="4"/>
    <n v="12"/>
  </r>
  <r>
    <s v="CAMP2537"/>
    <x v="3"/>
    <x v="2"/>
    <d v="2024-04-06T00:00:00"/>
    <n v="12612"/>
    <n v="672"/>
    <n v="25"/>
    <n v="3175.62"/>
    <n v="2997.27"/>
    <n v="5.3282588011417699E-2"/>
    <n v="3.7202380952380952E-2"/>
    <n v="127.0248"/>
    <n v="0.94383773877227128"/>
    <n v="2024"/>
    <x v="7"/>
    <n v="4"/>
  </r>
  <r>
    <s v="CAMP2538"/>
    <x v="3"/>
    <x v="0"/>
    <d v="2024-06-15T00:00:00"/>
    <n v="70520"/>
    <n v="1526"/>
    <n v="154"/>
    <n v="3484.94"/>
    <n v="17738.43"/>
    <n v="2.1639251276233694E-2"/>
    <n v="0.10091743119266056"/>
    <n v="22.62948051948052"/>
    <n v="5.0900245054434219"/>
    <n v="2024"/>
    <x v="2"/>
    <n v="6"/>
  </r>
  <r>
    <s v="CAMP2539"/>
    <x v="4"/>
    <x v="1"/>
    <d v="2025-02-08T00:00:00"/>
    <n v="107062"/>
    <n v="5207"/>
    <n v="688"/>
    <n v="4281.4799999999996"/>
    <n v="24862.89"/>
    <n v="4.8635370159346922E-2"/>
    <n v="0.13212982523526023"/>
    <n v="6.2230813953488369"/>
    <n v="5.8070783934527315"/>
    <n v="2025"/>
    <x v="9"/>
    <n v="2"/>
  </r>
  <r>
    <s v="CAMP2540"/>
    <x v="7"/>
    <x v="4"/>
    <d v="2024-03-30T00:00:00"/>
    <n v="128776"/>
    <n v="9735"/>
    <n v="1360"/>
    <n v="1749.08"/>
    <n v="67045.539999999994"/>
    <n v="7.5596384419457041E-2"/>
    <n v="0.13970210580380071"/>
    <n v="1.2860882352941176"/>
    <n v="38.331888764378988"/>
    <n v="2024"/>
    <x v="6"/>
    <n v="3"/>
  </r>
  <r>
    <s v="CAMP2541"/>
    <x v="4"/>
    <x v="4"/>
    <d v="2024-10-22T00:00:00"/>
    <n v="125895"/>
    <n v="5305"/>
    <n v="577"/>
    <n v="2329.54"/>
    <n v="25496.69"/>
    <n v="4.2138289844711865E-2"/>
    <n v="0.10876531573986804"/>
    <n v="4.0373310225303296"/>
    <n v="10.944946212556985"/>
    <n v="2024"/>
    <x v="3"/>
    <n v="10"/>
  </r>
  <r>
    <s v="CAMP2542"/>
    <x v="2"/>
    <x v="2"/>
    <d v="2024-09-13T00:00:00"/>
    <n v="34139"/>
    <n v="2261"/>
    <n v="291"/>
    <n v="4386.01"/>
    <n v="32268.37"/>
    <n v="6.6229239286446584E-2"/>
    <n v="0.12870411322423705"/>
    <n v="15.072199312714778"/>
    <n v="7.3571127288811464"/>
    <n v="2024"/>
    <x v="11"/>
    <n v="9"/>
  </r>
  <r>
    <s v="CAMP2543"/>
    <x v="1"/>
    <x v="2"/>
    <d v="2025-01-04T00:00:00"/>
    <n v="23308"/>
    <n v="244"/>
    <n v="5"/>
    <n v="3448.99"/>
    <n v="533.53"/>
    <n v="1.0468508666552257E-2"/>
    <n v="2.0491803278688523E-2"/>
    <n v="689.798"/>
    <n v="0.15469166335651888"/>
    <n v="2025"/>
    <x v="0"/>
    <n v="1"/>
  </r>
  <r>
    <s v="CAMP2544"/>
    <x v="6"/>
    <x v="2"/>
    <d v="2024-02-06T00:00:00"/>
    <n v="114337"/>
    <n v="8807"/>
    <n v="1187"/>
    <n v="2779.24"/>
    <n v="108704.85"/>
    <n v="7.7026684275431398E-2"/>
    <n v="0.13477915294651982"/>
    <n v="2.3413984835720303"/>
    <n v="39.11315683424246"/>
    <n v="2024"/>
    <x v="9"/>
    <n v="2"/>
  </r>
  <r>
    <s v="CAMP2545"/>
    <x v="4"/>
    <x v="2"/>
    <d v="2024-09-03T00:00:00"/>
    <n v="20672"/>
    <n v="630"/>
    <n v="45"/>
    <n v="4147.12"/>
    <n v="4359.43"/>
    <n v="3.0476006191950466E-2"/>
    <n v="7.1428571428571425E-2"/>
    <n v="92.158222222222221"/>
    <n v="1.0511945639383478"/>
    <n v="2024"/>
    <x v="11"/>
    <n v="9"/>
  </r>
  <r>
    <s v="CAMP2546"/>
    <x v="7"/>
    <x v="2"/>
    <d v="2025-01-01T00:00:00"/>
    <n v="139102"/>
    <n v="7518"/>
    <n v="580"/>
    <n v="3979.63"/>
    <n v="17610.13"/>
    <n v="5.4046670788342369E-2"/>
    <n v="7.7148177706836921E-2"/>
    <n v="6.8614310344827585"/>
    <n v="4.4250671544842106"/>
    <n v="2025"/>
    <x v="0"/>
    <n v="1"/>
  </r>
  <r>
    <s v="CAMP2547"/>
    <x v="5"/>
    <x v="1"/>
    <d v="2025-01-20T00:00:00"/>
    <n v="34303"/>
    <n v="2076"/>
    <n v="140"/>
    <n v="3351.38"/>
    <n v="4787.3"/>
    <n v="6.0519488091420576E-2"/>
    <n v="6.7437379576107903E-2"/>
    <n v="23.938428571428574"/>
    <n v="1.4284563373893739"/>
    <n v="2025"/>
    <x v="0"/>
    <n v="1"/>
  </r>
  <r>
    <s v="CAMP2548"/>
    <x v="1"/>
    <x v="2"/>
    <d v="2024-04-17T00:00:00"/>
    <n v="74339"/>
    <n v="1248"/>
    <n v="129"/>
    <n v="555.53"/>
    <n v="14179.62"/>
    <n v="1.6787957868682656E-2"/>
    <n v="0.10336538461538461"/>
    <n v="4.3064341085271316"/>
    <n v="25.524490126545825"/>
    <n v="2024"/>
    <x v="7"/>
    <n v="4"/>
  </r>
  <r>
    <s v="CAMP2549"/>
    <x v="6"/>
    <x v="4"/>
    <d v="2025-01-22T00:00:00"/>
    <n v="73157"/>
    <n v="2485"/>
    <n v="272"/>
    <n v="1787.17"/>
    <n v="17690.23"/>
    <n v="3.3968041335757343E-2"/>
    <n v="0.10945674044265594"/>
    <n v="6.5704779411764704"/>
    <n v="9.8984595757538454"/>
    <n v="2025"/>
    <x v="0"/>
    <n v="1"/>
  </r>
  <r>
    <s v="CAMP2550"/>
    <x v="5"/>
    <x v="1"/>
    <d v="2024-05-20T00:00:00"/>
    <n v="14370"/>
    <n v="909"/>
    <n v="35"/>
    <n v="1584.47"/>
    <n v="1473.58"/>
    <n v="6.3256784968684754E-2"/>
    <n v="3.8503850385038507E-2"/>
    <n v="45.270571428571429"/>
    <n v="0.93001445278231831"/>
    <n v="2024"/>
    <x v="8"/>
    <n v="5"/>
  </r>
  <r>
    <s v="CAMP2551"/>
    <x v="7"/>
    <x v="1"/>
    <d v="2024-07-04T00:00:00"/>
    <n v="81341"/>
    <n v="2559"/>
    <n v="289"/>
    <n v="2924.67"/>
    <n v="14587.03"/>
    <n v="3.1460149248226599E-2"/>
    <n v="0.11293474013286441"/>
    <n v="10.119965397923876"/>
    <n v="4.9875815049219225"/>
    <n v="2024"/>
    <x v="10"/>
    <n v="7"/>
  </r>
  <r>
    <s v="CAMP2552"/>
    <x v="6"/>
    <x v="3"/>
    <d v="2024-03-20T00:00:00"/>
    <n v="38699"/>
    <n v="783"/>
    <n v="45"/>
    <n v="2044.29"/>
    <n v="3765.43"/>
    <n v="2.0233080958164295E-2"/>
    <n v="5.7471264367816091E-2"/>
    <n v="45.428666666666665"/>
    <n v="1.8419255585068655"/>
    <n v="2024"/>
    <x v="6"/>
    <n v="3"/>
  </r>
  <r>
    <s v="CAMP2553"/>
    <x v="4"/>
    <x v="4"/>
    <d v="2024-10-25T00:00:00"/>
    <n v="84418"/>
    <n v="1720"/>
    <n v="37"/>
    <n v="1947.98"/>
    <n v="2621.79"/>
    <n v="2.0374801582600868E-2"/>
    <n v="2.1511627906976746E-2"/>
    <n v="52.648108108108111"/>
    <n v="1.345901908643826"/>
    <n v="2024"/>
    <x v="3"/>
    <n v="10"/>
  </r>
  <r>
    <s v="CAMP2554"/>
    <x v="3"/>
    <x v="2"/>
    <d v="2024-11-12T00:00:00"/>
    <n v="49671"/>
    <n v="3877"/>
    <n v="402"/>
    <n v="3018.25"/>
    <n v="28184.03"/>
    <n v="7.8053592639568362E-2"/>
    <n v="0.10368841888057777"/>
    <n v="7.5080845771144276"/>
    <n v="9.3378712830282442"/>
    <n v="2024"/>
    <x v="5"/>
    <n v="11"/>
  </r>
  <r>
    <s v="CAMP2555"/>
    <x v="7"/>
    <x v="2"/>
    <d v="2024-09-05T00:00:00"/>
    <n v="49334"/>
    <n v="3500"/>
    <n v="289"/>
    <n v="2523.19"/>
    <n v="16758.310000000001"/>
    <n v="7.0944987229902293E-2"/>
    <n v="8.2571428571428573E-2"/>
    <n v="8.7307612456747403"/>
    <n v="6.6417154475089077"/>
    <n v="2024"/>
    <x v="11"/>
    <n v="9"/>
  </r>
  <r>
    <s v="CAMP2556"/>
    <x v="0"/>
    <x v="3"/>
    <d v="2024-04-25T00:00:00"/>
    <n v="86083"/>
    <n v="2104"/>
    <n v="83"/>
    <n v="3121.48"/>
    <n v="7708.72"/>
    <n v="2.4441527363126284E-2"/>
    <n v="3.944866920152091E-2"/>
    <n v="37.60819277108434"/>
    <n v="2.4695721260427748"/>
    <n v="2024"/>
    <x v="7"/>
    <n v="4"/>
  </r>
  <r>
    <s v="CAMP2557"/>
    <x v="0"/>
    <x v="4"/>
    <d v="2024-07-01T00:00:00"/>
    <n v="135754"/>
    <n v="5722"/>
    <n v="793"/>
    <n v="4550.25"/>
    <n v="82470.19"/>
    <n v="4.2149770909144485E-2"/>
    <n v="0.13858790632645929"/>
    <n v="5.7380201765447669"/>
    <n v="18.124320641722981"/>
    <n v="2024"/>
    <x v="10"/>
    <n v="7"/>
  </r>
  <r>
    <s v="CAMP2558"/>
    <x v="1"/>
    <x v="4"/>
    <d v="2024-07-05T00:00:00"/>
    <n v="13608"/>
    <n v="515"/>
    <n v="16"/>
    <n v="1781.67"/>
    <n v="427.52"/>
    <n v="3.784538506760729E-2"/>
    <n v="3.1067961165048542E-2"/>
    <n v="111.354375"/>
    <n v="0.23995464928971133"/>
    <n v="2024"/>
    <x v="10"/>
    <n v="7"/>
  </r>
  <r>
    <s v="CAMP2559"/>
    <x v="0"/>
    <x v="0"/>
    <d v="2024-08-16T00:00:00"/>
    <n v="142087"/>
    <n v="3887"/>
    <n v="207"/>
    <n v="3749.29"/>
    <n v="18416.77"/>
    <n v="2.7356478777087277E-2"/>
    <n v="5.3254437869822487E-2"/>
    <n v="18.112512077294685"/>
    <n v="4.9120686850043613"/>
    <n v="2024"/>
    <x v="1"/>
    <n v="8"/>
  </r>
  <r>
    <s v="CAMP2560"/>
    <x v="1"/>
    <x v="4"/>
    <d v="2024-12-19T00:00:00"/>
    <n v="124554"/>
    <n v="2792"/>
    <n v="411"/>
    <n v="1475.66"/>
    <n v="19624.29"/>
    <n v="2.241598021741574E-2"/>
    <n v="0.14720630372492838"/>
    <n v="3.5904136253041363"/>
    <n v="13.29865280620197"/>
    <n v="2024"/>
    <x v="4"/>
    <n v="12"/>
  </r>
  <r>
    <s v="CAMP2561"/>
    <x v="1"/>
    <x v="0"/>
    <d v="2024-03-08T00:00:00"/>
    <n v="141985"/>
    <n v="4428"/>
    <n v="208"/>
    <n v="1370.91"/>
    <n v="20002.95"/>
    <n v="3.1186392928830509E-2"/>
    <n v="4.6973803071364048E-2"/>
    <n v="6.5909134615384621"/>
    <n v="14.591001597479046"/>
    <n v="2024"/>
    <x v="6"/>
    <n v="3"/>
  </r>
  <r>
    <s v="CAMP2562"/>
    <x v="6"/>
    <x v="2"/>
    <d v="2024-02-20T00:00:00"/>
    <n v="145753"/>
    <n v="10452"/>
    <n v="278"/>
    <n v="3992.08"/>
    <n v="7590.92"/>
    <n v="7.1710359306497981E-2"/>
    <n v="2.6597780329123612E-2"/>
    <n v="14.36"/>
    <n v="1.9014949600208413"/>
    <n v="2024"/>
    <x v="9"/>
    <n v="2"/>
  </r>
  <r>
    <s v="CAMP2563"/>
    <x v="6"/>
    <x v="0"/>
    <d v="2024-08-14T00:00:00"/>
    <n v="26859"/>
    <n v="1163"/>
    <n v="38"/>
    <n v="3029"/>
    <n v="3033.52"/>
    <n v="4.3300197326780594E-2"/>
    <n v="3.2674118658641442E-2"/>
    <n v="79.71052631578948"/>
    <n v="1.0014922416639154"/>
    <n v="2024"/>
    <x v="1"/>
    <n v="8"/>
  </r>
  <r>
    <s v="CAMP2564"/>
    <x v="5"/>
    <x v="1"/>
    <d v="2024-01-05T00:00:00"/>
    <n v="117657"/>
    <n v="8268"/>
    <n v="285"/>
    <n v="4455.28"/>
    <n v="27855.78"/>
    <n v="7.0272062010760097E-2"/>
    <n v="3.4470246734397678E-2"/>
    <n v="15.63256140350877"/>
    <n v="6.252307374620675"/>
    <n v="2024"/>
    <x v="0"/>
    <n v="1"/>
  </r>
  <r>
    <s v="CAMP2565"/>
    <x v="1"/>
    <x v="1"/>
    <d v="2025-02-16T00:00:00"/>
    <n v="124604"/>
    <n v="9900"/>
    <n v="521"/>
    <n v="2154.41"/>
    <n v="24525.72"/>
    <n v="7.9451702995088441E-2"/>
    <n v="5.2626262626262625E-2"/>
    <n v="4.1351439539347403"/>
    <n v="11.383961270138926"/>
    <n v="2025"/>
    <x v="9"/>
    <n v="2"/>
  </r>
  <r>
    <s v="CAMP2566"/>
    <x v="2"/>
    <x v="3"/>
    <d v="2024-09-16T00:00:00"/>
    <n v="131688"/>
    <n v="6056"/>
    <n v="870"/>
    <n v="1638.26"/>
    <n v="92851.7"/>
    <n v="4.5987485571957962E-2"/>
    <n v="0.14365918097754293"/>
    <n v="1.8830574712643677"/>
    <n v="56.677023183133322"/>
    <n v="2024"/>
    <x v="11"/>
    <n v="9"/>
  </r>
  <r>
    <s v="CAMP2567"/>
    <x v="1"/>
    <x v="3"/>
    <d v="2024-05-20T00:00:00"/>
    <n v="136874"/>
    <n v="4327"/>
    <n v="334"/>
    <n v="4890.7"/>
    <n v="38266.28"/>
    <n v="3.1613016350804386E-2"/>
    <n v="7.7189738849087128E-2"/>
    <n v="14.642814371257485"/>
    <n v="7.8242950906823152"/>
    <n v="2024"/>
    <x v="8"/>
    <n v="5"/>
  </r>
  <r>
    <s v="CAMP2568"/>
    <x v="6"/>
    <x v="0"/>
    <d v="2024-06-12T00:00:00"/>
    <n v="138574"/>
    <n v="5949"/>
    <n v="245"/>
    <n v="514.69000000000005"/>
    <n v="15484.37"/>
    <n v="4.2930131193441773E-2"/>
    <n v="4.1183392166750717E-2"/>
    <n v="2.1007755102040817"/>
    <n v="30.084847189570418"/>
    <n v="2024"/>
    <x v="2"/>
    <n v="6"/>
  </r>
  <r>
    <s v="CAMP2569"/>
    <x v="5"/>
    <x v="0"/>
    <d v="2024-08-14T00:00:00"/>
    <n v="94766"/>
    <n v="5179"/>
    <n v="466"/>
    <n v="1076.75"/>
    <n v="45611.7"/>
    <n v="5.4650402042926788E-2"/>
    <n v="8.9978760378451442E-2"/>
    <n v="2.3106223175965663"/>
    <n v="42.360529370791731"/>
    <n v="2024"/>
    <x v="1"/>
    <n v="8"/>
  </r>
  <r>
    <s v="CAMP2570"/>
    <x v="1"/>
    <x v="4"/>
    <d v="2024-06-06T00:00:00"/>
    <n v="136538"/>
    <n v="4284"/>
    <n v="512"/>
    <n v="2465"/>
    <n v="45299.01"/>
    <n v="3.1375880707202389E-2"/>
    <n v="0.11951447245564893"/>
    <n v="4.814453125"/>
    <n v="18.37688032454361"/>
    <n v="2024"/>
    <x v="2"/>
    <n v="6"/>
  </r>
  <r>
    <s v="CAMP2571"/>
    <x v="1"/>
    <x v="1"/>
    <d v="2024-12-10T00:00:00"/>
    <n v="45526"/>
    <n v="1487"/>
    <n v="66"/>
    <n v="2101.9499999999998"/>
    <n v="2453.73"/>
    <n v="3.2662654307428721E-2"/>
    <n v="4.438466711499664E-2"/>
    <n v="31.847727272727269"/>
    <n v="1.1673588810390354"/>
    <n v="2024"/>
    <x v="4"/>
    <n v="12"/>
  </r>
  <r>
    <s v="CAMP2572"/>
    <x v="2"/>
    <x v="1"/>
    <d v="2024-12-05T00:00:00"/>
    <n v="46191"/>
    <n v="1514"/>
    <n v="131"/>
    <n v="2474.12"/>
    <n v="10417.51"/>
    <n v="3.2776947890281655E-2"/>
    <n v="8.6525759577278732E-2"/>
    <n v="18.886412213740456"/>
    <n v="4.2105920488901107"/>
    <n v="2024"/>
    <x v="4"/>
    <n v="12"/>
  </r>
  <r>
    <s v="CAMP2573"/>
    <x v="3"/>
    <x v="3"/>
    <d v="2024-04-27T00:00:00"/>
    <n v="73905"/>
    <n v="3180"/>
    <n v="417"/>
    <n v="1657.37"/>
    <n v="14385.94"/>
    <n v="4.302821189364725E-2"/>
    <n v="0.13113207547169811"/>
    <n v="3.9745083932853715"/>
    <n v="8.6799809336478884"/>
    <n v="2024"/>
    <x v="7"/>
    <n v="4"/>
  </r>
  <r>
    <s v="CAMP2574"/>
    <x v="7"/>
    <x v="3"/>
    <d v="2025-02-28T00:00:00"/>
    <n v="87666"/>
    <n v="3636"/>
    <n v="273"/>
    <n v="2089"/>
    <n v="16847.48"/>
    <n v="4.1475600574909316E-2"/>
    <n v="7.5082508250825089E-2"/>
    <n v="7.6520146520146524"/>
    <n v="8.0648539971278126"/>
    <n v="2025"/>
    <x v="9"/>
    <n v="2"/>
  </r>
  <r>
    <s v="CAMP2575"/>
    <x v="3"/>
    <x v="0"/>
    <d v="2024-07-28T00:00:00"/>
    <n v="97697"/>
    <n v="5393"/>
    <n v="205"/>
    <n v="2393.0700000000002"/>
    <n v="9721.25"/>
    <n v="5.5201285607541686E-2"/>
    <n v="3.8012238086408308E-2"/>
    <n v="11.673512195121951"/>
    <n v="4.0622505818885362"/>
    <n v="2024"/>
    <x v="10"/>
    <n v="7"/>
  </r>
  <r>
    <s v="CAMP2576"/>
    <x v="1"/>
    <x v="4"/>
    <d v="2024-12-04T00:00:00"/>
    <n v="72090"/>
    <n v="2208"/>
    <n v="151"/>
    <n v="1744.86"/>
    <n v="14962.89"/>
    <n v="3.0628381190178942E-2"/>
    <n v="6.8387681159420288E-2"/>
    <n v="11.555364238410595"/>
    <n v="8.5754100615522155"/>
    <n v="2024"/>
    <x v="4"/>
    <n v="12"/>
  </r>
  <r>
    <s v="CAMP2577"/>
    <x v="7"/>
    <x v="1"/>
    <d v="2024-10-13T00:00:00"/>
    <n v="57285"/>
    <n v="3770"/>
    <n v="378"/>
    <n v="2312.5"/>
    <n v="17915.8"/>
    <n v="6.5811294405167142E-2"/>
    <n v="0.10026525198938992"/>
    <n v="6.1177248677248679"/>
    <n v="7.7473729729729728"/>
    <n v="2024"/>
    <x v="3"/>
    <n v="10"/>
  </r>
  <r>
    <s v="CAMP2578"/>
    <x v="0"/>
    <x v="4"/>
    <d v="2024-03-23T00:00:00"/>
    <n v="90323"/>
    <n v="5473"/>
    <n v="779"/>
    <n v="3046.11"/>
    <n v="89744.33"/>
    <n v="6.0593647243780656E-2"/>
    <n v="0.14233509957975515"/>
    <n v="3.9102824133504495"/>
    <n v="29.461946548220517"/>
    <n v="2024"/>
    <x v="6"/>
    <n v="3"/>
  </r>
  <r>
    <s v="CAMP2579"/>
    <x v="4"/>
    <x v="2"/>
    <d v="2024-12-18T00:00:00"/>
    <n v="132674"/>
    <n v="3647"/>
    <n v="540"/>
    <n v="3013.35"/>
    <n v="14003.11"/>
    <n v="2.7488430287773039E-2"/>
    <n v="0.14806690430490815"/>
    <n v="5.5802777777777779"/>
    <n v="4.6470240761942696"/>
    <n v="2024"/>
    <x v="4"/>
    <n v="12"/>
  </r>
  <r>
    <s v="CAMP2580"/>
    <x v="4"/>
    <x v="3"/>
    <d v="2024-05-21T00:00:00"/>
    <n v="146006"/>
    <n v="5235"/>
    <n v="733"/>
    <n v="732.95"/>
    <n v="24503.07"/>
    <n v="3.5854690903113572E-2"/>
    <n v="0.14001910219675262"/>
    <n v="0.99993178717598918"/>
    <n v="33.43075243877481"/>
    <n v="2024"/>
    <x v="8"/>
    <n v="5"/>
  </r>
  <r>
    <s v="CAMP2581"/>
    <x v="0"/>
    <x v="3"/>
    <d v="2025-01-31T00:00:00"/>
    <n v="113469"/>
    <n v="7682"/>
    <n v="1026"/>
    <n v="3031.08"/>
    <n v="79421.440000000002"/>
    <n v="6.7701310490089803E-2"/>
    <n v="0.13355896901848477"/>
    <n v="2.9542690058479533"/>
    <n v="26.202356915686821"/>
    <n v="2025"/>
    <x v="0"/>
    <n v="1"/>
  </r>
  <r>
    <s v="CAMP2582"/>
    <x v="0"/>
    <x v="2"/>
    <d v="2024-05-05T00:00:00"/>
    <n v="90941"/>
    <n v="4555"/>
    <n v="542"/>
    <n v="1451.45"/>
    <n v="39621.69"/>
    <n v="5.0087419315820149E-2"/>
    <n v="0.11899012074643249"/>
    <n v="2.6779520295202954"/>
    <n v="27.298005442833031"/>
    <n v="2024"/>
    <x v="8"/>
    <n v="5"/>
  </r>
  <r>
    <s v="CAMP2583"/>
    <x v="5"/>
    <x v="0"/>
    <d v="2024-03-12T00:00:00"/>
    <n v="22826"/>
    <n v="1619"/>
    <n v="179"/>
    <n v="3747.48"/>
    <n v="20713.88"/>
    <n v="7.09278892491019E-2"/>
    <n v="0.11056207535515751"/>
    <n v="20.93564245810056"/>
    <n v="5.5274157567218509"/>
    <n v="2024"/>
    <x v="6"/>
    <n v="3"/>
  </r>
  <r>
    <s v="CAMP2584"/>
    <x v="7"/>
    <x v="2"/>
    <d v="2025-01-17T00:00:00"/>
    <n v="61311"/>
    <n v="1403"/>
    <n v="113"/>
    <n v="2411.86"/>
    <n v="6023.04"/>
    <n v="2.2883332517818988E-2"/>
    <n v="8.0541696364932289E-2"/>
    <n v="21.343893805309737"/>
    <n v="2.4972593765807303"/>
    <n v="2025"/>
    <x v="0"/>
    <n v="1"/>
  </r>
  <r>
    <s v="CAMP2585"/>
    <x v="5"/>
    <x v="3"/>
    <d v="2024-11-05T00:00:00"/>
    <n v="11065"/>
    <n v="219"/>
    <n v="22"/>
    <n v="2251.19"/>
    <n v="2213.34"/>
    <n v="1.9792137370085856E-2"/>
    <n v="0.1004566210045662"/>
    <n v="102.32681818181818"/>
    <n v="0.98318667016111483"/>
    <n v="2024"/>
    <x v="5"/>
    <n v="11"/>
  </r>
  <r>
    <s v="CAMP2586"/>
    <x v="4"/>
    <x v="1"/>
    <d v="2024-01-31T00:00:00"/>
    <n v="139286"/>
    <n v="5034"/>
    <n v="470"/>
    <n v="4979.1400000000003"/>
    <n v="54510.05"/>
    <n v="3.6141464325201385E-2"/>
    <n v="9.3365117203019474E-2"/>
    <n v="10.593914893617022"/>
    <n v="10.947683736548882"/>
    <n v="2024"/>
    <x v="0"/>
    <n v="1"/>
  </r>
  <r>
    <s v="CAMP2587"/>
    <x v="7"/>
    <x v="1"/>
    <d v="2024-09-08T00:00:00"/>
    <n v="79094"/>
    <n v="3973"/>
    <n v="407"/>
    <n v="3725.28"/>
    <n v="31147.99"/>
    <n v="5.0231370268288368E-2"/>
    <n v="0.10244147998993204"/>
    <n v="9.1530221130221143"/>
    <n v="8.3612480135721334"/>
    <n v="2024"/>
    <x v="11"/>
    <n v="9"/>
  </r>
  <r>
    <s v="CAMP2588"/>
    <x v="0"/>
    <x v="1"/>
    <d v="2024-03-22T00:00:00"/>
    <n v="139611"/>
    <n v="9666"/>
    <n v="303"/>
    <n v="4627.99"/>
    <n v="24543.95"/>
    <n v="6.9235232180845346E-2"/>
    <n v="3.1346989447548108E-2"/>
    <n v="15.273894389438944"/>
    <n v="5.3033714420299098"/>
    <n v="2024"/>
    <x v="6"/>
    <n v="3"/>
  </r>
  <r>
    <s v="CAMP2589"/>
    <x v="1"/>
    <x v="0"/>
    <d v="2025-01-27T00:00:00"/>
    <n v="117970"/>
    <n v="7932"/>
    <n v="638"/>
    <n v="4468.91"/>
    <n v="76199.509999999995"/>
    <n v="6.7237433245740441E-2"/>
    <n v="8.0433686333837615E-2"/>
    <n v="7.0045611285266451"/>
    <n v="17.051028103049735"/>
    <n v="2025"/>
    <x v="0"/>
    <n v="1"/>
  </r>
  <r>
    <s v="CAMP2590"/>
    <x v="2"/>
    <x v="3"/>
    <d v="2024-02-07T00:00:00"/>
    <n v="52624"/>
    <n v="2912"/>
    <n v="186"/>
    <n v="2733.03"/>
    <n v="16602.099999999999"/>
    <n v="5.533596837944664E-2"/>
    <n v="6.3873626373626369E-2"/>
    <n v="14.693709677419356"/>
    <n v="6.0746131582895169"/>
    <n v="2024"/>
    <x v="9"/>
    <n v="2"/>
  </r>
  <r>
    <s v="CAMP2591"/>
    <x v="3"/>
    <x v="0"/>
    <d v="2024-07-24T00:00:00"/>
    <n v="82021"/>
    <n v="856"/>
    <n v="109"/>
    <n v="290.58"/>
    <n v="4635.01"/>
    <n v="1.0436351666036747E-2"/>
    <n v="0.12733644859813084"/>
    <n v="2.6658715596330276"/>
    <n v="15.950891320806663"/>
    <n v="2024"/>
    <x v="10"/>
    <n v="7"/>
  </r>
  <r>
    <s v="CAMP2592"/>
    <x v="3"/>
    <x v="4"/>
    <d v="2024-05-12T00:00:00"/>
    <n v="63429"/>
    <n v="3228"/>
    <n v="386"/>
    <n v="2755.35"/>
    <n v="32949.449999999997"/>
    <n v="5.0891548030080877E-2"/>
    <n v="0.11957868649318464"/>
    <n v="7.13821243523316"/>
    <n v="11.958353748162665"/>
    <n v="2024"/>
    <x v="8"/>
    <n v="5"/>
  </r>
  <r>
    <s v="CAMP2593"/>
    <x v="1"/>
    <x v="1"/>
    <d v="2024-06-30T00:00:00"/>
    <n v="45004"/>
    <n v="1044"/>
    <n v="41"/>
    <n v="1680.71"/>
    <n v="1233.68"/>
    <n v="2.3197937961070128E-2"/>
    <n v="3.9272030651340994E-2"/>
    <n v="40.992926829268292"/>
    <n v="0.73402312118092949"/>
    <n v="2024"/>
    <x v="2"/>
    <n v="6"/>
  </r>
  <r>
    <s v="CAMP2594"/>
    <x v="4"/>
    <x v="4"/>
    <d v="2024-10-03T00:00:00"/>
    <n v="96362"/>
    <n v="7403"/>
    <n v="463"/>
    <n v="1713.61"/>
    <n v="19913.810000000001"/>
    <n v="7.6824889479255309E-2"/>
    <n v="6.2542212616506818E-2"/>
    <n v="3.7011015118790493"/>
    <n v="11.620969765582602"/>
    <n v="2024"/>
    <x v="3"/>
    <n v="10"/>
  </r>
  <r>
    <s v="CAMP2595"/>
    <x v="1"/>
    <x v="4"/>
    <d v="2024-06-04T00:00:00"/>
    <n v="47805"/>
    <n v="1897"/>
    <n v="104"/>
    <n v="4694.25"/>
    <n v="4339.25"/>
    <n v="3.9682041627444826E-2"/>
    <n v="5.4823405376910911E-2"/>
    <n v="45.137019230769234"/>
    <n v="0.92437556585184"/>
    <n v="2024"/>
    <x v="2"/>
    <n v="6"/>
  </r>
  <r>
    <s v="CAMP2596"/>
    <x v="7"/>
    <x v="0"/>
    <d v="2024-03-11T00:00:00"/>
    <n v="120249"/>
    <n v="2238"/>
    <n v="320"/>
    <n v="322.02999999999997"/>
    <n v="34161.050000000003"/>
    <n v="1.8611381383628969E-2"/>
    <n v="0.14298480786416443"/>
    <n v="1.0063437499999999"/>
    <n v="106.08033413036054"/>
    <n v="2024"/>
    <x v="6"/>
    <n v="3"/>
  </r>
  <r>
    <s v="CAMP2597"/>
    <x v="1"/>
    <x v="2"/>
    <d v="2024-01-26T00:00:00"/>
    <n v="122129"/>
    <n v="4970"/>
    <n v="227"/>
    <n v="3900.72"/>
    <n v="17937.93"/>
    <n v="4.069467530234424E-2"/>
    <n v="4.5674044265593558E-2"/>
    <n v="17.183788546255506"/>
    <n v="4.5986202547222055"/>
    <n v="2024"/>
    <x v="0"/>
    <n v="1"/>
  </r>
  <r>
    <s v="CAMP2598"/>
    <x v="0"/>
    <x v="0"/>
    <d v="2024-03-30T00:00:00"/>
    <n v="137829"/>
    <n v="10189"/>
    <n v="1163"/>
    <n v="784.18"/>
    <n v="111253.32"/>
    <n v="7.3924935971384831E-2"/>
    <n v="0.11414270291490823"/>
    <n v="0.67427343078245916"/>
    <n v="141.87217220536104"/>
    <n v="2024"/>
    <x v="6"/>
    <n v="3"/>
  </r>
  <r>
    <s v="CAMP2599"/>
    <x v="0"/>
    <x v="2"/>
    <d v="2025-01-14T00:00:00"/>
    <n v="98949"/>
    <n v="6182"/>
    <n v="378"/>
    <n v="1116.71"/>
    <n v="44798.75"/>
    <n v="6.2476629374728393E-2"/>
    <n v="6.114526043351666E-2"/>
    <n v="2.9542592592592594"/>
    <n v="40.11672681358634"/>
    <n v="2025"/>
    <x v="0"/>
    <n v="1"/>
  </r>
  <r>
    <s v="CAMP2600"/>
    <x v="7"/>
    <x v="2"/>
    <d v="2024-05-10T00:00:00"/>
    <n v="138361"/>
    <n v="2468"/>
    <n v="195"/>
    <n v="234.83"/>
    <n v="19566.53"/>
    <n v="1.7837396376146456E-2"/>
    <n v="7.9011345218800655E-2"/>
    <n v="1.2042564102564104"/>
    <n v="83.322105352808407"/>
    <n v="2024"/>
    <x v="8"/>
    <n v="5"/>
  </r>
  <r>
    <s v="CAMP2601"/>
    <x v="3"/>
    <x v="0"/>
    <d v="2024-06-30T00:00:00"/>
    <n v="99474"/>
    <n v="7580"/>
    <n v="975"/>
    <n v="2283.91"/>
    <n v="102161.3"/>
    <n v="7.6200816293704884E-2"/>
    <n v="0.12862796833773088"/>
    <n v="2.3424717948717948"/>
    <n v="44.730878186968845"/>
    <n v="2024"/>
    <x v="2"/>
    <n v="6"/>
  </r>
  <r>
    <s v="CAMP2602"/>
    <x v="5"/>
    <x v="4"/>
    <d v="2024-12-25T00:00:00"/>
    <n v="27138"/>
    <n v="1506"/>
    <n v="188"/>
    <n v="4404.5200000000004"/>
    <n v="4057.98"/>
    <n v="5.5494141056820691E-2"/>
    <n v="0.1248339973439575"/>
    <n v="23.428297872340426"/>
    <n v="0.92132173312869503"/>
    <n v="2024"/>
    <x v="4"/>
    <n v="12"/>
  </r>
  <r>
    <s v="CAMP2603"/>
    <x v="5"/>
    <x v="3"/>
    <d v="2024-01-24T00:00:00"/>
    <n v="41893"/>
    <n v="2903"/>
    <n v="124"/>
    <n v="244.51"/>
    <n v="8910.91"/>
    <n v="6.9295586374812021E-2"/>
    <n v="4.2714433344815707E-2"/>
    <n v="1.9718548387096773"/>
    <n v="36.443949122735269"/>
    <n v="2024"/>
    <x v="0"/>
    <n v="1"/>
  </r>
  <r>
    <s v="CAMP2604"/>
    <x v="2"/>
    <x v="2"/>
    <d v="2025-01-25T00:00:00"/>
    <n v="15221"/>
    <n v="217"/>
    <n v="26"/>
    <n v="4358.46"/>
    <n v="2238.48"/>
    <n v="1.4256619144602852E-2"/>
    <n v="0.11981566820276497"/>
    <n v="167.63307692307691"/>
    <n v="0.51359425118046287"/>
    <n v="2025"/>
    <x v="0"/>
    <n v="1"/>
  </r>
  <r>
    <s v="CAMP2605"/>
    <x v="7"/>
    <x v="1"/>
    <d v="2024-07-31T00:00:00"/>
    <n v="46283"/>
    <n v="1821"/>
    <n v="77"/>
    <n v="2689.28"/>
    <n v="2705.63"/>
    <n v="3.9344899855238424E-2"/>
    <n v="4.2284459088412961E-2"/>
    <n v="34.925714285714285"/>
    <n v="1.0060796941932413"/>
    <n v="2024"/>
    <x v="10"/>
    <n v="7"/>
  </r>
  <r>
    <s v="CAMP2606"/>
    <x v="2"/>
    <x v="3"/>
    <d v="2024-02-26T00:00:00"/>
    <n v="47565"/>
    <n v="575"/>
    <n v="26"/>
    <n v="2137.54"/>
    <n v="1490.28"/>
    <n v="1.2088720697992222E-2"/>
    <n v="4.5217391304347827E-2"/>
    <n v="82.213076923076926"/>
    <n v="0.6971939706391459"/>
    <n v="2024"/>
    <x v="9"/>
    <n v="2"/>
  </r>
  <r>
    <s v="CAMP2607"/>
    <x v="5"/>
    <x v="1"/>
    <d v="2024-06-13T00:00:00"/>
    <n v="12465"/>
    <n v="808"/>
    <n v="50"/>
    <n v="4466.34"/>
    <n v="1171.1099999999999"/>
    <n v="6.4821500200561571E-2"/>
    <n v="6.1881188118811881E-2"/>
    <n v="89.326800000000006"/>
    <n v="0.26220798237483034"/>
    <n v="2024"/>
    <x v="2"/>
    <n v="6"/>
  </r>
  <r>
    <s v="CAMP2608"/>
    <x v="2"/>
    <x v="2"/>
    <d v="2024-01-24T00:00:00"/>
    <n v="146420"/>
    <n v="5328"/>
    <n v="521"/>
    <n v="2720.98"/>
    <n v="18660.79"/>
    <n v="3.6388471520284113E-2"/>
    <n v="9.7785285285285281E-2"/>
    <n v="5.2226103646833018"/>
    <n v="6.8581136208277904"/>
    <n v="2024"/>
    <x v="0"/>
    <n v="1"/>
  </r>
  <r>
    <s v="CAMP2609"/>
    <x v="4"/>
    <x v="3"/>
    <d v="2024-04-24T00:00:00"/>
    <n v="29149"/>
    <n v="1148"/>
    <n v="32"/>
    <n v="4849.91"/>
    <n v="2126.19"/>
    <n v="3.9383855363820372E-2"/>
    <n v="2.7874564459930314E-2"/>
    <n v="151.5596875"/>
    <n v="0.43839782593903809"/>
    <n v="2024"/>
    <x v="7"/>
    <n v="4"/>
  </r>
  <r>
    <s v="CAMP2610"/>
    <x v="3"/>
    <x v="1"/>
    <d v="2024-08-13T00:00:00"/>
    <n v="40233"/>
    <n v="2815"/>
    <n v="352"/>
    <n v="203.46"/>
    <n v="23803.77"/>
    <n v="6.9967439663957451E-2"/>
    <n v="0.125044404973357"/>
    <n v="0.57801136363636363"/>
    <n v="116.99483928044825"/>
    <n v="2024"/>
    <x v="1"/>
    <n v="8"/>
  </r>
  <r>
    <s v="CAMP2611"/>
    <x v="5"/>
    <x v="4"/>
    <d v="2024-06-14T00:00:00"/>
    <n v="146554"/>
    <n v="5215"/>
    <n v="520"/>
    <n v="3638.31"/>
    <n v="35245.07"/>
    <n v="3.5584153281384333E-2"/>
    <n v="9.9712368168744014E-2"/>
    <n v="6.9967499999999996"/>
    <n v="9.687209171291066"/>
    <n v="2024"/>
    <x v="2"/>
    <n v="6"/>
  </r>
  <r>
    <s v="CAMP2612"/>
    <x v="1"/>
    <x v="4"/>
    <d v="2024-04-22T00:00:00"/>
    <n v="139934"/>
    <n v="2670"/>
    <n v="380"/>
    <n v="1282.6500000000001"/>
    <n v="10723.18"/>
    <n v="1.9080423628281905E-2"/>
    <n v="0.14232209737827714"/>
    <n v="3.3753947368421056"/>
    <n v="8.360176197715667"/>
    <n v="2024"/>
    <x v="7"/>
    <n v="4"/>
  </r>
  <r>
    <s v="CAMP2613"/>
    <x v="0"/>
    <x v="2"/>
    <d v="2024-05-24T00:00:00"/>
    <n v="32584"/>
    <n v="895"/>
    <n v="47"/>
    <n v="3704.15"/>
    <n v="2355.21"/>
    <n v="2.7467468696292657E-2"/>
    <n v="5.2513966480446927E-2"/>
    <n v="78.811702127659572"/>
    <n v="0.63583008247506179"/>
    <n v="2024"/>
    <x v="8"/>
    <n v="5"/>
  </r>
  <r>
    <s v="CAMP2614"/>
    <x v="6"/>
    <x v="1"/>
    <d v="2024-09-23T00:00:00"/>
    <n v="140503"/>
    <n v="7081"/>
    <n v="954"/>
    <n v="3847.49"/>
    <n v="31644.86"/>
    <n v="5.0397500409243928E-2"/>
    <n v="0.13472673351221578"/>
    <n v="4.0330083857442345"/>
    <n v="8.2248063022905846"/>
    <n v="2024"/>
    <x v="11"/>
    <n v="9"/>
  </r>
  <r>
    <s v="CAMP2615"/>
    <x v="3"/>
    <x v="3"/>
    <d v="2024-12-04T00:00:00"/>
    <n v="43068"/>
    <n v="2177"/>
    <n v="308"/>
    <n v="364.28"/>
    <n v="34065.25"/>
    <n v="5.0547970651063437E-2"/>
    <n v="0.14147909967845659"/>
    <n v="1.1827272727272726"/>
    <n v="93.513917865378289"/>
    <n v="2024"/>
    <x v="4"/>
    <n v="12"/>
  </r>
  <r>
    <s v="CAMP2616"/>
    <x v="3"/>
    <x v="0"/>
    <d v="2025-02-10T00:00:00"/>
    <n v="56877"/>
    <n v="4468"/>
    <n v="97"/>
    <n v="3246.23"/>
    <n v="10043.18"/>
    <n v="7.8555479367758502E-2"/>
    <n v="2.1709937332139658E-2"/>
    <n v="33.466288659793811"/>
    <n v="3.0937980364915609"/>
    <n v="2025"/>
    <x v="9"/>
    <n v="2"/>
  </r>
  <r>
    <s v="CAMP2617"/>
    <x v="1"/>
    <x v="4"/>
    <d v="2024-07-22T00:00:00"/>
    <n v="89549"/>
    <n v="968"/>
    <n v="79"/>
    <n v="4316.87"/>
    <n v="3063.21"/>
    <n v="1.0809724285028308E-2"/>
    <n v="8.161157024793389E-2"/>
    <n v="54.643924050632911"/>
    <n v="0.7095905134970476"/>
    <n v="2024"/>
    <x v="10"/>
    <n v="7"/>
  </r>
  <r>
    <s v="CAMP2618"/>
    <x v="3"/>
    <x v="2"/>
    <d v="2024-04-19T00:00:00"/>
    <n v="123801"/>
    <n v="6622"/>
    <n v="602"/>
    <n v="765.53"/>
    <n v="28854.17"/>
    <n v="5.3489067131929469E-2"/>
    <n v="9.0909090909090912E-2"/>
    <n v="1.2716445182724252"/>
    <n v="37.691756038300262"/>
    <n v="2024"/>
    <x v="7"/>
    <n v="4"/>
  </r>
  <r>
    <s v="CAMP2619"/>
    <x v="7"/>
    <x v="3"/>
    <d v="2024-04-05T00:00:00"/>
    <n v="71921"/>
    <n v="2435"/>
    <n v="324"/>
    <n v="3905.64"/>
    <n v="21264.639999999999"/>
    <n v="3.3856592650269045E-2"/>
    <n v="0.13305954825462013"/>
    <n v="12.054444444444444"/>
    <n v="5.4445980684343667"/>
    <n v="2024"/>
    <x v="7"/>
    <n v="4"/>
  </r>
  <r>
    <s v="CAMP2620"/>
    <x v="0"/>
    <x v="3"/>
    <d v="2025-01-25T00:00:00"/>
    <n v="141071"/>
    <n v="4006"/>
    <n v="487"/>
    <n v="2247.27"/>
    <n v="10977.66"/>
    <n v="2.8397048294830262E-2"/>
    <n v="0.12156764852720918"/>
    <n v="4.6145174537987677"/>
    <n v="4.8848869962220824"/>
    <n v="2025"/>
    <x v="0"/>
    <n v="1"/>
  </r>
  <r>
    <s v="CAMP2621"/>
    <x v="2"/>
    <x v="0"/>
    <d v="2024-04-26T00:00:00"/>
    <n v="124913"/>
    <n v="8507"/>
    <n v="303"/>
    <n v="3620.94"/>
    <n v="9886.8700000000008"/>
    <n v="6.8103399966376599E-2"/>
    <n v="3.5617726578112144E-2"/>
    <n v="11.95029702970297"/>
    <n v="2.7304705407987981"/>
    <n v="2024"/>
    <x v="7"/>
    <n v="4"/>
  </r>
  <r>
    <s v="CAMP2622"/>
    <x v="7"/>
    <x v="3"/>
    <d v="2024-08-19T00:00:00"/>
    <n v="119337"/>
    <n v="5815"/>
    <n v="826"/>
    <n v="4838.2"/>
    <n v="96780.75"/>
    <n v="4.8727553064011997E-2"/>
    <n v="0.14204643164230438"/>
    <n v="5.8573849878934618"/>
    <n v="20.003462031333967"/>
    <n v="2024"/>
    <x v="1"/>
    <n v="8"/>
  </r>
  <r>
    <s v="CAMP2623"/>
    <x v="2"/>
    <x v="2"/>
    <d v="2025-02-23T00:00:00"/>
    <n v="138930"/>
    <n v="3284"/>
    <n v="424"/>
    <n v="1264.9100000000001"/>
    <n v="9188.9"/>
    <n v="2.3637803210249764E-2"/>
    <n v="0.12911084043848964"/>
    <n v="2.9832783018867928"/>
    <n v="7.2644694088907507"/>
    <n v="2025"/>
    <x v="9"/>
    <n v="2"/>
  </r>
  <r>
    <s v="CAMP2624"/>
    <x v="7"/>
    <x v="1"/>
    <d v="2024-11-03T00:00:00"/>
    <n v="44785"/>
    <n v="2212"/>
    <n v="196"/>
    <n v="425.58"/>
    <n v="14369.86"/>
    <n v="4.9391537345093224E-2"/>
    <n v="8.8607594936708861E-2"/>
    <n v="2.1713265306122449"/>
    <n v="33.76535551482683"/>
    <n v="2024"/>
    <x v="5"/>
    <n v="11"/>
  </r>
  <r>
    <s v="CAMP2625"/>
    <x v="1"/>
    <x v="1"/>
    <d v="2024-03-26T00:00:00"/>
    <n v="103165"/>
    <n v="2178"/>
    <n v="236"/>
    <n v="3247.56"/>
    <n v="24991"/>
    <n v="2.1111811176271023E-2"/>
    <n v="0.10835629017447199"/>
    <n v="13.760847457627118"/>
    <n v="7.6953158679131413"/>
    <n v="2024"/>
    <x v="6"/>
    <n v="3"/>
  </r>
  <r>
    <s v="CAMP2626"/>
    <x v="1"/>
    <x v="4"/>
    <d v="2024-10-03T00:00:00"/>
    <n v="116153"/>
    <n v="8140"/>
    <n v="457"/>
    <n v="4803.47"/>
    <n v="52504.69"/>
    <n v="7.0079980715091306E-2"/>
    <n v="5.6142506142506141E-2"/>
    <n v="10.510875273522977"/>
    <n v="10.930575188353419"/>
    <n v="2024"/>
    <x v="3"/>
    <n v="10"/>
  </r>
  <r>
    <s v="CAMP2627"/>
    <x v="5"/>
    <x v="2"/>
    <d v="2024-09-24T00:00:00"/>
    <n v="115431"/>
    <n v="8375"/>
    <n v="677"/>
    <n v="853.38"/>
    <n v="77052.3"/>
    <n v="7.2554166558376862E-2"/>
    <n v="8.0835820895522381E-2"/>
    <n v="1.2605317577548005"/>
    <n v="90.290726288406105"/>
    <n v="2024"/>
    <x v="11"/>
    <n v="9"/>
  </r>
  <r>
    <s v="CAMP2628"/>
    <x v="4"/>
    <x v="0"/>
    <d v="2024-05-08T00:00:00"/>
    <n v="86685"/>
    <n v="2133"/>
    <n v="246"/>
    <n v="3051.13"/>
    <n v="6563.64"/>
    <n v="2.4606333275653227E-2"/>
    <n v="0.11533052039381153"/>
    <n v="12.402967479674798"/>
    <n v="2.1512161068194406"/>
    <n v="2024"/>
    <x v="8"/>
    <n v="5"/>
  </r>
  <r>
    <s v="CAMP2629"/>
    <x v="3"/>
    <x v="4"/>
    <d v="2024-03-14T00:00:00"/>
    <n v="131073"/>
    <n v="8856"/>
    <n v="1057"/>
    <n v="4073.54"/>
    <n v="121651.25"/>
    <n v="6.7565402485637777E-2"/>
    <n v="0.11935411020776875"/>
    <n v="3.8538694418164616"/>
    <n v="29.863767141110682"/>
    <n v="2024"/>
    <x v="6"/>
    <n v="3"/>
  </r>
  <r>
    <s v="CAMP2630"/>
    <x v="1"/>
    <x v="2"/>
    <d v="2025-02-06T00:00:00"/>
    <n v="46797"/>
    <n v="2584"/>
    <n v="183"/>
    <n v="1128.18"/>
    <n v="18928.22"/>
    <n v="5.5217214778725134E-2"/>
    <n v="7.0820433436532507E-2"/>
    <n v="6.1649180327868853"/>
    <n v="16.777659593327307"/>
    <n v="2025"/>
    <x v="9"/>
    <n v="2"/>
  </r>
  <r>
    <s v="CAMP2631"/>
    <x v="0"/>
    <x v="4"/>
    <d v="2024-05-21T00:00:00"/>
    <n v="41815"/>
    <n v="3030"/>
    <n v="109"/>
    <n v="3750.34"/>
    <n v="12473.32"/>
    <n v="7.2462035154848739E-2"/>
    <n v="3.5973597359735973E-2"/>
    <n v="34.406788990825689"/>
    <n v="3.3259171168480721"/>
    <n v="2024"/>
    <x v="8"/>
    <n v="5"/>
  </r>
  <r>
    <s v="CAMP2632"/>
    <x v="2"/>
    <x v="4"/>
    <d v="2024-08-15T00:00:00"/>
    <n v="42331"/>
    <n v="2415"/>
    <n v="287"/>
    <n v="251.69"/>
    <n v="9106.2800000000007"/>
    <n v="5.7050388604096287E-2"/>
    <n v="0.11884057971014493"/>
    <n v="0.87696864111498252"/>
    <n v="36.180539552624261"/>
    <n v="2024"/>
    <x v="1"/>
    <n v="8"/>
  </r>
  <r>
    <s v="CAMP2633"/>
    <x v="5"/>
    <x v="1"/>
    <d v="2024-02-22T00:00:00"/>
    <n v="128498"/>
    <n v="3373"/>
    <n v="259"/>
    <n v="4146.75"/>
    <n v="19198.62"/>
    <n v="2.6249435788883873E-2"/>
    <n v="7.678624369997035E-2"/>
    <n v="16.010617760617759"/>
    <n v="4.6297992403689632"/>
    <n v="2024"/>
    <x v="9"/>
    <n v="2"/>
  </r>
  <r>
    <s v="CAMP2634"/>
    <x v="6"/>
    <x v="4"/>
    <d v="2024-02-06T00:00:00"/>
    <n v="94489"/>
    <n v="6733"/>
    <n v="965"/>
    <n v="396.66"/>
    <n v="100164.82"/>
    <n v="7.1256971710992809E-2"/>
    <n v="0.1433239269270756"/>
    <n v="0.41104663212435238"/>
    <n v="252.52059698482327"/>
    <n v="2024"/>
    <x v="9"/>
    <n v="2"/>
  </r>
  <r>
    <s v="CAMP2635"/>
    <x v="5"/>
    <x v="0"/>
    <d v="2024-11-16T00:00:00"/>
    <n v="127296"/>
    <n v="5068"/>
    <n v="212"/>
    <n v="3606.85"/>
    <n v="22588.73"/>
    <n v="3.9812719959778781E-2"/>
    <n v="4.1831097079715863E-2"/>
    <n v="17.013443396226414"/>
    <n v="6.262730637536909"/>
    <n v="2024"/>
    <x v="5"/>
    <n v="11"/>
  </r>
  <r>
    <s v="CAMP2636"/>
    <x v="6"/>
    <x v="3"/>
    <d v="2024-04-25T00:00:00"/>
    <n v="142059"/>
    <n v="2445"/>
    <n v="365"/>
    <n v="3095.92"/>
    <n v="29165.21"/>
    <n v="1.721115874390218E-2"/>
    <n v="0.1492842535787321"/>
    <n v="8.4819726027397255"/>
    <n v="9.4205308922711168"/>
    <n v="2024"/>
    <x v="7"/>
    <n v="4"/>
  </r>
  <r>
    <s v="CAMP2637"/>
    <x v="7"/>
    <x v="4"/>
    <d v="2024-12-06T00:00:00"/>
    <n v="134638"/>
    <n v="9232"/>
    <n v="1340"/>
    <n v="2224.04"/>
    <n v="112300.03"/>
    <n v="6.8569051827864352E-2"/>
    <n v="0.1451473136915078"/>
    <n v="1.6597313432835821"/>
    <n v="50.493709645509973"/>
    <n v="2024"/>
    <x v="4"/>
    <n v="12"/>
  </r>
  <r>
    <s v="CAMP2638"/>
    <x v="5"/>
    <x v="3"/>
    <d v="2024-05-08T00:00:00"/>
    <n v="138122"/>
    <n v="4560"/>
    <n v="486"/>
    <n v="1406"/>
    <n v="27053.74"/>
    <n v="3.301429171312318E-2"/>
    <n v="0.10657894736842105"/>
    <n v="2.8930041152263373"/>
    <n v="19.241635846372688"/>
    <n v="2024"/>
    <x v="8"/>
    <n v="5"/>
  </r>
  <r>
    <s v="CAMP2639"/>
    <x v="4"/>
    <x v="0"/>
    <d v="2024-12-31T00:00:00"/>
    <n v="132283"/>
    <n v="3570"/>
    <n v="301"/>
    <n v="3037.21"/>
    <n v="26055.42"/>
    <n v="2.6987594777862611E-2"/>
    <n v="8.4313725490196084E-2"/>
    <n v="10.090398671096345"/>
    <n v="8.5787350891113885"/>
    <n v="2024"/>
    <x v="4"/>
    <n v="12"/>
  </r>
  <r>
    <s v="CAMP2640"/>
    <x v="0"/>
    <x v="2"/>
    <d v="2024-10-14T00:00:00"/>
    <n v="103519"/>
    <n v="5431"/>
    <n v="723"/>
    <n v="3404.27"/>
    <n v="17503.919999999998"/>
    <n v="5.2463798916140995E-2"/>
    <n v="0.13312465475971277"/>
    <n v="4.7085338865836794"/>
    <n v="5.1417543261844676"/>
    <n v="2024"/>
    <x v="3"/>
    <n v="10"/>
  </r>
  <r>
    <s v="CAMP2641"/>
    <x v="0"/>
    <x v="1"/>
    <d v="2025-02-10T00:00:00"/>
    <n v="30841"/>
    <n v="1551"/>
    <n v="54"/>
    <n v="3867.35"/>
    <n v="3027.78"/>
    <n v="5.0290198112901655E-2"/>
    <n v="3.4816247582205029E-2"/>
    <n v="71.617592592592587"/>
    <n v="0.78290819294865999"/>
    <n v="2025"/>
    <x v="9"/>
    <n v="2"/>
  </r>
  <r>
    <s v="CAMP2642"/>
    <x v="3"/>
    <x v="2"/>
    <d v="2025-01-02T00:00:00"/>
    <n v="15450"/>
    <n v="530"/>
    <n v="64"/>
    <n v="4290.72"/>
    <n v="4949.41"/>
    <n v="3.4304207119741102E-2"/>
    <n v="0.12075471698113208"/>
    <n v="67.042500000000004"/>
    <n v="1.1535150277808852"/>
    <n v="2025"/>
    <x v="0"/>
    <n v="1"/>
  </r>
  <r>
    <s v="CAMP2643"/>
    <x v="4"/>
    <x v="2"/>
    <d v="2025-02-20T00:00:00"/>
    <n v="118193"/>
    <n v="6717"/>
    <n v="156"/>
    <n v="2921.26"/>
    <n v="3496.65"/>
    <n v="5.6830776780350784E-2"/>
    <n v="2.3224653863331845E-2"/>
    <n v="18.726025641025643"/>
    <n v="1.1969663775220281"/>
    <n v="2025"/>
    <x v="9"/>
    <n v="2"/>
  </r>
  <r>
    <s v="CAMP2644"/>
    <x v="7"/>
    <x v="0"/>
    <d v="2024-05-29T00:00:00"/>
    <n v="113041"/>
    <n v="7475"/>
    <n v="857"/>
    <n v="4277.26"/>
    <n v="38866.17"/>
    <n v="6.6126449695243325E-2"/>
    <n v="0.11464882943143813"/>
    <n v="4.9909684947491249"/>
    <n v="9.0866980263065606"/>
    <n v="2024"/>
    <x v="8"/>
    <n v="5"/>
  </r>
  <r>
    <s v="CAMP2645"/>
    <x v="7"/>
    <x v="3"/>
    <d v="2024-05-07T00:00:00"/>
    <n v="77517"/>
    <n v="3195"/>
    <n v="83"/>
    <n v="2399.38"/>
    <n v="9885.1"/>
    <n v="4.1216765354696386E-2"/>
    <n v="2.5978090766823163E-2"/>
    <n v="28.908192771084337"/>
    <n v="4.1198559627903872"/>
    <n v="2024"/>
    <x v="8"/>
    <n v="5"/>
  </r>
  <r>
    <s v="CAMP2646"/>
    <x v="5"/>
    <x v="4"/>
    <d v="2024-04-17T00:00:00"/>
    <n v="148465"/>
    <n v="8222"/>
    <n v="956"/>
    <n v="3815.93"/>
    <n v="93780.56"/>
    <n v="5.5380055905432254E-2"/>
    <n v="0.1162734127949404"/>
    <n v="3.9915585774058577"/>
    <n v="24.576069267518012"/>
    <n v="2024"/>
    <x v="7"/>
    <n v="4"/>
  </r>
  <r>
    <s v="CAMP2647"/>
    <x v="2"/>
    <x v="2"/>
    <d v="2024-02-15T00:00:00"/>
    <n v="92494"/>
    <n v="3202"/>
    <n v="288"/>
    <n v="4064.75"/>
    <n v="33578.019999999997"/>
    <n v="3.4618461738058687E-2"/>
    <n v="8.9943785134291063E-2"/>
    <n v="14.113715277777779"/>
    <n v="8.2607835660249709"/>
    <n v="2024"/>
    <x v="9"/>
    <n v="2"/>
  </r>
  <r>
    <s v="CAMP2648"/>
    <x v="7"/>
    <x v="3"/>
    <d v="2024-02-21T00:00:00"/>
    <n v="28706"/>
    <n v="1571"/>
    <n v="95"/>
    <n v="2586.52"/>
    <n v="3668.83"/>
    <n v="5.4727234724447849E-2"/>
    <n v="6.0471037555697008E-2"/>
    <n v="27.226526315789474"/>
    <n v="1.4184425405564234"/>
    <n v="2024"/>
    <x v="9"/>
    <n v="2"/>
  </r>
  <r>
    <s v="CAMP2649"/>
    <x v="3"/>
    <x v="4"/>
    <d v="2024-05-15T00:00:00"/>
    <n v="132255"/>
    <n v="4568"/>
    <n v="569"/>
    <n v="4499.75"/>
    <n v="54326.46"/>
    <n v="3.453933688707421E-2"/>
    <n v="0.12456217162872155"/>
    <n v="7.9081722319859402"/>
    <n v="12.073217400966721"/>
    <n v="2024"/>
    <x v="8"/>
    <n v="5"/>
  </r>
  <r>
    <s v="CAMP2650"/>
    <x v="2"/>
    <x v="3"/>
    <d v="2024-01-09T00:00:00"/>
    <n v="34223"/>
    <n v="796"/>
    <n v="48"/>
    <n v="2629.37"/>
    <n v="4043.08"/>
    <n v="2.3259211641293867E-2"/>
    <n v="6.030150753768844E-2"/>
    <n v="54.778541666666662"/>
    <n v="1.5376611127380324"/>
    <n v="2024"/>
    <x v="0"/>
    <n v="1"/>
  </r>
  <r>
    <s v="CAMP2651"/>
    <x v="5"/>
    <x v="1"/>
    <d v="2024-10-02T00:00:00"/>
    <n v="51637"/>
    <n v="1954"/>
    <n v="215"/>
    <n v="1153.3699999999999"/>
    <n v="6246.66"/>
    <n v="3.7841082944400334E-2"/>
    <n v="0.11003070624360287"/>
    <n v="5.3645116279069764"/>
    <n v="5.4160070055576268"/>
    <n v="2024"/>
    <x v="3"/>
    <n v="10"/>
  </r>
  <r>
    <s v="CAMP2652"/>
    <x v="3"/>
    <x v="3"/>
    <d v="2024-03-15T00:00:00"/>
    <n v="94171"/>
    <n v="4454"/>
    <n v="318"/>
    <n v="4622.04"/>
    <n v="9655.31"/>
    <n v="4.7296938547960625E-2"/>
    <n v="7.1396497530309827E-2"/>
    <n v="14.534716981132075"/>
    <n v="2.0889715363778762"/>
    <n v="2024"/>
    <x v="6"/>
    <n v="3"/>
  </r>
  <r>
    <s v="CAMP2653"/>
    <x v="5"/>
    <x v="1"/>
    <d v="2024-10-18T00:00:00"/>
    <n v="26551"/>
    <n v="867"/>
    <n v="42"/>
    <n v="4165.4399999999996"/>
    <n v="1872.8"/>
    <n v="3.2654137320628225E-2"/>
    <n v="4.8442906574394463E-2"/>
    <n v="99.177142857142854"/>
    <n v="0.44960436352462169"/>
    <n v="2024"/>
    <x v="3"/>
    <n v="10"/>
  </r>
  <r>
    <s v="CAMP2654"/>
    <x v="2"/>
    <x v="3"/>
    <d v="2024-01-14T00:00:00"/>
    <n v="134628"/>
    <n v="3461"/>
    <n v="381"/>
    <n v="1251.08"/>
    <n v="40962.68"/>
    <n v="2.5707876519000507E-2"/>
    <n v="0.11008379081190407"/>
    <n v="3.2836745406824144"/>
    <n v="32.741855037247817"/>
    <n v="2024"/>
    <x v="0"/>
    <n v="1"/>
  </r>
  <r>
    <s v="CAMP2655"/>
    <x v="6"/>
    <x v="4"/>
    <d v="2024-03-15T00:00:00"/>
    <n v="8255"/>
    <n v="254"/>
    <n v="36"/>
    <n v="4316.1499999999996"/>
    <n v="2459.7800000000002"/>
    <n v="3.0769230769230771E-2"/>
    <n v="0.14173228346456693"/>
    <n v="119.89305555555555"/>
    <n v="0.56990141677189166"/>
    <n v="2024"/>
    <x v="6"/>
    <n v="3"/>
  </r>
  <r>
    <s v="CAMP2656"/>
    <x v="6"/>
    <x v="2"/>
    <d v="2024-10-11T00:00:00"/>
    <n v="149500"/>
    <n v="11942"/>
    <n v="537"/>
    <n v="1093.08"/>
    <n v="38587.279999999999"/>
    <n v="7.9879598662207354E-2"/>
    <n v="4.4967342153743095E-2"/>
    <n v="2.0355307262569831"/>
    <n v="35.301423500567203"/>
    <n v="2024"/>
    <x v="3"/>
    <n v="10"/>
  </r>
  <r>
    <s v="CAMP2657"/>
    <x v="3"/>
    <x v="1"/>
    <d v="2024-07-17T00:00:00"/>
    <n v="73548"/>
    <n v="4374"/>
    <n v="645"/>
    <n v="4056.45"/>
    <n v="29899.45"/>
    <n v="5.9471365638766517E-2"/>
    <n v="0.14746227709190673"/>
    <n v="6.2890697674418599"/>
    <n v="7.3708414993405569"/>
    <n v="2024"/>
    <x v="10"/>
    <n v="7"/>
  </r>
  <r>
    <s v="CAMP2658"/>
    <x v="7"/>
    <x v="3"/>
    <d v="2024-04-30T00:00:00"/>
    <n v="88926"/>
    <n v="4252"/>
    <n v="127"/>
    <n v="3527.36"/>
    <n v="6625.11"/>
    <n v="4.781503722195983E-2"/>
    <n v="2.9868297271872062E-2"/>
    <n v="27.774488188976378"/>
    <n v="1.8782063639662523"/>
    <n v="2024"/>
    <x v="7"/>
    <n v="4"/>
  </r>
  <r>
    <s v="CAMP2659"/>
    <x v="1"/>
    <x v="1"/>
    <d v="2024-10-23T00:00:00"/>
    <n v="38754"/>
    <n v="649"/>
    <n v="90"/>
    <n v="4930.42"/>
    <n v="8175.19"/>
    <n v="1.674665840945451E-2"/>
    <n v="0.13867488443759629"/>
    <n v="54.782444444444444"/>
    <n v="1.6581122906364973"/>
    <n v="2024"/>
    <x v="3"/>
    <n v="10"/>
  </r>
  <r>
    <s v="CAMP2660"/>
    <x v="7"/>
    <x v="0"/>
    <d v="2025-02-17T00:00:00"/>
    <n v="64722"/>
    <n v="3909"/>
    <n v="442"/>
    <n v="3295.84"/>
    <n v="33330.019999999997"/>
    <n v="6.0396773894502639E-2"/>
    <n v="0.11307239703248913"/>
    <n v="7.4566515837104079"/>
    <n v="10.112754259915528"/>
    <n v="2025"/>
    <x v="9"/>
    <n v="2"/>
  </r>
  <r>
    <s v="CAMP2661"/>
    <x v="1"/>
    <x v="2"/>
    <d v="2024-05-17T00:00:00"/>
    <n v="18946"/>
    <n v="799"/>
    <n v="61"/>
    <n v="3037.1"/>
    <n v="1614.41"/>
    <n v="4.2172490235405889E-2"/>
    <n v="7.634543178973717E-2"/>
    <n v="49.788524590163931"/>
    <n v="0.53156300418162061"/>
    <n v="2024"/>
    <x v="8"/>
    <n v="5"/>
  </r>
  <r>
    <s v="CAMP2662"/>
    <x v="2"/>
    <x v="0"/>
    <d v="2024-10-13T00:00:00"/>
    <n v="122563"/>
    <n v="6021"/>
    <n v="165"/>
    <n v="1868.49"/>
    <n v="17615.02"/>
    <n v="4.9125755733785886E-2"/>
    <n v="2.7404085700049825E-2"/>
    <n v="11.324181818181819"/>
    <n v="9.4274092984174391"/>
    <n v="2024"/>
    <x v="3"/>
    <n v="10"/>
  </r>
  <r>
    <s v="CAMP2663"/>
    <x v="2"/>
    <x v="0"/>
    <d v="2024-12-15T00:00:00"/>
    <n v="97907"/>
    <n v="1427"/>
    <n v="161"/>
    <n v="2934.82"/>
    <n v="18472.349999999999"/>
    <n v="1.4575055920414271E-2"/>
    <n v="0.11282410651716888"/>
    <n v="18.228695652173915"/>
    <n v="6.2942020294259944"/>
    <n v="2024"/>
    <x v="4"/>
    <n v="12"/>
  </r>
  <r>
    <s v="CAMP2664"/>
    <x v="4"/>
    <x v="1"/>
    <d v="2024-09-08T00:00:00"/>
    <n v="117939"/>
    <n v="6993"/>
    <n v="996"/>
    <n v="4933.79"/>
    <n v="41354.33"/>
    <n v="5.9293363518429017E-2"/>
    <n v="0.14242814242814242"/>
    <n v="4.9536044176706824"/>
    <n v="8.3818585711998281"/>
    <n v="2024"/>
    <x v="11"/>
    <n v="9"/>
  </r>
  <r>
    <s v="CAMP2665"/>
    <x v="6"/>
    <x v="3"/>
    <d v="2024-10-02T00:00:00"/>
    <n v="84865"/>
    <n v="2812"/>
    <n v="264"/>
    <n v="4404.6499999999996"/>
    <n v="30261.47"/>
    <n v="3.3134979084428209E-2"/>
    <n v="9.388335704125178E-2"/>
    <n v="16.684280303030302"/>
    <n v="6.870346111495806"/>
    <n v="2024"/>
    <x v="3"/>
    <n v="10"/>
  </r>
  <r>
    <s v="CAMP2666"/>
    <x v="2"/>
    <x v="1"/>
    <d v="2024-12-14T00:00:00"/>
    <n v="87433"/>
    <n v="6154"/>
    <n v="899"/>
    <n v="454.26"/>
    <n v="85806.52"/>
    <n v="7.0385323619228432E-2"/>
    <n v="0.14608384790380241"/>
    <n v="0.50529477196885431"/>
    <n v="188.8929687843966"/>
    <n v="2024"/>
    <x v="4"/>
    <n v="12"/>
  </r>
  <r>
    <s v="CAMP2667"/>
    <x v="0"/>
    <x v="0"/>
    <d v="2024-11-10T00:00:00"/>
    <n v="21679"/>
    <n v="1020"/>
    <n v="117"/>
    <n v="3716.27"/>
    <n v="5250.95"/>
    <n v="4.7050140689146175E-2"/>
    <n v="0.11470588235294117"/>
    <n v="31.762991452991454"/>
    <n v="1.4129624596705836"/>
    <n v="2024"/>
    <x v="5"/>
    <n v="11"/>
  </r>
  <r>
    <s v="CAMP2668"/>
    <x v="2"/>
    <x v="4"/>
    <d v="2024-01-16T00:00:00"/>
    <n v="134754"/>
    <n v="8220"/>
    <n v="518"/>
    <n v="651.97"/>
    <n v="31264.16"/>
    <n v="6.1000044525579944E-2"/>
    <n v="6.301703163017032E-2"/>
    <n v="1.2586293436293436"/>
    <n v="47.95337208767274"/>
    <n v="2024"/>
    <x v="0"/>
    <n v="1"/>
  </r>
  <r>
    <s v="CAMP2669"/>
    <x v="3"/>
    <x v="2"/>
    <d v="2024-07-14T00:00:00"/>
    <n v="129363"/>
    <n v="2547"/>
    <n v="164"/>
    <n v="660.14"/>
    <n v="9104.57"/>
    <n v="1.9688782727673292E-2"/>
    <n v="6.4389477817039659E-2"/>
    <n v="4.0252439024390245"/>
    <n v="13.791877480534431"/>
    <n v="2024"/>
    <x v="10"/>
    <n v="7"/>
  </r>
  <r>
    <s v="CAMP2670"/>
    <x v="3"/>
    <x v="3"/>
    <d v="2024-09-12T00:00:00"/>
    <n v="28785"/>
    <n v="659"/>
    <n v="47"/>
    <n v="1287.8699999999999"/>
    <n v="5572.49"/>
    <n v="2.2893868334201841E-2"/>
    <n v="7.1320182094081946E-2"/>
    <n v="27.401489361702126"/>
    <n v="4.3269041129927714"/>
    <n v="2024"/>
    <x v="11"/>
    <n v="9"/>
  </r>
  <r>
    <s v="CAMP2671"/>
    <x v="0"/>
    <x v="3"/>
    <d v="2024-08-19T00:00:00"/>
    <n v="29648"/>
    <n v="1383"/>
    <n v="31"/>
    <n v="3109.57"/>
    <n v="3664.23"/>
    <n v="4.6647328656233132E-2"/>
    <n v="2.2415039768618944E-2"/>
    <n v="100.30870967741936"/>
    <n v="1.1783719292378045"/>
    <n v="2024"/>
    <x v="1"/>
    <n v="8"/>
  </r>
  <r>
    <s v="CAMP2672"/>
    <x v="4"/>
    <x v="3"/>
    <d v="2024-02-18T00:00:00"/>
    <n v="49174"/>
    <n v="497"/>
    <n v="73"/>
    <n v="260.38"/>
    <n v="3846.08"/>
    <n v="1.0106967096433075E-2"/>
    <n v="0.14688128772635814"/>
    <n v="3.566849315068493"/>
    <n v="14.771026960596052"/>
    <n v="2024"/>
    <x v="9"/>
    <n v="2"/>
  </r>
  <r>
    <s v="CAMP2673"/>
    <x v="5"/>
    <x v="0"/>
    <d v="2025-02-13T00:00:00"/>
    <n v="103261"/>
    <n v="7244"/>
    <n v="1044"/>
    <n v="1104.71"/>
    <n v="85699.08"/>
    <n v="7.0152332439159026E-2"/>
    <n v="0.14411927112092768"/>
    <n v="1.0581513409961687"/>
    <n v="77.576087842058101"/>
    <n v="2025"/>
    <x v="9"/>
    <n v="2"/>
  </r>
  <r>
    <s v="CAMP2674"/>
    <x v="2"/>
    <x v="1"/>
    <d v="2024-04-21T00:00:00"/>
    <n v="95504"/>
    <n v="1603"/>
    <n v="174"/>
    <n v="942.42"/>
    <n v="9990.5300000000007"/>
    <n v="1.6784637292678841E-2"/>
    <n v="0.10854647535870243"/>
    <n v="5.4162068965517243"/>
    <n v="10.60093164406528"/>
    <n v="2024"/>
    <x v="7"/>
    <n v="4"/>
  </r>
  <r>
    <s v="CAMP2675"/>
    <x v="2"/>
    <x v="2"/>
    <d v="2024-12-27T00:00:00"/>
    <n v="51528"/>
    <n v="2345"/>
    <n v="295"/>
    <n v="2336.5100000000002"/>
    <n v="24251.439999999999"/>
    <n v="4.5509237696009938E-2"/>
    <n v="0.1257995735607676"/>
    <n v="7.9203728813559326"/>
    <n v="10.379343550851482"/>
    <n v="2024"/>
    <x v="4"/>
    <n v="12"/>
  </r>
  <r>
    <s v="CAMP2676"/>
    <x v="0"/>
    <x v="3"/>
    <d v="2024-05-29T00:00:00"/>
    <n v="33252"/>
    <n v="1144"/>
    <n v="49"/>
    <n v="2688.75"/>
    <n v="5391.13"/>
    <n v="3.4403945627330686E-2"/>
    <n v="4.2832167832167832E-2"/>
    <n v="54.872448979591837"/>
    <n v="2.0050692701069273"/>
    <n v="2024"/>
    <x v="8"/>
    <n v="5"/>
  </r>
  <r>
    <s v="CAMP2677"/>
    <x v="6"/>
    <x v="4"/>
    <d v="2024-11-04T00:00:00"/>
    <n v="45698"/>
    <n v="3647"/>
    <n v="509"/>
    <n v="4701.53"/>
    <n v="57446.07"/>
    <n v="7.9806556085605496E-2"/>
    <n v="0.13956676720592268"/>
    <n v="9.236797642436148"/>
    <n v="12.218590543929317"/>
    <n v="2024"/>
    <x v="5"/>
    <n v="11"/>
  </r>
  <r>
    <s v="CAMP2678"/>
    <x v="3"/>
    <x v="2"/>
    <d v="2024-02-29T00:00:00"/>
    <n v="22160"/>
    <n v="746"/>
    <n v="50"/>
    <n v="1349.37"/>
    <n v="5087.93"/>
    <n v="3.3664259927797834E-2"/>
    <n v="6.7024128686327081E-2"/>
    <n v="26.987399999999997"/>
    <n v="3.7705966488064804"/>
    <n v="2024"/>
    <x v="9"/>
    <n v="2"/>
  </r>
  <r>
    <s v="CAMP2679"/>
    <x v="1"/>
    <x v="2"/>
    <d v="2024-01-22T00:00:00"/>
    <n v="98931"/>
    <n v="1395"/>
    <n v="206"/>
    <n v="2506.0300000000002"/>
    <n v="21498.19"/>
    <n v="1.4100736877217454E-2"/>
    <n v="0.14767025089605734"/>
    <n v="12.165194174757282"/>
    <n v="8.5785844542962355"/>
    <n v="2024"/>
    <x v="0"/>
    <n v="1"/>
  </r>
  <r>
    <s v="CAMP2680"/>
    <x v="0"/>
    <x v="1"/>
    <d v="2024-02-16T00:00:00"/>
    <n v="89031"/>
    <n v="6573"/>
    <n v="612"/>
    <n v="3570.59"/>
    <n v="44166.38"/>
    <n v="7.3828217137850857E-2"/>
    <n v="9.3108169785486083E-2"/>
    <n v="5.834297385620915"/>
    <n v="12.369490756429608"/>
    <n v="2024"/>
    <x v="9"/>
    <n v="2"/>
  </r>
  <r>
    <s v="CAMP2681"/>
    <x v="1"/>
    <x v="3"/>
    <d v="2024-06-13T00:00:00"/>
    <n v="40514"/>
    <n v="1675"/>
    <n v="76"/>
    <n v="4732.3900000000003"/>
    <n v="4760.03"/>
    <n v="4.1343733030557335E-2"/>
    <n v="4.5373134328358211E-2"/>
    <n v="62.268289473684213"/>
    <n v="1.0058406006267444"/>
    <n v="2024"/>
    <x v="2"/>
    <n v="6"/>
  </r>
  <r>
    <s v="CAMP2682"/>
    <x v="3"/>
    <x v="2"/>
    <d v="2024-02-12T00:00:00"/>
    <n v="133572"/>
    <n v="1558"/>
    <n v="52"/>
    <n v="2894.01"/>
    <n v="4210.25"/>
    <n v="1.1664121223010811E-2"/>
    <n v="3.3376123234916559E-2"/>
    <n v="55.654038461538462"/>
    <n v="1.4548152908939498"/>
    <n v="2024"/>
    <x v="9"/>
    <n v="2"/>
  </r>
  <r>
    <s v="CAMP2683"/>
    <x v="5"/>
    <x v="2"/>
    <d v="2025-02-06T00:00:00"/>
    <n v="80286"/>
    <n v="5135"/>
    <n v="569"/>
    <n v="2732.24"/>
    <n v="13748.89"/>
    <n v="6.3958847121540499E-2"/>
    <n v="0.11080817916260954"/>
    <n v="4.8018277680140597"/>
    <n v="5.0320945451351271"/>
    <n v="2025"/>
    <x v="9"/>
    <n v="2"/>
  </r>
  <r>
    <s v="CAMP2684"/>
    <x v="0"/>
    <x v="3"/>
    <d v="2024-10-27T00:00:00"/>
    <n v="147288"/>
    <n v="3260"/>
    <n v="198"/>
    <n v="430.19"/>
    <n v="4513.67"/>
    <n v="2.2133507142469176E-2"/>
    <n v="6.0736196319018408E-2"/>
    <n v="2.1726767676767675"/>
    <n v="10.492270857063158"/>
    <n v="2024"/>
    <x v="3"/>
    <n v="10"/>
  </r>
  <r>
    <s v="CAMP2685"/>
    <x v="5"/>
    <x v="2"/>
    <d v="2024-04-06T00:00:00"/>
    <n v="97213"/>
    <n v="7533"/>
    <n v="202"/>
    <n v="4161.8900000000003"/>
    <n v="21688.85"/>
    <n v="7.7489636159772876E-2"/>
    <n v="2.6815345811761582E-2"/>
    <n v="20.603415841584159"/>
    <n v="5.2112982322935002"/>
    <n v="2024"/>
    <x v="7"/>
    <n v="4"/>
  </r>
  <r>
    <s v="CAMP2686"/>
    <x v="2"/>
    <x v="1"/>
    <d v="2024-07-08T00:00:00"/>
    <n v="16723"/>
    <n v="1233"/>
    <n v="40"/>
    <n v="4759.83"/>
    <n v="4369.42"/>
    <n v="7.3730789930036483E-2"/>
    <n v="3.2441200324412001E-2"/>
    <n v="118.99575"/>
    <n v="0.9179781630856565"/>
    <n v="2024"/>
    <x v="10"/>
    <n v="7"/>
  </r>
  <r>
    <s v="CAMP2687"/>
    <x v="7"/>
    <x v="0"/>
    <d v="2024-12-31T00:00:00"/>
    <n v="58374"/>
    <n v="2607"/>
    <n v="245"/>
    <n v="3142.48"/>
    <n v="6008.23"/>
    <n v="4.4660293966491932E-2"/>
    <n v="9.3977752205600312E-2"/>
    <n v="12.826448979591836"/>
    <n v="1.9119389781319212"/>
    <n v="2024"/>
    <x v="4"/>
    <n v="12"/>
  </r>
  <r>
    <s v="CAMP2688"/>
    <x v="3"/>
    <x v="4"/>
    <d v="2024-12-18T00:00:00"/>
    <n v="35495"/>
    <n v="2651"/>
    <n v="54"/>
    <n v="1353.86"/>
    <n v="5473.64"/>
    <n v="7.4686575574024514E-2"/>
    <n v="2.0369671821953979E-2"/>
    <n v="25.071481481481481"/>
    <n v="4.042988196711625"/>
    <n v="2024"/>
    <x v="4"/>
    <n v="12"/>
  </r>
  <r>
    <s v="CAMP2689"/>
    <x v="7"/>
    <x v="4"/>
    <d v="2024-07-18T00:00:00"/>
    <n v="64866"/>
    <n v="2336"/>
    <n v="301"/>
    <n v="414.83"/>
    <n v="10284.25"/>
    <n v="3.6012703111028888E-2"/>
    <n v="0.1288527397260274"/>
    <n v="1.3781727574750831"/>
    <n v="24.791480847576118"/>
    <n v="2024"/>
    <x v="10"/>
    <n v="7"/>
  </r>
  <r>
    <s v="CAMP2690"/>
    <x v="1"/>
    <x v="1"/>
    <d v="2024-12-08T00:00:00"/>
    <n v="72681"/>
    <n v="5213"/>
    <n v="390"/>
    <n v="2938.59"/>
    <n v="41485.99"/>
    <n v="7.1724384639727023E-2"/>
    <n v="7.4812967581047385E-2"/>
    <n v="7.5348461538461544"/>
    <n v="14.117651662872328"/>
    <n v="2024"/>
    <x v="4"/>
    <n v="12"/>
  </r>
  <r>
    <s v="CAMP2691"/>
    <x v="5"/>
    <x v="4"/>
    <d v="2024-11-30T00:00:00"/>
    <n v="76464"/>
    <n v="2954"/>
    <n v="63"/>
    <n v="4153.0600000000004"/>
    <n v="3635.93"/>
    <n v="3.8632559112785105E-2"/>
    <n v="2.132701421800948E-2"/>
    <n v="65.921587301587309"/>
    <n v="0.87548217458933886"/>
    <n v="2024"/>
    <x v="5"/>
    <n v="11"/>
  </r>
  <r>
    <s v="CAMP2692"/>
    <x v="1"/>
    <x v="2"/>
    <d v="2024-05-09T00:00:00"/>
    <n v="7734"/>
    <n v="416"/>
    <n v="29"/>
    <n v="3540.81"/>
    <n v="1882.47"/>
    <n v="5.3788466511507628E-2"/>
    <n v="6.9711538461538464E-2"/>
    <n v="122.09689655172414"/>
    <n v="0.53164953781761803"/>
    <n v="2024"/>
    <x v="8"/>
    <n v="5"/>
  </r>
  <r>
    <s v="CAMP2693"/>
    <x v="1"/>
    <x v="0"/>
    <d v="2024-11-22T00:00:00"/>
    <n v="34984"/>
    <n v="632"/>
    <n v="86"/>
    <n v="2544.98"/>
    <n v="3296.88"/>
    <n v="1.8065401326320604E-2"/>
    <n v="0.13607594936708861"/>
    <n v="29.59279069767442"/>
    <n v="1.2954443649851866"/>
    <n v="2024"/>
    <x v="5"/>
    <n v="11"/>
  </r>
  <r>
    <s v="CAMP2694"/>
    <x v="7"/>
    <x v="4"/>
    <d v="2025-01-13T00:00:00"/>
    <n v="72239"/>
    <n v="5553"/>
    <n v="627"/>
    <n v="3536.09"/>
    <n v="30397.39"/>
    <n v="7.6869834853749361E-2"/>
    <n v="0.11291193949216639"/>
    <n v="5.6396969696969697"/>
    <n v="8.5963281477564202"/>
    <n v="2025"/>
    <x v="0"/>
    <n v="1"/>
  </r>
  <r>
    <s v="CAMP2695"/>
    <x v="5"/>
    <x v="3"/>
    <d v="2024-10-18T00:00:00"/>
    <n v="73550"/>
    <n v="1294"/>
    <n v="45"/>
    <n v="4149.8100000000004"/>
    <n v="4878.12"/>
    <n v="1.7593473827328347E-2"/>
    <n v="3.4775888717156103E-2"/>
    <n v="92.218000000000004"/>
    <n v="1.1755044206843204"/>
    <n v="2024"/>
    <x v="3"/>
    <n v="10"/>
  </r>
  <r>
    <s v="CAMP2696"/>
    <x v="0"/>
    <x v="1"/>
    <d v="2024-09-11T00:00:00"/>
    <n v="57635"/>
    <n v="1089"/>
    <n v="162"/>
    <n v="2450.9899999999998"/>
    <n v="5011.37"/>
    <n v="1.8894768803678321E-2"/>
    <n v="0.1487603305785124"/>
    <n v="15.129567901234566"/>
    <n v="2.0446309450466957"/>
    <n v="2024"/>
    <x v="11"/>
    <n v="9"/>
  </r>
  <r>
    <s v="CAMP2697"/>
    <x v="1"/>
    <x v="0"/>
    <d v="2024-07-17T00:00:00"/>
    <n v="53359"/>
    <n v="845"/>
    <n v="93"/>
    <n v="523.52"/>
    <n v="5914.32"/>
    <n v="1.5836128862984689E-2"/>
    <n v="0.11005917159763313"/>
    <n v="5.6292473118279567"/>
    <n v="11.297218826405867"/>
    <n v="2024"/>
    <x v="10"/>
    <n v="7"/>
  </r>
  <r>
    <s v="CAMP2698"/>
    <x v="7"/>
    <x v="2"/>
    <d v="2025-01-13T00:00:00"/>
    <n v="42423"/>
    <n v="1736"/>
    <n v="208"/>
    <n v="3381.81"/>
    <n v="14635.28"/>
    <n v="4.0921198406524764E-2"/>
    <n v="0.11981566820276497"/>
    <n v="16.258701923076924"/>
    <n v="4.3276470292535656"/>
    <n v="2025"/>
    <x v="0"/>
    <n v="1"/>
  </r>
  <r>
    <s v="CAMP2699"/>
    <x v="1"/>
    <x v="4"/>
    <d v="2025-01-06T00:00:00"/>
    <n v="88341"/>
    <n v="1154"/>
    <n v="25"/>
    <n v="933.01"/>
    <n v="2648.72"/>
    <n v="1.3063017172094498E-2"/>
    <n v="2.1663778162911613E-2"/>
    <n v="37.320399999999999"/>
    <n v="2.8388977610100641"/>
    <n v="2025"/>
    <x v="0"/>
    <n v="1"/>
  </r>
  <r>
    <s v="CAMP2700"/>
    <x v="5"/>
    <x v="4"/>
    <d v="2024-06-28T00:00:00"/>
    <n v="126119"/>
    <n v="3032"/>
    <n v="314"/>
    <n v="2078.3000000000002"/>
    <n v="11087.26"/>
    <n v="2.4040786875887059E-2"/>
    <n v="0.10356200527704486"/>
    <n v="6.6187898089171977"/>
    <n v="5.3347736130491263"/>
    <n v="2024"/>
    <x v="2"/>
    <n v="6"/>
  </r>
  <r>
    <s v="CAMP2701"/>
    <x v="5"/>
    <x v="1"/>
    <d v="2024-02-02T00:00:00"/>
    <n v="64044"/>
    <n v="1465"/>
    <n v="66"/>
    <n v="3358.46"/>
    <n v="4216.55"/>
    <n v="2.2874898507276246E-2"/>
    <n v="4.5051194539249148E-2"/>
    <n v="50.885757575757573"/>
    <n v="1.2555010332116505"/>
    <n v="2024"/>
    <x v="9"/>
    <n v="2"/>
  </r>
  <r>
    <s v="CAMP2702"/>
    <x v="6"/>
    <x v="0"/>
    <d v="2024-05-05T00:00:00"/>
    <n v="143557"/>
    <n v="4327"/>
    <n v="177"/>
    <n v="2826.19"/>
    <n v="9160.7000000000007"/>
    <n v="3.0141337587160501E-2"/>
    <n v="4.0905939449965331E-2"/>
    <n v="15.967175141242938"/>
    <n v="3.2413602765560703"/>
    <n v="2024"/>
    <x v="8"/>
    <n v="5"/>
  </r>
  <r>
    <s v="CAMP2703"/>
    <x v="0"/>
    <x v="0"/>
    <d v="2024-07-28T00:00:00"/>
    <n v="140802"/>
    <n v="6673"/>
    <n v="670"/>
    <n v="1015.59"/>
    <n v="75897.64"/>
    <n v="4.7392792716012558E-2"/>
    <n v="0.10040461561516559"/>
    <n v="1.5158059701492539"/>
    <n v="74.732559398970054"/>
    <n v="2024"/>
    <x v="10"/>
    <n v="7"/>
  </r>
  <r>
    <s v="CAMP2704"/>
    <x v="7"/>
    <x v="0"/>
    <d v="2024-03-14T00:00:00"/>
    <n v="32208"/>
    <n v="1864"/>
    <n v="38"/>
    <n v="216.42"/>
    <n v="981.99"/>
    <n v="5.7873820168902135E-2"/>
    <n v="2.03862660944206E-2"/>
    <n v="5.6952631578947361"/>
    <n v="4.537427224840588"/>
    <n v="2024"/>
    <x v="6"/>
    <n v="3"/>
  </r>
  <r>
    <s v="CAMP2705"/>
    <x v="3"/>
    <x v="1"/>
    <d v="2024-03-02T00:00:00"/>
    <n v="63856"/>
    <n v="4045"/>
    <n v="99"/>
    <n v="2818.8"/>
    <n v="2175.9499999999998"/>
    <n v="6.3345652718616891E-2"/>
    <n v="2.4474660074165638E-2"/>
    <n v="28.472727272727276"/>
    <n v="0.77194196111820623"/>
    <n v="2024"/>
    <x v="6"/>
    <n v="3"/>
  </r>
  <r>
    <s v="CAMP2706"/>
    <x v="6"/>
    <x v="1"/>
    <d v="2024-11-26T00:00:00"/>
    <n v="106201"/>
    <n v="3161"/>
    <n v="316"/>
    <n v="2358.42"/>
    <n v="29958.99"/>
    <n v="2.9764314836960105E-2"/>
    <n v="9.9968364441632401E-2"/>
    <n v="7.4633544303797468"/>
    <n v="12.702991833515659"/>
    <n v="2024"/>
    <x v="5"/>
    <n v="11"/>
  </r>
  <r>
    <s v="CAMP2707"/>
    <x v="6"/>
    <x v="1"/>
    <d v="2024-05-08T00:00:00"/>
    <n v="95478"/>
    <n v="7505"/>
    <n v="771"/>
    <n v="2499.8200000000002"/>
    <n v="84700.27"/>
    <n v="7.8604495276398748E-2"/>
    <n v="0.10273151232511658"/>
    <n v="3.2423086900129703"/>
    <n v="33.882547543423129"/>
    <n v="2024"/>
    <x v="8"/>
    <n v="5"/>
  </r>
  <r>
    <s v="CAMP2708"/>
    <x v="6"/>
    <x v="1"/>
    <d v="2024-07-03T00:00:00"/>
    <n v="63678"/>
    <n v="1280"/>
    <n v="131"/>
    <n v="1036.9000000000001"/>
    <n v="15292.55"/>
    <n v="2.0101133829580075E-2"/>
    <n v="0.10234375"/>
    <n v="7.9152671755725201"/>
    <n v="14.748336387308321"/>
    <n v="2024"/>
    <x v="10"/>
    <n v="7"/>
  </r>
  <r>
    <s v="CAMP2709"/>
    <x v="5"/>
    <x v="4"/>
    <d v="2024-07-07T00:00:00"/>
    <n v="10488"/>
    <n v="421"/>
    <n v="24"/>
    <n v="404.26"/>
    <n v="1464.89"/>
    <n v="4.0141113653699469E-2"/>
    <n v="5.7007125890736345E-2"/>
    <n v="16.844166666666666"/>
    <n v="3.6236333052985708"/>
    <n v="2024"/>
    <x v="10"/>
    <n v="7"/>
  </r>
  <r>
    <s v="CAMP2710"/>
    <x v="1"/>
    <x v="2"/>
    <d v="2024-03-05T00:00:00"/>
    <n v="97521"/>
    <n v="2395"/>
    <n v="174"/>
    <n v="4441.38"/>
    <n v="11494.12"/>
    <n v="2.4558812973615941E-2"/>
    <n v="7.2651356993736954E-2"/>
    <n v="25.525172413793104"/>
    <n v="2.5879613993848758"/>
    <n v="2024"/>
    <x v="6"/>
    <n v="3"/>
  </r>
  <r>
    <s v="CAMP2711"/>
    <x v="6"/>
    <x v="2"/>
    <d v="2024-07-17T00:00:00"/>
    <n v="126508"/>
    <n v="4484"/>
    <n v="279"/>
    <n v="2114.64"/>
    <n v="25760.29"/>
    <n v="3.5444398773200117E-2"/>
    <n v="6.2221231043710974E-2"/>
    <n v="7.5793548387096772"/>
    <n v="12.181879658003254"/>
    <n v="2024"/>
    <x v="10"/>
    <n v="7"/>
  </r>
  <r>
    <s v="CAMP2712"/>
    <x v="1"/>
    <x v="4"/>
    <d v="2024-04-21T00:00:00"/>
    <n v="55060"/>
    <n v="2741"/>
    <n v="392"/>
    <n v="3700.67"/>
    <n v="38577.730000000003"/>
    <n v="4.978205593897566E-2"/>
    <n v="0.14301349872309377"/>
    <n v="9.4404846938775506"/>
    <n v="10.424525829106623"/>
    <n v="2024"/>
    <x v="7"/>
    <n v="4"/>
  </r>
  <r>
    <s v="CAMP2713"/>
    <x v="7"/>
    <x v="2"/>
    <d v="2024-10-07T00:00:00"/>
    <n v="112009"/>
    <n v="4058"/>
    <n v="243"/>
    <n v="2085.58"/>
    <n v="16286.65"/>
    <n v="3.6229231579605212E-2"/>
    <n v="5.9881715130606208E-2"/>
    <n v="8.5826337448559666"/>
    <n v="7.8091705904352748"/>
    <n v="2024"/>
    <x v="3"/>
    <n v="10"/>
  </r>
  <r>
    <s v="CAMP2714"/>
    <x v="6"/>
    <x v="3"/>
    <d v="2025-01-31T00:00:00"/>
    <n v="113034"/>
    <n v="1532"/>
    <n v="73"/>
    <n v="2848.13"/>
    <n v="2604.0500000000002"/>
    <n v="1.355344409646655E-2"/>
    <n v="4.7650130548302874E-2"/>
    <n v="39.015479452054798"/>
    <n v="0.91430166460098383"/>
    <n v="2025"/>
    <x v="0"/>
    <n v="1"/>
  </r>
  <r>
    <s v="CAMP2715"/>
    <x v="3"/>
    <x v="1"/>
    <d v="2024-08-09T00:00:00"/>
    <n v="52268"/>
    <n v="3973"/>
    <n v="91"/>
    <n v="1190.98"/>
    <n v="6983.28"/>
    <n v="7.6012091528277342E-2"/>
    <n v="2.2904606091115026E-2"/>
    <n v="13.087692307692308"/>
    <n v="5.8634737778971937"/>
    <n v="2024"/>
    <x v="1"/>
    <n v="8"/>
  </r>
  <r>
    <s v="CAMP2716"/>
    <x v="2"/>
    <x v="3"/>
    <d v="2025-01-16T00:00:00"/>
    <n v="45856"/>
    <n v="2516"/>
    <n v="238"/>
    <n v="4044.02"/>
    <n v="8346.26"/>
    <n v="5.4867411025819955E-2"/>
    <n v="9.45945945945946E-2"/>
    <n v="16.991680672268906"/>
    <n v="2.0638523053793008"/>
    <n v="2025"/>
    <x v="0"/>
    <n v="1"/>
  </r>
  <r>
    <s v="CAMP2717"/>
    <x v="7"/>
    <x v="2"/>
    <d v="2024-05-05T00:00:00"/>
    <n v="39224"/>
    <n v="2486"/>
    <n v="207"/>
    <n v="3129.72"/>
    <n v="19942.23"/>
    <n v="6.3379563532531102E-2"/>
    <n v="8.3266291230893005E-2"/>
    <n v="15.119420289855071"/>
    <n v="6.3718894981020666"/>
    <n v="2024"/>
    <x v="8"/>
    <n v="5"/>
  </r>
  <r>
    <s v="CAMP2718"/>
    <x v="4"/>
    <x v="0"/>
    <d v="2025-02-06T00:00:00"/>
    <n v="22133"/>
    <n v="354"/>
    <n v="7"/>
    <n v="4338.8"/>
    <n v="176.93"/>
    <n v="1.5994216780373199E-2"/>
    <n v="1.977401129943503E-2"/>
    <n v="619.82857142857142"/>
    <n v="4.077855628284318E-2"/>
    <n v="2025"/>
    <x v="9"/>
    <n v="2"/>
  </r>
  <r>
    <s v="CAMP2719"/>
    <x v="0"/>
    <x v="3"/>
    <d v="2024-07-01T00:00:00"/>
    <n v="58217"/>
    <n v="3612"/>
    <n v="522"/>
    <n v="1676.3"/>
    <n v="13886.4"/>
    <n v="6.204373293024374E-2"/>
    <n v="0.14451827242524917"/>
    <n v="3.2113026819923371"/>
    <n v="8.2839587186064545"/>
    <n v="2024"/>
    <x v="10"/>
    <n v="7"/>
  </r>
  <r>
    <s v="CAMP2720"/>
    <x v="7"/>
    <x v="1"/>
    <d v="2025-02-28T00:00:00"/>
    <n v="122077"/>
    <n v="5280"/>
    <n v="588"/>
    <n v="1590.76"/>
    <n v="17728.169999999998"/>
    <n v="4.3251390515821983E-2"/>
    <n v="0.11136363636363636"/>
    <n v="2.705374149659864"/>
    <n v="11.144465538484749"/>
    <n v="2025"/>
    <x v="9"/>
    <n v="2"/>
  </r>
  <r>
    <s v="CAMP2721"/>
    <x v="2"/>
    <x v="4"/>
    <d v="2024-03-24T00:00:00"/>
    <n v="113838"/>
    <n v="2082"/>
    <n v="288"/>
    <n v="2166.46"/>
    <n v="21935.93"/>
    <n v="1.8289147736256787E-2"/>
    <n v="0.13832853025936601"/>
    <n v="7.5224305555555553"/>
    <n v="10.125241176850714"/>
    <n v="2024"/>
    <x v="6"/>
    <n v="3"/>
  </r>
  <r>
    <s v="CAMP2722"/>
    <x v="6"/>
    <x v="3"/>
    <d v="2024-12-19T00:00:00"/>
    <n v="70376"/>
    <n v="5512"/>
    <n v="585"/>
    <n v="903.9"/>
    <n v="37726.879999999997"/>
    <n v="7.8322155280209166E-2"/>
    <n v="0.10613207547169812"/>
    <n v="1.5451282051282051"/>
    <n v="41.737891359663678"/>
    <n v="2024"/>
    <x v="4"/>
    <n v="12"/>
  </r>
  <r>
    <s v="CAMP2723"/>
    <x v="4"/>
    <x v="4"/>
    <d v="2024-07-14T00:00:00"/>
    <n v="128945"/>
    <n v="4713"/>
    <n v="198"/>
    <n v="295.77999999999997"/>
    <n v="17584.810000000001"/>
    <n v="3.6550467253480164E-2"/>
    <n v="4.2011457670273714E-2"/>
    <n v="1.4938383838383837"/>
    <n v="59.452329434038823"/>
    <n v="2024"/>
    <x v="10"/>
    <n v="7"/>
  </r>
  <r>
    <s v="CAMP2724"/>
    <x v="7"/>
    <x v="2"/>
    <d v="2024-10-26T00:00:00"/>
    <n v="52666"/>
    <n v="2175"/>
    <n v="49"/>
    <n v="2560.48"/>
    <n v="4271.63"/>
    <n v="4.129799111381157E-2"/>
    <n v="2.2528735632183907E-2"/>
    <n v="52.25469387755102"/>
    <n v="1.6682926638755233"/>
    <n v="2024"/>
    <x v="3"/>
    <n v="10"/>
  </r>
  <r>
    <s v="CAMP2725"/>
    <x v="7"/>
    <x v="3"/>
    <d v="2024-02-13T00:00:00"/>
    <n v="101984"/>
    <n v="1511"/>
    <n v="56"/>
    <n v="1640.5"/>
    <n v="3324.25"/>
    <n v="1.4816049576404141E-2"/>
    <n v="3.7061548643282594E-2"/>
    <n v="29.294642857142858"/>
    <n v="2.0263639134410241"/>
    <n v="2024"/>
    <x v="9"/>
    <n v="2"/>
  </r>
  <r>
    <s v="CAMP2726"/>
    <x v="2"/>
    <x v="0"/>
    <d v="2025-02-08T00:00:00"/>
    <n v="56676"/>
    <n v="4381"/>
    <n v="270"/>
    <n v="3614.76"/>
    <n v="31016.57"/>
    <n v="7.7299033100430514E-2"/>
    <n v="6.1629764893859851E-2"/>
    <n v="13.388000000000002"/>
    <n v="8.5805337007159537"/>
    <n v="2025"/>
    <x v="9"/>
    <n v="2"/>
  </r>
  <r>
    <s v="CAMP2727"/>
    <x v="0"/>
    <x v="3"/>
    <d v="2024-11-04T00:00:00"/>
    <n v="134695"/>
    <n v="1497"/>
    <n v="203"/>
    <n v="2205.15"/>
    <n v="7491.92"/>
    <n v="1.1113998292438473E-2"/>
    <n v="0.13560454241816966"/>
    <n v="10.862807881773399"/>
    <n v="3.3974650250549847"/>
    <n v="2024"/>
    <x v="5"/>
    <n v="11"/>
  </r>
  <r>
    <s v="CAMP2728"/>
    <x v="5"/>
    <x v="4"/>
    <d v="2024-09-19T00:00:00"/>
    <n v="78464"/>
    <n v="6178"/>
    <n v="849"/>
    <n v="312.52999999999997"/>
    <n v="44026.39"/>
    <n v="7.8736745513866238E-2"/>
    <n v="0.13742311427646486"/>
    <n v="0.36811542991755003"/>
    <n v="140.87092439125846"/>
    <n v="2024"/>
    <x v="11"/>
    <n v="9"/>
  </r>
  <r>
    <s v="CAMP2729"/>
    <x v="2"/>
    <x v="0"/>
    <d v="2024-11-28T00:00:00"/>
    <n v="67601"/>
    <n v="3990"/>
    <n v="216"/>
    <n v="4981.54"/>
    <n v="11610.39"/>
    <n v="5.9022795520776321E-2"/>
    <n v="5.4135338345864661E-2"/>
    <n v="23.062685185185185"/>
    <n v="2.3306828811973808"/>
    <n v="2024"/>
    <x v="5"/>
    <n v="11"/>
  </r>
  <r>
    <s v="CAMP2730"/>
    <x v="5"/>
    <x v="2"/>
    <d v="2024-12-03T00:00:00"/>
    <n v="26035"/>
    <n v="867"/>
    <n v="20"/>
    <n v="4385.79"/>
    <n v="2253.09"/>
    <n v="3.3301325139235644E-2"/>
    <n v="2.306805074971165E-2"/>
    <n v="219.2895"/>
    <n v="0.51372500735329329"/>
    <n v="2024"/>
    <x v="4"/>
    <n v="12"/>
  </r>
  <r>
    <s v="CAMP2731"/>
    <x v="4"/>
    <x v="1"/>
    <d v="2024-01-10T00:00:00"/>
    <n v="84353"/>
    <n v="3091"/>
    <n v="425"/>
    <n v="2024.08"/>
    <n v="10029.280000000001"/>
    <n v="3.6643628560928482E-2"/>
    <n v="0.13749595600129408"/>
    <n v="4.7625411764705881"/>
    <n v="4.9549820165210869"/>
    <n v="2024"/>
    <x v="0"/>
    <n v="1"/>
  </r>
  <r>
    <s v="CAMP2732"/>
    <x v="5"/>
    <x v="2"/>
    <d v="2024-06-20T00:00:00"/>
    <n v="101152"/>
    <n v="6698"/>
    <n v="877"/>
    <n v="3963.78"/>
    <n v="53251"/>
    <n v="6.6217178108193608E-2"/>
    <n v="0.13093460734547627"/>
    <n v="4.5197035347776513"/>
    <n v="13.434398478220285"/>
    <n v="2024"/>
    <x v="2"/>
    <n v="6"/>
  </r>
  <r>
    <s v="CAMP2733"/>
    <x v="7"/>
    <x v="4"/>
    <d v="2024-06-26T00:00:00"/>
    <n v="73573"/>
    <n v="3580"/>
    <n v="299"/>
    <n v="1480.03"/>
    <n v="33289.379999999997"/>
    <n v="4.8659154853003136E-2"/>
    <n v="8.3519553072625694E-2"/>
    <n v="4.9499331103678932"/>
    <n v="22.492368397937877"/>
    <n v="2024"/>
    <x v="2"/>
    <n v="6"/>
  </r>
  <r>
    <s v="CAMP2734"/>
    <x v="0"/>
    <x v="3"/>
    <d v="2024-09-17T00:00:00"/>
    <n v="34759"/>
    <n v="403"/>
    <n v="14"/>
    <n v="3857.9"/>
    <n v="620.15"/>
    <n v="1.1594119508616474E-2"/>
    <n v="3.4739454094292806E-2"/>
    <n v="275.56428571428575"/>
    <n v="0.1607480753777962"/>
    <n v="2024"/>
    <x v="11"/>
    <n v="9"/>
  </r>
  <r>
    <s v="CAMP2735"/>
    <x v="2"/>
    <x v="3"/>
    <d v="2024-02-03T00:00:00"/>
    <n v="45371"/>
    <n v="2270"/>
    <n v="115"/>
    <n v="619.46"/>
    <n v="3167.23"/>
    <n v="5.0031958740164424E-2"/>
    <n v="5.0660792951541848E-2"/>
    <n v="5.3866086956521739"/>
    <n v="5.1128886449488258"/>
    <n v="2024"/>
    <x v="9"/>
    <n v="2"/>
  </r>
  <r>
    <s v="CAMP2736"/>
    <x v="4"/>
    <x v="3"/>
    <d v="2024-11-12T00:00:00"/>
    <n v="23450"/>
    <n v="490"/>
    <n v="49"/>
    <n v="4382.4799999999996"/>
    <n v="3237.74"/>
    <n v="2.0895522388059702E-2"/>
    <n v="0.1"/>
    <n v="89.438367346938762"/>
    <n v="0.73879173436045342"/>
    <n v="2024"/>
    <x v="5"/>
    <n v="11"/>
  </r>
  <r>
    <s v="CAMP2737"/>
    <x v="7"/>
    <x v="0"/>
    <d v="2024-11-09T00:00:00"/>
    <n v="36975"/>
    <n v="515"/>
    <n v="19"/>
    <n v="4606.41"/>
    <n v="2140.4699999999998"/>
    <n v="1.3928329952670723E-2"/>
    <n v="3.6893203883495145E-2"/>
    <n v="242.44263157894736"/>
    <n v="0.46467205481057916"/>
    <n v="2024"/>
    <x v="5"/>
    <n v="11"/>
  </r>
  <r>
    <s v="CAMP2738"/>
    <x v="2"/>
    <x v="0"/>
    <d v="2025-01-02T00:00:00"/>
    <n v="29008"/>
    <n v="297"/>
    <n v="36"/>
    <n v="1318.76"/>
    <n v="900"/>
    <n v="1.0238554881412024E-2"/>
    <n v="0.12121212121212122"/>
    <n v="36.632222222222225"/>
    <n v="0.68245927992963085"/>
    <n v="2025"/>
    <x v="0"/>
    <n v="1"/>
  </r>
  <r>
    <s v="CAMP2739"/>
    <x v="0"/>
    <x v="2"/>
    <d v="2024-06-13T00:00:00"/>
    <n v="143761"/>
    <n v="3376"/>
    <n v="426"/>
    <n v="3599.54"/>
    <n v="29619.8"/>
    <n v="2.3483420399134675E-2"/>
    <n v="0.12618483412322276"/>
    <n v="8.4496244131455391"/>
    <n v="8.2287736766364592"/>
    <n v="2024"/>
    <x v="2"/>
    <n v="6"/>
  </r>
  <r>
    <s v="CAMP2740"/>
    <x v="2"/>
    <x v="2"/>
    <d v="2024-05-27T00:00:00"/>
    <n v="21060"/>
    <n v="862"/>
    <n v="74"/>
    <n v="581.88"/>
    <n v="8689.01"/>
    <n v="4.0930674264007601E-2"/>
    <n v="8.584686774941995E-2"/>
    <n v="7.8632432432432431"/>
    <n v="14.932649343507252"/>
    <n v="2024"/>
    <x v="8"/>
    <n v="5"/>
  </r>
  <r>
    <s v="CAMP2741"/>
    <x v="5"/>
    <x v="4"/>
    <d v="2024-10-04T00:00:00"/>
    <n v="54635"/>
    <n v="3223"/>
    <n v="358"/>
    <n v="563.74"/>
    <n v="13856.32"/>
    <n v="5.8991488972270523E-2"/>
    <n v="0.1110766366739063"/>
    <n v="1.5746927374301676"/>
    <n v="24.57927413346578"/>
    <n v="2024"/>
    <x v="3"/>
    <n v="10"/>
  </r>
  <r>
    <s v="CAMP2742"/>
    <x v="7"/>
    <x v="4"/>
    <d v="2024-03-24T00:00:00"/>
    <n v="108459"/>
    <n v="5907"/>
    <n v="572"/>
    <n v="3087.46"/>
    <n v="40420.629999999997"/>
    <n v="5.4462976793073881E-2"/>
    <n v="9.683426443202979E-2"/>
    <n v="5.3976573426573431"/>
    <n v="13.091871635583942"/>
    <n v="2024"/>
    <x v="6"/>
    <n v="3"/>
  </r>
  <r>
    <s v="CAMP2743"/>
    <x v="5"/>
    <x v="4"/>
    <d v="2024-08-06T00:00:00"/>
    <n v="70784"/>
    <n v="4792"/>
    <n v="553"/>
    <n v="2746.64"/>
    <n v="47272.77"/>
    <n v="6.7698915009041585E-2"/>
    <n v="0.11540066777963272"/>
    <n v="4.9667992766726945"/>
    <n v="17.211127049777183"/>
    <n v="2024"/>
    <x v="1"/>
    <n v="8"/>
  </r>
  <r>
    <s v="CAMP2744"/>
    <x v="5"/>
    <x v="3"/>
    <d v="2025-01-21T00:00:00"/>
    <n v="47274"/>
    <n v="686"/>
    <n v="19"/>
    <n v="1852.27"/>
    <n v="1772.54"/>
    <n v="1.4511147776790625E-2"/>
    <n v="2.7696793002915453E-2"/>
    <n v="97.487894736842108"/>
    <n v="0.9569555194437096"/>
    <n v="2025"/>
    <x v="0"/>
    <n v="1"/>
  </r>
  <r>
    <s v="CAMP2745"/>
    <x v="3"/>
    <x v="0"/>
    <d v="2024-12-11T00:00:00"/>
    <n v="121898"/>
    <n v="1321"/>
    <n v="154"/>
    <n v="623.51"/>
    <n v="12137.33"/>
    <n v="1.0836929235918554E-2"/>
    <n v="0.1165783497350492"/>
    <n v="4.0487662337662336"/>
    <n v="19.466135266475277"/>
    <n v="2024"/>
    <x v="4"/>
    <n v="12"/>
  </r>
  <r>
    <s v="CAMP2746"/>
    <x v="7"/>
    <x v="1"/>
    <d v="2024-12-13T00:00:00"/>
    <n v="22269"/>
    <n v="1109"/>
    <n v="127"/>
    <n v="1731.51"/>
    <n v="7088.03"/>
    <n v="4.9800170640801111E-2"/>
    <n v="0.11451758340847611"/>
    <n v="13.633937007874016"/>
    <n v="4.09355418103274"/>
    <n v="2024"/>
    <x v="4"/>
    <n v="12"/>
  </r>
  <r>
    <s v="CAMP2747"/>
    <x v="6"/>
    <x v="3"/>
    <d v="2024-09-12T00:00:00"/>
    <n v="83707"/>
    <n v="5310"/>
    <n v="322"/>
    <n v="4995.67"/>
    <n v="12567.18"/>
    <n v="6.3435554971507754E-2"/>
    <n v="6.064030131826742E-2"/>
    <n v="15.514503105590062"/>
    <n v="2.5156145221762047"/>
    <n v="2024"/>
    <x v="11"/>
    <n v="9"/>
  </r>
  <r>
    <s v="CAMP2748"/>
    <x v="2"/>
    <x v="0"/>
    <d v="2024-12-19T00:00:00"/>
    <n v="97509"/>
    <n v="3771"/>
    <n v="506"/>
    <n v="1756.97"/>
    <n v="50410.33"/>
    <n v="3.8673353228932714E-2"/>
    <n v="0.13418191461150888"/>
    <n v="3.4722727272727272"/>
    <n v="28.691628200823008"/>
    <n v="2024"/>
    <x v="4"/>
    <n v="12"/>
  </r>
  <r>
    <s v="CAMP2749"/>
    <x v="3"/>
    <x v="2"/>
    <d v="2024-08-25T00:00:00"/>
    <n v="123535"/>
    <n v="2555"/>
    <n v="296"/>
    <n v="2050.71"/>
    <n v="34029.17"/>
    <n v="2.0682397701056381E-2"/>
    <n v="0.11585127201565558"/>
    <n v="6.9280743243243244"/>
    <n v="16.593847984356636"/>
    <n v="2024"/>
    <x v="1"/>
    <n v="8"/>
  </r>
  <r>
    <s v="CAMP2750"/>
    <x v="2"/>
    <x v="3"/>
    <d v="2024-07-14T00:00:00"/>
    <n v="44160"/>
    <n v="1676"/>
    <n v="36"/>
    <n v="3998.6"/>
    <n v="3102.38"/>
    <n v="3.7952898550724638E-2"/>
    <n v="2.1479713603818614E-2"/>
    <n v="111.07222222222222"/>
    <n v="0.77586655329365284"/>
    <n v="2024"/>
    <x v="10"/>
    <n v="7"/>
  </r>
  <r>
    <s v="CAMP2751"/>
    <x v="2"/>
    <x v="4"/>
    <d v="2024-10-30T00:00:00"/>
    <n v="53210"/>
    <n v="1340"/>
    <n v="29"/>
    <n v="2466.98"/>
    <n v="1365.58"/>
    <n v="2.5183236233790641E-2"/>
    <n v="2.1641791044776121E-2"/>
    <n v="85.068275862068973"/>
    <n v="0.55354319856666856"/>
    <n v="2024"/>
    <x v="3"/>
    <n v="10"/>
  </r>
  <r>
    <s v="CAMP2752"/>
    <x v="1"/>
    <x v="0"/>
    <d v="2024-09-11T00:00:00"/>
    <n v="107821"/>
    <n v="2273"/>
    <n v="290"/>
    <n v="4298.3100000000004"/>
    <n v="13852.42"/>
    <n v="2.1081236493818458E-2"/>
    <n v="0.12758468983721954"/>
    <n v="14.821758620689657"/>
    <n v="3.2227596427433105"/>
    <n v="2024"/>
    <x v="11"/>
    <n v="9"/>
  </r>
  <r>
    <s v="CAMP2753"/>
    <x v="1"/>
    <x v="2"/>
    <d v="2024-11-06T00:00:00"/>
    <n v="135845"/>
    <n v="5474"/>
    <n v="783"/>
    <n v="967.14"/>
    <n v="91540.52"/>
    <n v="4.0295925503331005E-2"/>
    <n v="0.14303982462550238"/>
    <n v="1.2351724137931035"/>
    <n v="94.650743429079554"/>
    <n v="2024"/>
    <x v="5"/>
    <n v="11"/>
  </r>
  <r>
    <s v="CAMP2754"/>
    <x v="4"/>
    <x v="3"/>
    <d v="2024-02-24T00:00:00"/>
    <n v="22539"/>
    <n v="1728"/>
    <n v="193"/>
    <n v="3117.52"/>
    <n v="6590.52"/>
    <n v="7.6667110342073741E-2"/>
    <n v="0.11168981481481481"/>
    <n v="16.152953367875647"/>
    <n v="2.1140265339115709"/>
    <n v="2024"/>
    <x v="9"/>
    <n v="2"/>
  </r>
  <r>
    <s v="CAMP2755"/>
    <x v="6"/>
    <x v="4"/>
    <d v="2024-08-01T00:00:00"/>
    <n v="133583"/>
    <n v="1457"/>
    <n v="87"/>
    <n v="961.29"/>
    <n v="7224.99"/>
    <n v="1.0907076499255144E-2"/>
    <n v="5.9711736444749489E-2"/>
    <n v="11.049310344827585"/>
    <n v="7.5159317167556097"/>
    <n v="2024"/>
    <x v="1"/>
    <n v="8"/>
  </r>
  <r>
    <s v="CAMP2756"/>
    <x v="3"/>
    <x v="1"/>
    <d v="2024-03-03T00:00:00"/>
    <n v="38928"/>
    <n v="1832"/>
    <n v="117"/>
    <n v="1992.1"/>
    <n v="10395.620000000001"/>
    <n v="4.706124126592684E-2"/>
    <n v="6.3864628820960695E-2"/>
    <n v="17.026495726495725"/>
    <n v="5.2184227699412684"/>
    <n v="2024"/>
    <x v="6"/>
    <n v="3"/>
  </r>
  <r>
    <s v="CAMP2757"/>
    <x v="2"/>
    <x v="3"/>
    <d v="2024-10-16T00:00:00"/>
    <n v="129131"/>
    <n v="1861"/>
    <n v="145"/>
    <n v="2201.6"/>
    <n v="5937.11"/>
    <n v="1.4411721430175559E-2"/>
    <n v="7.7915099408919941E-2"/>
    <n v="15.183448275862068"/>
    <n v="2.696725109011628"/>
    <n v="2024"/>
    <x v="3"/>
    <n v="10"/>
  </r>
  <r>
    <s v="CAMP2758"/>
    <x v="7"/>
    <x v="4"/>
    <d v="2024-06-09T00:00:00"/>
    <n v="129829"/>
    <n v="8448"/>
    <n v="778"/>
    <n v="2970.66"/>
    <n v="41316.519999999997"/>
    <n v="6.5070207734789609E-2"/>
    <n v="9.2092803030303025E-2"/>
    <n v="3.8183290488431876"/>
    <n v="13.908195485178377"/>
    <n v="2024"/>
    <x v="2"/>
    <n v="6"/>
  </r>
  <r>
    <s v="CAMP2759"/>
    <x v="1"/>
    <x v="4"/>
    <d v="2024-06-13T00:00:00"/>
    <n v="65011"/>
    <n v="3872"/>
    <n v="384"/>
    <n v="4103.95"/>
    <n v="17245.400000000001"/>
    <n v="5.9559151528202917E-2"/>
    <n v="9.9173553719008267E-2"/>
    <n v="10.687369791666667"/>
    <n v="4.2021467123137475"/>
    <n v="2024"/>
    <x v="2"/>
    <n v="6"/>
  </r>
  <r>
    <s v="CAMP2760"/>
    <x v="6"/>
    <x v="0"/>
    <d v="2024-06-09T00:00:00"/>
    <n v="138945"/>
    <n v="9955"/>
    <n v="696"/>
    <n v="912.11"/>
    <n v="36307.18"/>
    <n v="7.1647054589945663E-2"/>
    <n v="6.9914615770969357E-2"/>
    <n v="1.3105028735632185"/>
    <n v="39.80570325947528"/>
    <n v="2024"/>
    <x v="2"/>
    <n v="6"/>
  </r>
  <r>
    <s v="CAMP2761"/>
    <x v="6"/>
    <x v="2"/>
    <d v="2024-11-04T00:00:00"/>
    <n v="74732"/>
    <n v="1097"/>
    <n v="77"/>
    <n v="1127.27"/>
    <n v="7468.58"/>
    <n v="1.4679120055665578E-2"/>
    <n v="7.0191431175934363E-2"/>
    <n v="14.639870129870129"/>
    <n v="6.6253692549256167"/>
    <n v="2024"/>
    <x v="5"/>
    <n v="11"/>
  </r>
  <r>
    <s v="CAMP2762"/>
    <x v="2"/>
    <x v="3"/>
    <d v="2025-02-02T00:00:00"/>
    <n v="20472"/>
    <n v="883"/>
    <n v="43"/>
    <n v="214.66"/>
    <n v="2391.5300000000002"/>
    <n v="4.3132082844861273E-2"/>
    <n v="4.8697621744054363E-2"/>
    <n v="4.9920930232558138"/>
    <n v="11.141013696077518"/>
    <n v="2025"/>
    <x v="9"/>
    <n v="2"/>
  </r>
  <r>
    <s v="CAMP2763"/>
    <x v="6"/>
    <x v="1"/>
    <d v="2024-03-15T00:00:00"/>
    <n v="76501"/>
    <n v="5888"/>
    <n v="488"/>
    <n v="1708.01"/>
    <n v="52860.82"/>
    <n v="7.6966314165827901E-2"/>
    <n v="8.2880434782608689E-2"/>
    <n v="3.5000204918032787"/>
    <n v="30.948776646506754"/>
    <n v="2024"/>
    <x v="6"/>
    <n v="3"/>
  </r>
  <r>
    <s v="CAMP2764"/>
    <x v="1"/>
    <x v="4"/>
    <d v="2024-11-01T00:00:00"/>
    <n v="36552"/>
    <n v="1121"/>
    <n v="31"/>
    <n v="4446.8999999999996"/>
    <n v="2242.86"/>
    <n v="3.0668636463121034E-2"/>
    <n v="2.7653880463871544E-2"/>
    <n v="143.44838709677418"/>
    <n v="0.50436483842676927"/>
    <n v="2024"/>
    <x v="5"/>
    <n v="11"/>
  </r>
  <r>
    <s v="CAMP2765"/>
    <x v="5"/>
    <x v="4"/>
    <d v="2025-02-08T00:00:00"/>
    <n v="103568"/>
    <n v="4102"/>
    <n v="518"/>
    <n v="252.39"/>
    <n v="23879.17"/>
    <n v="3.9606828363973431E-2"/>
    <n v="0.12627986348122866"/>
    <n v="0.48723938223938223"/>
    <n v="94.612187487618371"/>
    <n v="2025"/>
    <x v="9"/>
    <n v="2"/>
  </r>
  <r>
    <s v="CAMP2766"/>
    <x v="2"/>
    <x v="3"/>
    <d v="2024-01-13T00:00:00"/>
    <n v="12555"/>
    <n v="698"/>
    <n v="83"/>
    <n v="577.80999999999995"/>
    <n v="5519"/>
    <n v="5.5595380326563124E-2"/>
    <n v="0.11891117478510028"/>
    <n v="6.9615662650602399"/>
    <n v="9.5515827001955671"/>
    <n v="2024"/>
    <x v="0"/>
    <n v="1"/>
  </r>
  <r>
    <s v="CAMP2767"/>
    <x v="2"/>
    <x v="2"/>
    <d v="2024-11-16T00:00:00"/>
    <n v="105144"/>
    <n v="5138"/>
    <n v="499"/>
    <n v="3840.62"/>
    <n v="15356.47"/>
    <n v="4.886631667047097E-2"/>
    <n v="9.7119501751654347E-2"/>
    <n v="7.6966332665330661"/>
    <n v="3.9984351484916498"/>
    <n v="2024"/>
    <x v="5"/>
    <n v="11"/>
  </r>
  <r>
    <s v="CAMP2768"/>
    <x v="5"/>
    <x v="2"/>
    <d v="2024-05-21T00:00:00"/>
    <n v="56847"/>
    <n v="3379"/>
    <n v="266"/>
    <n v="981.93"/>
    <n v="8739.0499999999993"/>
    <n v="5.9440251904234173E-2"/>
    <n v="7.8721515241195625E-2"/>
    <n v="3.6914661654135337"/>
    <n v="8.8998706628782092"/>
    <n v="2024"/>
    <x v="8"/>
    <n v="5"/>
  </r>
  <r>
    <s v="CAMP2769"/>
    <x v="4"/>
    <x v="0"/>
    <d v="2024-01-27T00:00:00"/>
    <n v="90599"/>
    <n v="4410"/>
    <n v="299"/>
    <n v="1713.29"/>
    <n v="27522.99"/>
    <n v="4.8676033951809625E-2"/>
    <n v="6.7800453514739234E-2"/>
    <n v="5.7300668896321065"/>
    <n v="16.064408243788268"/>
    <n v="2024"/>
    <x v="0"/>
    <n v="1"/>
  </r>
  <r>
    <s v="CAMP2770"/>
    <x v="4"/>
    <x v="2"/>
    <d v="2024-11-26T00:00:00"/>
    <n v="89904"/>
    <n v="3388"/>
    <n v="211"/>
    <n v="4213.1499999999996"/>
    <n v="4948.67"/>
    <n v="3.7684641395266061E-2"/>
    <n v="6.2278630460448639E-2"/>
    <n v="19.967535545023694"/>
    <n v="1.1745772165719237"/>
    <n v="2024"/>
    <x v="5"/>
    <n v="11"/>
  </r>
  <r>
    <s v="CAMP2771"/>
    <x v="5"/>
    <x v="3"/>
    <d v="2024-10-16T00:00:00"/>
    <n v="15323"/>
    <n v="1100"/>
    <n v="29"/>
    <n v="3642.9"/>
    <n v="962.41"/>
    <n v="7.1787508973438621E-2"/>
    <n v="2.6363636363636363E-2"/>
    <n v="125.61724137931034"/>
    <n v="0.26418787229954155"/>
    <n v="2024"/>
    <x v="3"/>
    <n v="10"/>
  </r>
  <r>
    <s v="CAMP2772"/>
    <x v="0"/>
    <x v="0"/>
    <d v="2024-03-12T00:00:00"/>
    <n v="44733"/>
    <n v="767"/>
    <n v="31"/>
    <n v="3626.5"/>
    <n v="904.76"/>
    <n v="1.7146178436501017E-2"/>
    <n v="4.0417209908735333E-2"/>
    <n v="116.98387096774194"/>
    <n v="0.24948573004274094"/>
    <n v="2024"/>
    <x v="6"/>
    <n v="3"/>
  </r>
  <r>
    <s v="CAMP2773"/>
    <x v="7"/>
    <x v="3"/>
    <d v="2024-06-22T00:00:00"/>
    <n v="26275"/>
    <n v="1021"/>
    <n v="120"/>
    <n v="2563.79"/>
    <n v="8941.34"/>
    <n v="3.8858230256898191E-2"/>
    <n v="0.11753183153770813"/>
    <n v="21.364916666666666"/>
    <n v="3.4875477320685393"/>
    <n v="2024"/>
    <x v="2"/>
    <n v="6"/>
  </r>
  <r>
    <s v="CAMP2774"/>
    <x v="3"/>
    <x v="2"/>
    <d v="2024-12-21T00:00:00"/>
    <n v="45628"/>
    <n v="2206"/>
    <n v="69"/>
    <n v="1194.82"/>
    <n v="2477.52"/>
    <n v="4.8347505917419126E-2"/>
    <n v="3.1278331822302809E-2"/>
    <n v="17.31623188405797"/>
    <n v="2.0735508277397434"/>
    <n v="2024"/>
    <x v="4"/>
    <n v="12"/>
  </r>
  <r>
    <s v="CAMP2775"/>
    <x v="5"/>
    <x v="4"/>
    <d v="2024-05-02T00:00:00"/>
    <n v="19814"/>
    <n v="1092"/>
    <n v="101"/>
    <n v="451.92"/>
    <n v="10533.22"/>
    <n v="5.5112546684162711E-2"/>
    <n v="9.2490842490842495E-2"/>
    <n v="4.4744554455445549"/>
    <n v="23.307709329084791"/>
    <n v="2024"/>
    <x v="8"/>
    <n v="5"/>
  </r>
  <r>
    <s v="CAMP2776"/>
    <x v="1"/>
    <x v="2"/>
    <d v="2024-01-22T00:00:00"/>
    <n v="16056"/>
    <n v="406"/>
    <n v="20"/>
    <n v="932.63"/>
    <n v="2140.9699999999998"/>
    <n v="2.528649725959143E-2"/>
    <n v="4.9261083743842367E-2"/>
    <n v="46.631500000000003"/>
    <n v="2.2956263469972011"/>
    <n v="2024"/>
    <x v="0"/>
    <n v="1"/>
  </r>
  <r>
    <s v="CAMP2777"/>
    <x v="7"/>
    <x v="3"/>
    <d v="2024-07-17T00:00:00"/>
    <n v="108758"/>
    <n v="1234"/>
    <n v="147"/>
    <n v="2562.69"/>
    <n v="12783.74"/>
    <n v="1.1346291767042424E-2"/>
    <n v="0.11912479740680713"/>
    <n v="17.433265306122451"/>
    <n v="4.9884067132583336"/>
    <n v="2024"/>
    <x v="10"/>
    <n v="7"/>
  </r>
  <r>
    <s v="CAMP2778"/>
    <x v="3"/>
    <x v="1"/>
    <d v="2024-02-04T00:00:00"/>
    <n v="15519"/>
    <n v="372"/>
    <n v="9"/>
    <n v="1301.6300000000001"/>
    <n v="622.32000000000005"/>
    <n v="2.397061666344481E-2"/>
    <n v="2.4193548387096774E-2"/>
    <n v="144.62555555555556"/>
    <n v="0.47810821815723364"/>
    <n v="2024"/>
    <x v="9"/>
    <n v="2"/>
  </r>
  <r>
    <s v="CAMP2779"/>
    <x v="7"/>
    <x v="0"/>
    <d v="2024-10-24T00:00:00"/>
    <n v="101499"/>
    <n v="4632"/>
    <n v="591"/>
    <n v="2106.4699999999998"/>
    <n v="20818.32"/>
    <n v="4.5635917595247245E-2"/>
    <n v="0.12759067357512954"/>
    <n v="3.5642470389170895"/>
    <n v="9.8830365492981151"/>
    <n v="2024"/>
    <x v="3"/>
    <n v="10"/>
  </r>
  <r>
    <s v="CAMP2780"/>
    <x v="4"/>
    <x v="1"/>
    <d v="2024-05-24T00:00:00"/>
    <n v="74637"/>
    <n v="3652"/>
    <n v="315"/>
    <n v="967.34"/>
    <n v="12649.96"/>
    <n v="4.8930155284912312E-2"/>
    <n v="8.6254107338444685E-2"/>
    <n v="3.0709206349206348"/>
    <n v="13.077056670870634"/>
    <n v="2024"/>
    <x v="8"/>
    <n v="5"/>
  </r>
  <r>
    <s v="CAMP2781"/>
    <x v="5"/>
    <x v="3"/>
    <d v="2024-04-10T00:00:00"/>
    <n v="90736"/>
    <n v="6610"/>
    <n v="469"/>
    <n v="3322.22"/>
    <n v="30562.37"/>
    <n v="7.2848703932287068E-2"/>
    <n v="7.0953101361573373E-2"/>
    <n v="7.0836247334754789"/>
    <n v="9.1993817387168821"/>
    <n v="2024"/>
    <x v="7"/>
    <n v="4"/>
  </r>
  <r>
    <s v="CAMP2782"/>
    <x v="6"/>
    <x v="1"/>
    <d v="2024-11-29T00:00:00"/>
    <n v="139166"/>
    <n v="8892"/>
    <n v="414"/>
    <n v="740.93"/>
    <n v="24320.52"/>
    <n v="6.3894916861877177E-2"/>
    <n v="4.6558704453441298E-2"/>
    <n v="1.7896859903381641"/>
    <n v="32.824315387418515"/>
    <n v="2024"/>
    <x v="5"/>
    <n v="11"/>
  </r>
  <r>
    <s v="CAMP2783"/>
    <x v="0"/>
    <x v="4"/>
    <d v="2024-04-12T00:00:00"/>
    <n v="83278"/>
    <n v="5688"/>
    <n v="612"/>
    <n v="4455.93"/>
    <n v="62293.05"/>
    <n v="6.8301352097792936E-2"/>
    <n v="0.10759493670886076"/>
    <n v="7.2809313725490199"/>
    <n v="13.97980892877581"/>
    <n v="2024"/>
    <x v="7"/>
    <n v="4"/>
  </r>
  <r>
    <s v="CAMP2784"/>
    <x v="7"/>
    <x v="2"/>
    <d v="2024-01-28T00:00:00"/>
    <n v="65243"/>
    <n v="3241"/>
    <n v="437"/>
    <n v="1411.2"/>
    <n v="31075.040000000001"/>
    <n v="4.9675827291816743E-2"/>
    <n v="0.13483492749151496"/>
    <n v="3.2292906178489704"/>
    <n v="22.0202947845805"/>
    <n v="2024"/>
    <x v="0"/>
    <n v="1"/>
  </r>
  <r>
    <s v="CAMP2785"/>
    <x v="5"/>
    <x v="0"/>
    <d v="2024-04-20T00:00:00"/>
    <n v="52426"/>
    <n v="3681"/>
    <n v="172"/>
    <n v="4744.62"/>
    <n v="10123.43"/>
    <n v="7.0213252966085535E-2"/>
    <n v="4.6726433034501497E-2"/>
    <n v="27.585000000000001"/>
    <n v="2.1336650774983035"/>
    <n v="2024"/>
    <x v="7"/>
    <n v="4"/>
  </r>
  <r>
    <s v="CAMP2786"/>
    <x v="7"/>
    <x v="2"/>
    <d v="2024-07-19T00:00:00"/>
    <n v="48321"/>
    <n v="3597"/>
    <n v="296"/>
    <n v="3064.35"/>
    <n v="29452.09"/>
    <n v="7.4439684609176132E-2"/>
    <n v="8.2290797887128161E-2"/>
    <n v="10.352533783783784"/>
    <n v="9.6112030283746961"/>
    <n v="2024"/>
    <x v="10"/>
    <n v="7"/>
  </r>
  <r>
    <s v="CAMP2787"/>
    <x v="1"/>
    <x v="0"/>
    <d v="2024-11-11T00:00:00"/>
    <n v="33117"/>
    <n v="2381"/>
    <n v="311"/>
    <n v="3172.53"/>
    <n v="32877.86"/>
    <n v="7.1896608992360417E-2"/>
    <n v="0.13061738765224695"/>
    <n v="10.201061093247588"/>
    <n v="10.363293648917425"/>
    <n v="2024"/>
    <x v="5"/>
    <n v="11"/>
  </r>
  <r>
    <s v="CAMP2788"/>
    <x v="5"/>
    <x v="0"/>
    <d v="2024-06-04T00:00:00"/>
    <n v="121669"/>
    <n v="4465"/>
    <n v="419"/>
    <n v="965.54"/>
    <n v="10623.24"/>
    <n v="3.6697926341138665E-2"/>
    <n v="9.3840985442329231E-2"/>
    <n v="2.3043914081145584"/>
    <n v="11.002382086707957"/>
    <n v="2024"/>
    <x v="2"/>
    <n v="6"/>
  </r>
  <r>
    <s v="CAMP2789"/>
    <x v="1"/>
    <x v="4"/>
    <d v="2024-08-04T00:00:00"/>
    <n v="102732"/>
    <n v="1574"/>
    <n v="116"/>
    <n v="307.49"/>
    <n v="11257.15"/>
    <n v="1.5321418837363236E-2"/>
    <n v="7.3697585768742052E-2"/>
    <n v="2.6507758620689654"/>
    <n v="36.609808449055251"/>
    <n v="2024"/>
    <x v="1"/>
    <n v="8"/>
  </r>
  <r>
    <s v="CAMP2790"/>
    <x v="0"/>
    <x v="3"/>
    <d v="2024-03-13T00:00:00"/>
    <n v="73871"/>
    <n v="3101"/>
    <n v="437"/>
    <n v="4919.76"/>
    <n v="48706.54"/>
    <n v="4.1978584288827822E-2"/>
    <n v="0.14092228313447275"/>
    <n v="11.258032036613272"/>
    <n v="9.9001861879441275"/>
    <n v="2024"/>
    <x v="6"/>
    <n v="3"/>
  </r>
  <r>
    <s v="CAMP2791"/>
    <x v="0"/>
    <x v="0"/>
    <d v="2024-08-31T00:00:00"/>
    <n v="50765"/>
    <n v="558"/>
    <n v="17"/>
    <n v="1327.05"/>
    <n v="1818.65"/>
    <n v="1.0991825076332118E-2"/>
    <n v="3.046594982078853E-2"/>
    <n v="78.061764705882354"/>
    <n v="1.3704457254813309"/>
    <n v="2024"/>
    <x v="1"/>
    <n v="8"/>
  </r>
  <r>
    <s v="CAMP2792"/>
    <x v="5"/>
    <x v="3"/>
    <d v="2024-01-12T00:00:00"/>
    <n v="130757"/>
    <n v="1886"/>
    <n v="207"/>
    <n v="1234.28"/>
    <n v="12369.06"/>
    <n v="1.4423701981538273E-2"/>
    <n v="0.10975609756097561"/>
    <n v="5.9627053140096615"/>
    <n v="10.021275561460932"/>
    <n v="2024"/>
    <x v="0"/>
    <n v="1"/>
  </r>
  <r>
    <s v="CAMP2793"/>
    <x v="3"/>
    <x v="0"/>
    <d v="2024-01-20T00:00:00"/>
    <n v="135396"/>
    <n v="5452"/>
    <n v="439"/>
    <n v="1040.1099999999999"/>
    <n v="9362.51"/>
    <n v="4.0267068451062073E-2"/>
    <n v="8.0520909757887019E-2"/>
    <n v="2.3692710706150337"/>
    <n v="9.0014613838920887"/>
    <n v="2024"/>
    <x v="0"/>
    <n v="1"/>
  </r>
  <r>
    <s v="CAMP2794"/>
    <x v="4"/>
    <x v="0"/>
    <d v="2025-01-29T00:00:00"/>
    <n v="78616"/>
    <n v="4692"/>
    <n v="532"/>
    <n v="1172.95"/>
    <n v="24859.53"/>
    <n v="5.9682507377633053E-2"/>
    <n v="0.113384484228474"/>
    <n v="2.2047932330827069"/>
    <n v="21.194023615669892"/>
    <n v="2025"/>
    <x v="0"/>
    <n v="1"/>
  </r>
  <r>
    <s v="CAMP2795"/>
    <x v="5"/>
    <x v="4"/>
    <d v="2024-04-30T00:00:00"/>
    <n v="122437"/>
    <n v="8169"/>
    <n v="1220"/>
    <n v="411.79"/>
    <n v="93111.86"/>
    <n v="6.6720027442684807E-2"/>
    <n v="0.14934508507773289"/>
    <n v="0.33753278688524591"/>
    <n v="226.11491294106219"/>
    <n v="2024"/>
    <x v="7"/>
    <n v="4"/>
  </r>
  <r>
    <s v="CAMP2796"/>
    <x v="3"/>
    <x v="1"/>
    <d v="2024-12-25T00:00:00"/>
    <n v="133064"/>
    <n v="8707"/>
    <n v="984"/>
    <n v="3764.12"/>
    <n v="47873.279999999999"/>
    <n v="6.5434678049660314E-2"/>
    <n v="0.1130125186631446"/>
    <n v="3.8253252032520324"/>
    <n v="12.718319288439263"/>
    <n v="2024"/>
    <x v="4"/>
    <n v="12"/>
  </r>
  <r>
    <s v="CAMP2797"/>
    <x v="0"/>
    <x v="1"/>
    <d v="2024-07-07T00:00:00"/>
    <n v="124605"/>
    <n v="8404"/>
    <n v="763"/>
    <n v="1991.68"/>
    <n v="84068.93"/>
    <n v="6.7445126600056179E-2"/>
    <n v="9.0790099952403613E-2"/>
    <n v="2.6103276539973788"/>
    <n v="42.210058844794339"/>
    <n v="2024"/>
    <x v="10"/>
    <n v="7"/>
  </r>
  <r>
    <s v="CAMP2798"/>
    <x v="2"/>
    <x v="3"/>
    <d v="2025-01-11T00:00:00"/>
    <n v="95908"/>
    <n v="3691"/>
    <n v="352"/>
    <n v="1986.13"/>
    <n v="41659.65"/>
    <n v="3.848479793135088E-2"/>
    <n v="9.5367109184502849E-2"/>
    <n v="5.6424147727272729"/>
    <n v="20.975288626625648"/>
    <n v="2025"/>
    <x v="0"/>
    <n v="1"/>
  </r>
  <r>
    <s v="CAMP2799"/>
    <x v="5"/>
    <x v="4"/>
    <d v="2025-02-20T00:00:00"/>
    <n v="134633"/>
    <n v="7714"/>
    <n v="563"/>
    <n v="4814.6499999999996"/>
    <n v="16126.89"/>
    <n v="5.7296502343407635E-2"/>
    <n v="7.2984184599429611E-2"/>
    <n v="8.5517761989342809"/>
    <n v="3.3495456575244309"/>
    <n v="2025"/>
    <x v="9"/>
    <n v="2"/>
  </r>
  <r>
    <s v="CAMP2800"/>
    <x v="5"/>
    <x v="4"/>
    <d v="2024-06-19T00:00:00"/>
    <n v="99022"/>
    <n v="5464"/>
    <n v="429"/>
    <n v="2788.22"/>
    <n v="37766.49"/>
    <n v="5.5179657045908992E-2"/>
    <n v="7.8513909224011719E-2"/>
    <n v="6.4993473193473186"/>
    <n v="13.545017968452992"/>
    <n v="2024"/>
    <x v="2"/>
    <n v="6"/>
  </r>
  <r>
    <s v="CAMP2801"/>
    <x v="4"/>
    <x v="3"/>
    <d v="2024-09-16T00:00:00"/>
    <n v="43024"/>
    <n v="2233"/>
    <n v="201"/>
    <n v="4193.66"/>
    <n v="7224.5"/>
    <n v="5.1901264410561546E-2"/>
    <n v="9.0013434841021048E-2"/>
    <n v="20.863980099502488"/>
    <n v="1.7227195337724088"/>
    <n v="2024"/>
    <x v="11"/>
    <n v="9"/>
  </r>
  <r>
    <s v="CAMP2802"/>
    <x v="2"/>
    <x v="4"/>
    <d v="2025-02-26T00:00:00"/>
    <n v="108900"/>
    <n v="1712"/>
    <n v="127"/>
    <n v="737.02"/>
    <n v="8907.57"/>
    <n v="1.5720844811753901E-2"/>
    <n v="7.4182242990654207E-2"/>
    <n v="5.8033070866141729"/>
    <n v="12.085927111882988"/>
    <n v="2025"/>
    <x v="9"/>
    <n v="2"/>
  </r>
  <r>
    <s v="CAMP2803"/>
    <x v="4"/>
    <x v="1"/>
    <d v="2024-02-23T00:00:00"/>
    <n v="6059"/>
    <n v="168"/>
    <n v="15"/>
    <n v="4722.99"/>
    <n v="1409.57"/>
    <n v="2.7727347747152995E-2"/>
    <n v="8.9285714285714288E-2"/>
    <n v="314.86599999999999"/>
    <n v="0.29844865223089612"/>
    <n v="2024"/>
    <x v="9"/>
    <n v="2"/>
  </r>
  <r>
    <s v="CAMP2804"/>
    <x v="7"/>
    <x v="2"/>
    <d v="2024-02-29T00:00:00"/>
    <n v="90324"/>
    <n v="5530"/>
    <n v="683"/>
    <n v="2832.56"/>
    <n v="40635.800000000003"/>
    <n v="6.1224037907975731E-2"/>
    <n v="0.12350813743218807"/>
    <n v="4.1472327964860911"/>
    <n v="14.345962662750305"/>
    <n v="2024"/>
    <x v="9"/>
    <n v="2"/>
  </r>
  <r>
    <s v="CAMP2805"/>
    <x v="3"/>
    <x v="4"/>
    <d v="2024-10-22T00:00:00"/>
    <n v="97047"/>
    <n v="6064"/>
    <n v="663"/>
    <n v="4942.16"/>
    <n v="28231.52"/>
    <n v="6.248518758951848E-2"/>
    <n v="0.10933377308707123"/>
    <n v="7.4542383107088988"/>
    <n v="5.7123848681548148"/>
    <n v="2024"/>
    <x v="3"/>
    <n v="10"/>
  </r>
  <r>
    <s v="CAMP2806"/>
    <x v="6"/>
    <x v="4"/>
    <d v="2024-12-21T00:00:00"/>
    <n v="54369"/>
    <n v="3269"/>
    <n v="444"/>
    <n v="4852.55"/>
    <n v="44397.120000000003"/>
    <n v="6.012617484228145E-2"/>
    <n v="0.13582135209544202"/>
    <n v="10.929166666666667"/>
    <n v="9.1492349383313929"/>
    <n v="2024"/>
    <x v="4"/>
    <n v="12"/>
  </r>
  <r>
    <s v="CAMP2807"/>
    <x v="6"/>
    <x v="4"/>
    <d v="2024-02-06T00:00:00"/>
    <n v="85361"/>
    <n v="2298"/>
    <n v="167"/>
    <n v="4161.1099999999997"/>
    <n v="12390.85"/>
    <n v="2.692095922025281E-2"/>
    <n v="7.2671888598781556E-2"/>
    <n v="24.916826347305388"/>
    <n v="2.9777751609546494"/>
    <n v="2024"/>
    <x v="9"/>
    <n v="2"/>
  </r>
  <r>
    <s v="CAMP2808"/>
    <x v="0"/>
    <x v="4"/>
    <d v="2024-01-13T00:00:00"/>
    <n v="9251"/>
    <n v="112"/>
    <n v="4"/>
    <n v="1091.43"/>
    <n v="390.43"/>
    <n v="1.210679926494433E-2"/>
    <n v="3.5714285714285712E-2"/>
    <n v="272.85750000000002"/>
    <n v="0.35772335376524372"/>
    <n v="2024"/>
    <x v="0"/>
    <n v="1"/>
  </r>
  <r>
    <s v="CAMP2809"/>
    <x v="0"/>
    <x v="0"/>
    <d v="2024-05-09T00:00:00"/>
    <n v="123646"/>
    <n v="9467"/>
    <n v="708"/>
    <n v="1916.07"/>
    <n v="42692.46"/>
    <n v="7.6565355935493268E-2"/>
    <n v="7.478609908101827E-2"/>
    <n v="2.7063135593220338"/>
    <n v="22.281263210634268"/>
    <n v="2024"/>
    <x v="8"/>
    <n v="5"/>
  </r>
  <r>
    <s v="CAMP2810"/>
    <x v="5"/>
    <x v="3"/>
    <d v="2024-07-17T00:00:00"/>
    <n v="103281"/>
    <n v="2539"/>
    <n v="192"/>
    <n v="3030.52"/>
    <n v="13026.04"/>
    <n v="2.4583418053659434E-2"/>
    <n v="7.562032296179598E-2"/>
    <n v="15.783958333333333"/>
    <n v="4.2982854427622987"/>
    <n v="2024"/>
    <x v="10"/>
    <n v="7"/>
  </r>
  <r>
    <s v="CAMP2811"/>
    <x v="4"/>
    <x v="2"/>
    <d v="2024-01-17T00:00:00"/>
    <n v="136070"/>
    <n v="4405"/>
    <n v="105"/>
    <n v="3563.03"/>
    <n v="11142.34"/>
    <n v="3.2373043286543689E-2"/>
    <n v="2.383654937570942E-2"/>
    <n v="33.933619047619047"/>
    <n v="3.1272091450254416"/>
    <n v="2024"/>
    <x v="0"/>
    <n v="1"/>
  </r>
  <r>
    <s v="CAMP2812"/>
    <x v="3"/>
    <x v="1"/>
    <d v="2025-01-29T00:00:00"/>
    <n v="30691"/>
    <n v="1215"/>
    <n v="117"/>
    <n v="4427.05"/>
    <n v="13444.73"/>
    <n v="3.9588152878694077E-2"/>
    <n v="9.6296296296296297E-2"/>
    <n v="37.838034188034193"/>
    <n v="3.0369501135067369"/>
    <n v="2025"/>
    <x v="0"/>
    <n v="1"/>
  </r>
  <r>
    <s v="CAMP2813"/>
    <x v="6"/>
    <x v="0"/>
    <d v="2024-07-13T00:00:00"/>
    <n v="15137"/>
    <n v="1171"/>
    <n v="138"/>
    <n v="616.78"/>
    <n v="6239.76"/>
    <n v="7.7360110986324893E-2"/>
    <n v="0.11784799316823227"/>
    <n v="4.4694202898550719"/>
    <n v="10.116670449755182"/>
    <n v="2024"/>
    <x v="10"/>
    <n v="7"/>
  </r>
  <r>
    <s v="CAMP2814"/>
    <x v="0"/>
    <x v="0"/>
    <d v="2024-05-05T00:00:00"/>
    <n v="29643"/>
    <n v="1239"/>
    <n v="145"/>
    <n v="1358.62"/>
    <n v="17168"/>
    <n v="4.1797388928246131E-2"/>
    <n v="0.11702986279257466"/>
    <n v="9.3697931034482753"/>
    <n v="12.636351592056647"/>
    <n v="2024"/>
    <x v="8"/>
    <n v="5"/>
  </r>
  <r>
    <s v="CAMP2815"/>
    <x v="4"/>
    <x v="3"/>
    <d v="2024-06-07T00:00:00"/>
    <n v="149867"/>
    <n v="9651"/>
    <n v="1265"/>
    <n v="1239.47"/>
    <n v="77241.8"/>
    <n v="6.4397098760901328E-2"/>
    <n v="0.1310745000518081"/>
    <n v="0.97981818181818181"/>
    <n v="62.318410288268375"/>
    <n v="2024"/>
    <x v="2"/>
    <n v="6"/>
  </r>
  <r>
    <s v="CAMP2816"/>
    <x v="4"/>
    <x v="4"/>
    <d v="2024-10-30T00:00:00"/>
    <n v="12401"/>
    <n v="936"/>
    <n v="72"/>
    <n v="2609.9499999999998"/>
    <n v="4774.8999999999996"/>
    <n v="7.547778404967341E-2"/>
    <n v="7.6923076923076927E-2"/>
    <n v="36.249305555555551"/>
    <n v="1.8294986493994139"/>
    <n v="2024"/>
    <x v="3"/>
    <n v="10"/>
  </r>
  <r>
    <s v="CAMP2817"/>
    <x v="3"/>
    <x v="1"/>
    <d v="2024-11-30T00:00:00"/>
    <n v="17770"/>
    <n v="492"/>
    <n v="17"/>
    <n v="2680.33"/>
    <n v="635.66"/>
    <n v="2.7687113111986496E-2"/>
    <n v="3.4552845528455285E-2"/>
    <n v="157.66647058823528"/>
    <n v="0.23715736495133061"/>
    <n v="2024"/>
    <x v="5"/>
    <n v="11"/>
  </r>
  <r>
    <s v="CAMP2818"/>
    <x v="6"/>
    <x v="3"/>
    <d v="2024-03-24T00:00:00"/>
    <n v="15437"/>
    <n v="468"/>
    <n v="29"/>
    <n v="726.44"/>
    <n v="1028.9100000000001"/>
    <n v="3.0316771393405453E-2"/>
    <n v="6.1965811965811968E-2"/>
    <n v="25.049655172413797"/>
    <n v="1.4163729970816585"/>
    <n v="2024"/>
    <x v="6"/>
    <n v="3"/>
  </r>
  <r>
    <s v="CAMP2819"/>
    <x v="0"/>
    <x v="4"/>
    <d v="2024-09-03T00:00:00"/>
    <n v="132466"/>
    <n v="3633"/>
    <n v="255"/>
    <n v="3773.75"/>
    <n v="21773.72"/>
    <n v="2.7425905515377529E-2"/>
    <n v="7.0189925681255164E-2"/>
    <n v="14.799019607843137"/>
    <n v="5.7697833719774767"/>
    <n v="2024"/>
    <x v="11"/>
    <n v="9"/>
  </r>
  <r>
    <s v="CAMP2820"/>
    <x v="2"/>
    <x v="2"/>
    <d v="2024-01-23T00:00:00"/>
    <n v="84240"/>
    <n v="1919"/>
    <n v="123"/>
    <n v="3478.56"/>
    <n v="12860.12"/>
    <n v="2.2780151946818615E-2"/>
    <n v="6.4095883272537776E-2"/>
    <n v="28.280975609756098"/>
    <n v="3.6969665608757651"/>
    <n v="2024"/>
    <x v="0"/>
    <n v="1"/>
  </r>
  <r>
    <s v="CAMP2821"/>
    <x v="1"/>
    <x v="2"/>
    <d v="2025-02-17T00:00:00"/>
    <n v="35432"/>
    <n v="606"/>
    <n v="23"/>
    <n v="3753.71"/>
    <n v="2637.35"/>
    <n v="1.710318356288101E-2"/>
    <n v="3.7953795379537955E-2"/>
    <n v="163.20478260869567"/>
    <n v="0.70259822948496287"/>
    <n v="2025"/>
    <x v="9"/>
    <n v="2"/>
  </r>
  <r>
    <s v="CAMP2822"/>
    <x v="4"/>
    <x v="2"/>
    <d v="2024-09-11T00:00:00"/>
    <n v="101121"/>
    <n v="6633"/>
    <n v="503"/>
    <n v="3600.36"/>
    <n v="55213.78"/>
    <n v="6.5594683596878992E-2"/>
    <n v="7.5832956429971357E-2"/>
    <n v="7.1577733598409541"/>
    <n v="15.335627548356275"/>
    <n v="2024"/>
    <x v="11"/>
    <n v="9"/>
  </r>
  <r>
    <s v="CAMP2823"/>
    <x v="7"/>
    <x v="1"/>
    <d v="2024-02-24T00:00:00"/>
    <n v="114739"/>
    <n v="4951"/>
    <n v="278"/>
    <n v="2874.95"/>
    <n v="17298.7"/>
    <n v="4.3150105892503857E-2"/>
    <n v="5.6150272672187439E-2"/>
    <n v="10.341546762589928"/>
    <n v="6.0170437746743426"/>
    <n v="2024"/>
    <x v="9"/>
    <n v="2"/>
  </r>
  <r>
    <s v="CAMP2824"/>
    <x v="0"/>
    <x v="0"/>
    <d v="2024-05-14T00:00:00"/>
    <n v="98753"/>
    <n v="4268"/>
    <n v="366"/>
    <n v="1367.51"/>
    <n v="41279.96"/>
    <n v="4.3218940184095674E-2"/>
    <n v="8.575445173383317E-2"/>
    <n v="3.7363661202185794"/>
    <n v="30.186221672967655"/>
    <n v="2024"/>
    <x v="8"/>
    <n v="5"/>
  </r>
  <r>
    <s v="CAMP2825"/>
    <x v="2"/>
    <x v="0"/>
    <d v="2024-01-13T00:00:00"/>
    <n v="47466"/>
    <n v="761"/>
    <n v="33"/>
    <n v="1143.28"/>
    <n v="2837.54"/>
    <n v="1.6032528546749251E-2"/>
    <n v="4.3363994743758211E-2"/>
    <n v="34.644848484848481"/>
    <n v="2.4819291862011057"/>
    <n v="2024"/>
    <x v="0"/>
    <n v="1"/>
  </r>
  <r>
    <s v="CAMP2826"/>
    <x v="7"/>
    <x v="1"/>
    <d v="2024-05-14T00:00:00"/>
    <n v="130273"/>
    <n v="1912"/>
    <n v="234"/>
    <n v="1090.45"/>
    <n v="14350.18"/>
    <n v="1.467687087884673E-2"/>
    <n v="0.12238493723849372"/>
    <n v="4.6600427350427349"/>
    <n v="13.159869778531798"/>
    <n v="2024"/>
    <x v="8"/>
    <n v="5"/>
  </r>
  <r>
    <s v="CAMP2827"/>
    <x v="4"/>
    <x v="4"/>
    <d v="2024-04-13T00:00:00"/>
    <n v="43636"/>
    <n v="1353"/>
    <n v="158"/>
    <n v="2075.41"/>
    <n v="9035.3700000000008"/>
    <n v="3.1006508387569895E-2"/>
    <n v="0.11677753141167775"/>
    <n v="13.135506329113923"/>
    <n v="4.3535349641757541"/>
    <n v="2024"/>
    <x v="7"/>
    <n v="4"/>
  </r>
  <r>
    <s v="CAMP2828"/>
    <x v="4"/>
    <x v="0"/>
    <d v="2024-09-25T00:00:00"/>
    <n v="74700"/>
    <n v="3808"/>
    <n v="80"/>
    <n v="4425.8500000000004"/>
    <n v="2696.49"/>
    <n v="5.097724230254351E-2"/>
    <n v="2.100840336134454E-2"/>
    <n v="55.323125000000005"/>
    <n v="0.60925923833839812"/>
    <n v="2024"/>
    <x v="11"/>
    <n v="9"/>
  </r>
  <r>
    <s v="CAMP2829"/>
    <x v="1"/>
    <x v="2"/>
    <d v="2025-02-14T00:00:00"/>
    <n v="60983"/>
    <n v="1415"/>
    <n v="115"/>
    <n v="2497.92"/>
    <n v="3439.04"/>
    <n v="2.3203187773641835E-2"/>
    <n v="8.1272084805653705E-2"/>
    <n v="21.721043478260871"/>
    <n v="1.3767614655393288"/>
    <n v="2025"/>
    <x v="9"/>
    <n v="2"/>
  </r>
  <r>
    <s v="CAMP2830"/>
    <x v="3"/>
    <x v="1"/>
    <d v="2024-11-20T00:00:00"/>
    <n v="146925"/>
    <n v="10300"/>
    <n v="300"/>
    <n v="3402"/>
    <n v="31735.37"/>
    <n v="7.0103794452952187E-2"/>
    <n v="2.9126213592233011E-2"/>
    <n v="11.34"/>
    <n v="9.3284450323339208"/>
    <n v="2024"/>
    <x v="5"/>
    <n v="11"/>
  </r>
  <r>
    <s v="CAMP2831"/>
    <x v="2"/>
    <x v="0"/>
    <d v="2024-09-01T00:00:00"/>
    <n v="139580"/>
    <n v="11067"/>
    <n v="325"/>
    <n v="990.72"/>
    <n v="26875.58"/>
    <n v="7.928786359077232E-2"/>
    <n v="2.9366585343814946E-2"/>
    <n v="3.0483692307692309"/>
    <n v="27.12732154392765"/>
    <n v="2024"/>
    <x v="11"/>
    <n v="9"/>
  </r>
  <r>
    <s v="CAMP2832"/>
    <x v="3"/>
    <x v="3"/>
    <d v="2024-04-25T00:00:00"/>
    <n v="73804"/>
    <n v="2837"/>
    <n v="334"/>
    <n v="405.96"/>
    <n v="17384.29"/>
    <n v="3.8439650967427241E-2"/>
    <n v="0.11772999647514981"/>
    <n v="1.2154491017964071"/>
    <n v="42.822667257857923"/>
    <n v="2024"/>
    <x v="7"/>
    <n v="4"/>
  </r>
  <r>
    <s v="CAMP2833"/>
    <x v="3"/>
    <x v="0"/>
    <d v="2024-04-08T00:00:00"/>
    <n v="102958"/>
    <n v="3845"/>
    <n v="380"/>
    <n v="4361.29"/>
    <n v="36047.120000000003"/>
    <n v="3.7345325278268809E-2"/>
    <n v="9.8829648894668401E-2"/>
    <n v="11.477078947368421"/>
    <n v="8.2652426231688345"/>
    <n v="2024"/>
    <x v="7"/>
    <n v="4"/>
  </r>
  <r>
    <s v="CAMP2834"/>
    <x v="2"/>
    <x v="2"/>
    <d v="2024-11-10T00:00:00"/>
    <n v="138574"/>
    <n v="10006"/>
    <n v="1040"/>
    <n v="3826.06"/>
    <n v="37157.65"/>
    <n v="7.2206907500685549E-2"/>
    <n v="0.10393763741754947"/>
    <n v="3.6789038461538461"/>
    <n v="9.7117269462580307"/>
    <n v="2024"/>
    <x v="5"/>
    <n v="11"/>
  </r>
  <r>
    <s v="CAMP2835"/>
    <x v="5"/>
    <x v="2"/>
    <d v="2025-01-30T00:00:00"/>
    <n v="24675"/>
    <n v="994"/>
    <n v="23"/>
    <n v="518.4"/>
    <n v="655.14"/>
    <n v="4.0283687943262411E-2"/>
    <n v="2.3138832997987926E-2"/>
    <n v="22.539130434782606"/>
    <n v="1.2637731481481482"/>
    <n v="2025"/>
    <x v="0"/>
    <n v="1"/>
  </r>
  <r>
    <s v="CAMP2836"/>
    <x v="2"/>
    <x v="0"/>
    <d v="2024-07-08T00:00:00"/>
    <n v="77715"/>
    <n v="2916"/>
    <n v="234"/>
    <n v="4072.69"/>
    <n v="26140.39"/>
    <n v="3.7521713954834973E-2"/>
    <n v="8.0246913580246909E-2"/>
    <n v="17.404658119658119"/>
    <n v="6.4184580707100221"/>
    <n v="2024"/>
    <x v="10"/>
    <n v="7"/>
  </r>
  <r>
    <s v="CAMP2837"/>
    <x v="5"/>
    <x v="1"/>
    <d v="2024-11-05T00:00:00"/>
    <n v="90744"/>
    <n v="6747"/>
    <n v="885"/>
    <n v="2455.58"/>
    <n v="60869.19"/>
    <n v="7.4352023274266071E-2"/>
    <n v="0.13116940862605603"/>
    <n v="2.7746666666666666"/>
    <n v="24.788111159074436"/>
    <n v="2024"/>
    <x v="5"/>
    <n v="11"/>
  </r>
  <r>
    <s v="CAMP2838"/>
    <x v="2"/>
    <x v="2"/>
    <d v="2024-06-21T00:00:00"/>
    <n v="28851"/>
    <n v="1684"/>
    <n v="247"/>
    <n v="2757.15"/>
    <n v="20164.259999999998"/>
    <n v="5.8368860698069389E-2"/>
    <n v="0.14667458432304037"/>
    <n v="11.16255060728745"/>
    <n v="7.3134432294216847"/>
    <n v="2024"/>
    <x v="2"/>
    <n v="6"/>
  </r>
  <r>
    <s v="CAMP2839"/>
    <x v="0"/>
    <x v="3"/>
    <d v="2024-11-18T00:00:00"/>
    <n v="75310"/>
    <n v="5677"/>
    <n v="759"/>
    <n v="3053.28"/>
    <n v="32473.23"/>
    <n v="7.5381755410968004E-2"/>
    <n v="0.13369737537431742"/>
    <n v="4.0227667984189726"/>
    <n v="10.635523109573965"/>
    <n v="2024"/>
    <x v="5"/>
    <n v="11"/>
  </r>
  <r>
    <s v="CAMP2840"/>
    <x v="7"/>
    <x v="4"/>
    <d v="2024-10-16T00:00:00"/>
    <n v="55139"/>
    <n v="1896"/>
    <n v="113"/>
    <n v="4163.53"/>
    <n v="8109.69"/>
    <n v="3.4385824915214275E-2"/>
    <n v="5.9599156118143461E-2"/>
    <n v="36.845398230088492"/>
    <n v="1.9477918977406192"/>
    <n v="2024"/>
    <x v="3"/>
    <n v="10"/>
  </r>
  <r>
    <s v="CAMP2841"/>
    <x v="3"/>
    <x v="3"/>
    <d v="2024-05-15T00:00:00"/>
    <n v="116109"/>
    <n v="6604"/>
    <n v="293"/>
    <n v="3142.66"/>
    <n v="28915.98"/>
    <n v="5.6877589161908208E-2"/>
    <n v="4.4367050272562082E-2"/>
    <n v="10.725802047781569"/>
    <n v="9.2011162518376164"/>
    <n v="2024"/>
    <x v="8"/>
    <n v="5"/>
  </r>
  <r>
    <s v="CAMP2842"/>
    <x v="5"/>
    <x v="4"/>
    <d v="2024-12-17T00:00:00"/>
    <n v="99761"/>
    <n v="5974"/>
    <n v="548"/>
    <n v="1181.43"/>
    <n v="36315.440000000002"/>
    <n v="5.9883120658373513E-2"/>
    <n v="9.1730833612320054E-2"/>
    <n v="2.1558941605839417"/>
    <n v="30.738545660767038"/>
    <n v="2024"/>
    <x v="4"/>
    <n v="12"/>
  </r>
  <r>
    <s v="CAMP2843"/>
    <x v="2"/>
    <x v="0"/>
    <d v="2025-01-05T00:00:00"/>
    <n v="81404"/>
    <n v="4452"/>
    <n v="208"/>
    <n v="3991.74"/>
    <n v="21432.1"/>
    <n v="5.4690187214387502E-2"/>
    <n v="4.6720575022461817E-2"/>
    <n v="19.191057692307691"/>
    <n v="5.369112216727542"/>
    <n v="2025"/>
    <x v="0"/>
    <n v="1"/>
  </r>
  <r>
    <s v="CAMP2844"/>
    <x v="2"/>
    <x v="2"/>
    <d v="2024-07-10T00:00:00"/>
    <n v="69391"/>
    <n v="2596"/>
    <n v="293"/>
    <n v="4675.92"/>
    <n v="19311.02"/>
    <n v="3.7411191653096226E-2"/>
    <n v="0.11286594761171033"/>
    <n v="15.958771331058021"/>
    <n v="4.1298867388663618"/>
    <n v="2024"/>
    <x v="10"/>
    <n v="7"/>
  </r>
  <r>
    <s v="CAMP2845"/>
    <x v="7"/>
    <x v="4"/>
    <d v="2024-05-10T00:00:00"/>
    <n v="23887"/>
    <n v="661"/>
    <n v="96"/>
    <n v="4102.95"/>
    <n v="11365.13"/>
    <n v="2.7671955456943106E-2"/>
    <n v="0.14523449319213314"/>
    <n v="42.739062499999996"/>
    <n v="2.7699898853264115"/>
    <n v="2024"/>
    <x v="8"/>
    <n v="5"/>
  </r>
  <r>
    <s v="CAMP2846"/>
    <x v="4"/>
    <x v="0"/>
    <d v="2024-04-06T00:00:00"/>
    <n v="71797"/>
    <n v="5380"/>
    <n v="425"/>
    <n v="4956.1000000000004"/>
    <n v="33302.300000000003"/>
    <n v="7.4933493042884797E-2"/>
    <n v="7.8996282527881045E-2"/>
    <n v="11.661411764705884"/>
    <n v="6.719456830975969"/>
    <n v="2024"/>
    <x v="7"/>
    <n v="4"/>
  </r>
  <r>
    <s v="CAMP2847"/>
    <x v="5"/>
    <x v="1"/>
    <d v="2024-10-17T00:00:00"/>
    <n v="115229"/>
    <n v="2758"/>
    <n v="73"/>
    <n v="2253"/>
    <n v="8626.39"/>
    <n v="2.3934946931761968E-2"/>
    <n v="2.6468455402465556E-2"/>
    <n v="30.863013698630137"/>
    <n v="3.8288459831335993"/>
    <n v="2024"/>
    <x v="3"/>
    <n v="10"/>
  </r>
  <r>
    <s v="CAMP2848"/>
    <x v="0"/>
    <x v="2"/>
    <d v="2024-08-11T00:00:00"/>
    <n v="106419"/>
    <n v="3396"/>
    <n v="129"/>
    <n v="790"/>
    <n v="12385.61"/>
    <n v="3.1911594734023059E-2"/>
    <n v="3.7985865724381625E-2"/>
    <n v="6.1240310077519382"/>
    <n v="15.677987341772152"/>
    <n v="2024"/>
    <x v="1"/>
    <n v="8"/>
  </r>
  <r>
    <s v="CAMP2849"/>
    <x v="4"/>
    <x v="0"/>
    <d v="2024-02-05T00:00:00"/>
    <n v="77707"/>
    <n v="1361"/>
    <n v="121"/>
    <n v="811.63"/>
    <n v="3580.28"/>
    <n v="1.7514509632336854E-2"/>
    <n v="8.8905216752387953E-2"/>
    <n v="6.7076859504132234"/>
    <n v="4.4112218621785795"/>
    <n v="2024"/>
    <x v="9"/>
    <n v="2"/>
  </r>
  <r>
    <s v="CAMP2850"/>
    <x v="3"/>
    <x v="4"/>
    <d v="2024-01-21T00:00:00"/>
    <n v="20697"/>
    <n v="221"/>
    <n v="14"/>
    <n v="3196.93"/>
    <n v="668.04"/>
    <n v="1.0677876020679326E-2"/>
    <n v="6.3348416289592757E-2"/>
    <n v="228.35214285714284"/>
    <n v="0.20896297385304027"/>
    <n v="2024"/>
    <x v="0"/>
    <n v="1"/>
  </r>
  <r>
    <s v="CAMP2851"/>
    <x v="3"/>
    <x v="4"/>
    <d v="2024-04-28T00:00:00"/>
    <n v="62786"/>
    <n v="3345"/>
    <n v="315"/>
    <n v="1480.33"/>
    <n v="23707.4"/>
    <n v="5.3276208071863153E-2"/>
    <n v="9.417040358744394E-2"/>
    <n v="4.6994603174603169"/>
    <n v="16.014942614146847"/>
    <n v="2024"/>
    <x v="7"/>
    <n v="4"/>
  </r>
  <r>
    <s v="CAMP2852"/>
    <x v="1"/>
    <x v="4"/>
    <d v="2024-01-12T00:00:00"/>
    <n v="88025"/>
    <n v="5577"/>
    <n v="236"/>
    <n v="4838.72"/>
    <n v="13765.22"/>
    <n v="6.3357000852030679E-2"/>
    <n v="4.2316657701273089E-2"/>
    <n v="20.503050847457629"/>
    <n v="2.8448060644137292"/>
    <n v="2024"/>
    <x v="0"/>
    <n v="1"/>
  </r>
  <r>
    <s v="CAMP2853"/>
    <x v="4"/>
    <x v="4"/>
    <d v="2024-02-16T00:00:00"/>
    <n v="75707"/>
    <n v="5047"/>
    <n v="182"/>
    <n v="1381.73"/>
    <n v="11036.52"/>
    <n v="6.6664905490905729E-2"/>
    <n v="3.6061026352288486E-2"/>
    <n v="7.5919230769230772"/>
    <n v="7.9874649895420964"/>
    <n v="2024"/>
    <x v="9"/>
    <n v="2"/>
  </r>
  <r>
    <s v="CAMP2854"/>
    <x v="1"/>
    <x v="2"/>
    <d v="2024-11-08T00:00:00"/>
    <n v="48422"/>
    <n v="3507"/>
    <n v="488"/>
    <n v="1541.46"/>
    <n v="9914.6200000000008"/>
    <n v="7.2425756887365245E-2"/>
    <n v="0.13915027088679782"/>
    <n v="3.1587295081967213"/>
    <n v="6.431967096129644"/>
    <n v="2024"/>
    <x v="5"/>
    <n v="11"/>
  </r>
  <r>
    <s v="CAMP2855"/>
    <x v="5"/>
    <x v="2"/>
    <d v="2024-10-23T00:00:00"/>
    <n v="106371"/>
    <n v="4385"/>
    <n v="220"/>
    <n v="4266.95"/>
    <n v="13387.76"/>
    <n v="4.1223641782064661E-2"/>
    <n v="5.0171037628278223E-2"/>
    <n v="19.395227272727272"/>
    <n v="3.1375478972099513"/>
    <n v="2024"/>
    <x v="3"/>
    <n v="10"/>
  </r>
  <r>
    <s v="CAMP2856"/>
    <x v="6"/>
    <x v="2"/>
    <d v="2024-03-17T00:00:00"/>
    <n v="105787"/>
    <n v="7356"/>
    <n v="864"/>
    <n v="310.52999999999997"/>
    <n v="83380.820000000007"/>
    <n v="6.9535954323310042E-2"/>
    <n v="0.11745513866231648"/>
    <n v="0.35940972222222217"/>
    <n v="268.51131935722799"/>
    <n v="2024"/>
    <x v="6"/>
    <n v="3"/>
  </r>
  <r>
    <s v="CAMP2857"/>
    <x v="1"/>
    <x v="2"/>
    <d v="2024-08-11T00:00:00"/>
    <n v="142346"/>
    <n v="4834"/>
    <n v="109"/>
    <n v="2636.28"/>
    <n v="6408.12"/>
    <n v="3.39595071164627E-2"/>
    <n v="2.2548613984278029E-2"/>
    <n v="24.186055045871562"/>
    <n v="2.4307433201329145"/>
    <n v="2024"/>
    <x v="1"/>
    <n v="8"/>
  </r>
  <r>
    <s v="CAMP2858"/>
    <x v="6"/>
    <x v="1"/>
    <d v="2024-04-15T00:00:00"/>
    <n v="102769"/>
    <n v="2067"/>
    <n v="62"/>
    <n v="4217.3100000000004"/>
    <n v="5476.33"/>
    <n v="2.0113069116173166E-2"/>
    <n v="2.9995162070633768E-2"/>
    <n v="68.021129032258074"/>
    <n v="1.2985362707507866"/>
    <n v="2024"/>
    <x v="7"/>
    <n v="4"/>
  </r>
  <r>
    <s v="CAMP2859"/>
    <x v="2"/>
    <x v="2"/>
    <d v="2024-04-16T00:00:00"/>
    <n v="62128"/>
    <n v="1987"/>
    <n v="144"/>
    <n v="1394.08"/>
    <n v="7065.77"/>
    <n v="3.1982359000772599E-2"/>
    <n v="7.247106190236538E-2"/>
    <n v="9.681111111111111"/>
    <n v="5.0684107081372671"/>
    <n v="2024"/>
    <x v="7"/>
    <n v="4"/>
  </r>
  <r>
    <s v="CAMP2860"/>
    <x v="1"/>
    <x v="2"/>
    <d v="2024-11-03T00:00:00"/>
    <n v="128132"/>
    <n v="9897"/>
    <n v="1081"/>
    <n v="2903.88"/>
    <n v="91396.09"/>
    <n v="7.7240658071363905E-2"/>
    <n v="0.10922501768212589"/>
    <n v="2.6862904717853842"/>
    <n v="31.473783351929139"/>
    <n v="2024"/>
    <x v="5"/>
    <n v="11"/>
  </r>
  <r>
    <s v="CAMP2861"/>
    <x v="0"/>
    <x v="2"/>
    <d v="2024-12-31T00:00:00"/>
    <n v="10735"/>
    <n v="399"/>
    <n v="25"/>
    <n v="2028.66"/>
    <n v="1727.39"/>
    <n v="3.7168141592920353E-2"/>
    <n v="6.2656641604010022E-2"/>
    <n v="81.1464"/>
    <n v="0.85149310382222754"/>
    <n v="2024"/>
    <x v="4"/>
    <n v="12"/>
  </r>
  <r>
    <s v="CAMP2862"/>
    <x v="6"/>
    <x v="2"/>
    <d v="2024-02-15T00:00:00"/>
    <n v="119651"/>
    <n v="3331"/>
    <n v="165"/>
    <n v="1959.65"/>
    <n v="19752.13"/>
    <n v="2.7839299295450936E-2"/>
    <n v="4.9534674271990396E-2"/>
    <n v="11.876666666666667"/>
    <n v="10.079417242875003"/>
    <n v="2024"/>
    <x v="9"/>
    <n v="2"/>
  </r>
  <r>
    <s v="CAMP2863"/>
    <x v="6"/>
    <x v="4"/>
    <d v="2024-03-27T00:00:00"/>
    <n v="62445"/>
    <n v="4355"/>
    <n v="452"/>
    <n v="3075.71"/>
    <n v="45658.43"/>
    <n v="6.9741372407718799E-2"/>
    <n v="0.10378874856486797"/>
    <n v="6.80466814159292"/>
    <n v="14.844842329088243"/>
    <n v="2024"/>
    <x v="6"/>
    <n v="3"/>
  </r>
  <r>
    <s v="CAMP2864"/>
    <x v="4"/>
    <x v="2"/>
    <d v="2024-07-05T00:00:00"/>
    <n v="17577"/>
    <n v="1111"/>
    <n v="35"/>
    <n v="4596.08"/>
    <n v="1023.32"/>
    <n v="6.3207600842009451E-2"/>
    <n v="3.1503150315031501E-2"/>
    <n v="131.31657142857142"/>
    <n v="0.22265060660388855"/>
    <n v="2024"/>
    <x v="10"/>
    <n v="7"/>
  </r>
  <r>
    <s v="CAMP2865"/>
    <x v="4"/>
    <x v="3"/>
    <d v="2024-02-10T00:00:00"/>
    <n v="142692"/>
    <n v="10736"/>
    <n v="847"/>
    <n v="1607.13"/>
    <n v="89654.97"/>
    <n v="7.523897625655257E-2"/>
    <n v="7.8893442622950824E-2"/>
    <n v="1.8974380165289257"/>
    <n v="55.785760952754288"/>
    <n v="2024"/>
    <x v="9"/>
    <n v="2"/>
  </r>
  <r>
    <s v="CAMP2866"/>
    <x v="5"/>
    <x v="4"/>
    <d v="2024-04-27T00:00:00"/>
    <n v="112338"/>
    <n v="3573"/>
    <n v="313"/>
    <n v="1312.72"/>
    <n v="9148.08"/>
    <n v="3.1805800352507609E-2"/>
    <n v="8.7601455359641756E-2"/>
    <n v="4.1939936102236421"/>
    <n v="6.9687976110670968"/>
    <n v="2024"/>
    <x v="7"/>
    <n v="4"/>
  </r>
  <r>
    <s v="CAMP2867"/>
    <x v="4"/>
    <x v="1"/>
    <d v="2024-12-01T00:00:00"/>
    <n v="51122"/>
    <n v="1542"/>
    <n v="125"/>
    <n v="2231.67"/>
    <n v="4599.08"/>
    <n v="3.0163139157309966E-2"/>
    <n v="8.1063553826199744E-2"/>
    <n v="17.853360000000002"/>
    <n v="2.0608244050419642"/>
    <n v="2024"/>
    <x v="4"/>
    <n v="12"/>
  </r>
  <r>
    <s v="CAMP2868"/>
    <x v="4"/>
    <x v="4"/>
    <d v="2024-11-04T00:00:00"/>
    <n v="25197"/>
    <n v="370"/>
    <n v="12"/>
    <n v="4122.99"/>
    <n v="454.48"/>
    <n v="1.4684287812041116E-2"/>
    <n v="3.2432432432432434E-2"/>
    <n v="343.58249999999998"/>
    <n v="0.11023068210206671"/>
    <n v="2024"/>
    <x v="5"/>
    <n v="11"/>
  </r>
  <r>
    <s v="CAMP2869"/>
    <x v="0"/>
    <x v="2"/>
    <d v="2024-10-10T00:00:00"/>
    <n v="101712"/>
    <n v="6166"/>
    <n v="245"/>
    <n v="4674.32"/>
    <n v="10918.34"/>
    <n v="6.0622148812332861E-2"/>
    <n v="3.9734025300032436E-2"/>
    <n v="19.078857142857142"/>
    <n v="2.3358135514898426"/>
    <n v="2024"/>
    <x v="3"/>
    <n v="10"/>
  </r>
  <r>
    <s v="CAMP2870"/>
    <x v="4"/>
    <x v="3"/>
    <d v="2024-03-28T00:00:00"/>
    <n v="76391"/>
    <n v="3508"/>
    <n v="79"/>
    <n v="2621.65"/>
    <n v="2029.12"/>
    <n v="4.592163998376772E-2"/>
    <n v="2.2519954389965794E-2"/>
    <n v="33.185443037974686"/>
    <n v="0.77398584860679331"/>
    <n v="2024"/>
    <x v="6"/>
    <n v="3"/>
  </r>
  <r>
    <s v="CAMP2871"/>
    <x v="2"/>
    <x v="4"/>
    <d v="2024-01-25T00:00:00"/>
    <n v="127963"/>
    <n v="2676"/>
    <n v="99"/>
    <n v="4336.1000000000004"/>
    <n v="10239.370000000001"/>
    <n v="2.0912294960261951E-2"/>
    <n v="3.6995515695067267E-2"/>
    <n v="43.798989898989902"/>
    <n v="2.3614238601508268"/>
    <n v="2024"/>
    <x v="0"/>
    <n v="1"/>
  </r>
  <r>
    <s v="CAMP2872"/>
    <x v="5"/>
    <x v="2"/>
    <d v="2024-05-05T00:00:00"/>
    <n v="124260"/>
    <n v="2766"/>
    <n v="94"/>
    <n v="1391.43"/>
    <n v="7897.28"/>
    <n v="2.2259777885079671E-2"/>
    <n v="3.3984092552422268E-2"/>
    <n v="14.80244680851064"/>
    <n v="5.6756574171895098"/>
    <n v="2024"/>
    <x v="8"/>
    <n v="5"/>
  </r>
  <r>
    <s v="CAMP2873"/>
    <x v="4"/>
    <x v="0"/>
    <d v="2024-07-12T00:00:00"/>
    <n v="40626"/>
    <n v="407"/>
    <n v="32"/>
    <n v="4034.42"/>
    <n v="2808.08"/>
    <n v="1.0018214936247723E-2"/>
    <n v="7.8624078624078622E-2"/>
    <n v="126.075625"/>
    <n v="0.69603065620337001"/>
    <n v="2024"/>
    <x v="10"/>
    <n v="7"/>
  </r>
  <r>
    <s v="CAMP2874"/>
    <x v="3"/>
    <x v="1"/>
    <d v="2024-10-04T00:00:00"/>
    <n v="110879"/>
    <n v="8007"/>
    <n v="645"/>
    <n v="3307.3"/>
    <n v="46417.82"/>
    <n v="7.2213854742557204E-2"/>
    <n v="8.0554514799550392E-2"/>
    <n v="5.1275968992248062"/>
    <n v="14.03495903002449"/>
    <n v="2024"/>
    <x v="3"/>
    <n v="10"/>
  </r>
  <r>
    <s v="CAMP2875"/>
    <x v="3"/>
    <x v="3"/>
    <d v="2024-09-25T00:00:00"/>
    <n v="111870"/>
    <n v="2425"/>
    <n v="318"/>
    <n v="805.95"/>
    <n v="7518.05"/>
    <n v="2.1676946455707519E-2"/>
    <n v="0.1311340206185567"/>
    <n v="2.534433962264151"/>
    <n v="9.3281841305291895"/>
    <n v="2024"/>
    <x v="11"/>
    <n v="9"/>
  </r>
  <r>
    <s v="CAMP2876"/>
    <x v="0"/>
    <x v="1"/>
    <d v="2024-07-07T00:00:00"/>
    <n v="83234"/>
    <n v="1505"/>
    <n v="206"/>
    <n v="2036.35"/>
    <n v="10290.07"/>
    <n v="1.8081553211428021E-2"/>
    <n v="0.13687707641196012"/>
    <n v="9.8851941747572809"/>
    <n v="5.0531932133474111"/>
    <n v="2024"/>
    <x v="10"/>
    <n v="7"/>
  </r>
  <r>
    <s v="CAMP2877"/>
    <x v="4"/>
    <x v="3"/>
    <d v="2024-09-06T00:00:00"/>
    <n v="57088"/>
    <n v="3569"/>
    <n v="171"/>
    <n v="3920.35"/>
    <n v="16250.94"/>
    <n v="6.2517516816143495E-2"/>
    <n v="4.7912580554777248E-2"/>
    <n v="22.926023391812866"/>
    <n v="4.1452778450903622"/>
    <n v="2024"/>
    <x v="11"/>
    <n v="9"/>
  </r>
  <r>
    <s v="CAMP2878"/>
    <x v="6"/>
    <x v="1"/>
    <d v="2025-02-08T00:00:00"/>
    <n v="41659"/>
    <n v="2309"/>
    <n v="136"/>
    <n v="1373.56"/>
    <n v="2942.74"/>
    <n v="5.5426198420509373E-2"/>
    <n v="5.8899956691208316E-2"/>
    <n v="10.099705882352941"/>
    <n v="2.1424182416494366"/>
    <n v="2025"/>
    <x v="9"/>
    <n v="2"/>
  </r>
  <r>
    <s v="CAMP2879"/>
    <x v="1"/>
    <x v="2"/>
    <d v="2024-05-09T00:00:00"/>
    <n v="132605"/>
    <n v="5031"/>
    <n v="566"/>
    <n v="1983.52"/>
    <n v="22905.59"/>
    <n v="3.7939745861769916E-2"/>
    <n v="0.11250248459550785"/>
    <n v="3.504452296819788"/>
    <n v="11.547950108897314"/>
    <n v="2024"/>
    <x v="8"/>
    <n v="5"/>
  </r>
  <r>
    <s v="CAMP2880"/>
    <x v="2"/>
    <x v="2"/>
    <d v="2024-01-27T00:00:00"/>
    <n v="69321"/>
    <n v="5292"/>
    <n v="722"/>
    <n v="4629.18"/>
    <n v="35769.19"/>
    <n v="7.6340502877915786E-2"/>
    <n v="0.136432350718065"/>
    <n v="6.411606648199446"/>
    <n v="7.7268954760886377"/>
    <n v="2024"/>
    <x v="0"/>
    <n v="1"/>
  </r>
  <r>
    <s v="CAMP2881"/>
    <x v="4"/>
    <x v="3"/>
    <d v="2024-08-26T00:00:00"/>
    <n v="106333"/>
    <n v="7665"/>
    <n v="1022"/>
    <n v="574.99"/>
    <n v="50481.8"/>
    <n v="7.2084865469797713E-2"/>
    <n v="0.13333333333333333"/>
    <n v="0.56261252446183951"/>
    <n v="87.795961668898599"/>
    <n v="2024"/>
    <x v="1"/>
    <n v="8"/>
  </r>
  <r>
    <s v="CAMP2882"/>
    <x v="6"/>
    <x v="0"/>
    <d v="2024-09-02T00:00:00"/>
    <n v="22761"/>
    <n v="789"/>
    <n v="35"/>
    <n v="4625.53"/>
    <n v="1280.81"/>
    <n v="3.4664557796230393E-2"/>
    <n v="4.4359949302915085E-2"/>
    <n v="132.15799999999999"/>
    <n v="0.27690016063024131"/>
    <n v="2024"/>
    <x v="11"/>
    <n v="9"/>
  </r>
  <r>
    <s v="CAMP2883"/>
    <x v="0"/>
    <x v="4"/>
    <d v="2025-01-16T00:00:00"/>
    <n v="75676"/>
    <n v="1074"/>
    <n v="92"/>
    <n v="3227.24"/>
    <n v="5255.65"/>
    <n v="1.419208203393414E-2"/>
    <n v="8.5661080074487903E-2"/>
    <n v="35.078695652173913"/>
    <n v="1.6285277822535664"/>
    <n v="2025"/>
    <x v="0"/>
    <n v="1"/>
  </r>
  <r>
    <s v="CAMP2884"/>
    <x v="6"/>
    <x v="2"/>
    <d v="2024-06-20T00:00:00"/>
    <n v="125662"/>
    <n v="4308"/>
    <n v="269"/>
    <n v="1966.24"/>
    <n v="26932.92"/>
    <n v="3.4282440196718181E-2"/>
    <n v="6.2441968430826368E-2"/>
    <n v="7.3094423791821566"/>
    <n v="13.697676784115876"/>
    <n v="2024"/>
    <x v="2"/>
    <n v="6"/>
  </r>
  <r>
    <s v="CAMP2885"/>
    <x v="0"/>
    <x v="2"/>
    <d v="2025-01-23T00:00:00"/>
    <n v="132799"/>
    <n v="5356"/>
    <n v="464"/>
    <n v="3398.34"/>
    <n v="34706.720000000001"/>
    <n v="4.0331629003230444E-2"/>
    <n v="8.6631814787154593E-2"/>
    <n v="7.3240086206896553"/>
    <n v="10.212845094958126"/>
    <n v="2025"/>
    <x v="0"/>
    <n v="1"/>
  </r>
  <r>
    <s v="CAMP2886"/>
    <x v="0"/>
    <x v="4"/>
    <d v="2025-02-26T00:00:00"/>
    <n v="104070"/>
    <n v="3445"/>
    <n v="388"/>
    <n v="3710.96"/>
    <n v="32405.94"/>
    <n v="3.3102719323532238E-2"/>
    <n v="0.11262699564586356"/>
    <n v="9.5643298969072159"/>
    <n v="8.7324950956086838"/>
    <n v="2025"/>
    <x v="9"/>
    <n v="2"/>
  </r>
  <r>
    <s v="CAMP2887"/>
    <x v="2"/>
    <x v="4"/>
    <d v="2025-01-25T00:00:00"/>
    <n v="56467"/>
    <n v="933"/>
    <n v="65"/>
    <n v="2093.12"/>
    <n v="1572.3"/>
    <n v="1.6522924894185984E-2"/>
    <n v="6.966773847802786E-2"/>
    <n v="32.201846153846155"/>
    <n v="0.75117527900932579"/>
    <n v="2025"/>
    <x v="0"/>
    <n v="1"/>
  </r>
  <r>
    <s v="CAMP2888"/>
    <x v="5"/>
    <x v="0"/>
    <d v="2024-03-09T00:00:00"/>
    <n v="55985"/>
    <n v="2199"/>
    <n v="99"/>
    <n v="4037.46"/>
    <n v="10723.35"/>
    <n v="3.9278378137000983E-2"/>
    <n v="4.5020463847203276E-2"/>
    <n v="40.782424242424241"/>
    <n v="2.6559643934552915"/>
    <n v="2024"/>
    <x v="6"/>
    <n v="3"/>
  </r>
  <r>
    <s v="CAMP2889"/>
    <x v="3"/>
    <x v="1"/>
    <d v="2024-10-17T00:00:00"/>
    <n v="71885"/>
    <n v="5702"/>
    <n v="270"/>
    <n v="4956.93"/>
    <n v="9811.57"/>
    <n v="7.9321137928636015E-2"/>
    <n v="4.7351806383725006E-2"/>
    <n v="18.359000000000002"/>
    <n v="1.9793642435943213"/>
    <n v="2024"/>
    <x v="3"/>
    <n v="10"/>
  </r>
  <r>
    <s v="CAMP2890"/>
    <x v="4"/>
    <x v="3"/>
    <d v="2025-01-07T00:00:00"/>
    <n v="131527"/>
    <n v="8561"/>
    <n v="415"/>
    <n v="4592.6400000000003"/>
    <n v="15172.56"/>
    <n v="6.5089297254556103E-2"/>
    <n v="4.8475645368531717E-2"/>
    <n v="11.066602409638556"/>
    <n v="3.3036684782608692"/>
    <n v="2025"/>
    <x v="0"/>
    <n v="1"/>
  </r>
  <r>
    <s v="CAMP2891"/>
    <x v="6"/>
    <x v="0"/>
    <d v="2024-02-10T00:00:00"/>
    <n v="125483"/>
    <n v="8384"/>
    <n v="541"/>
    <n v="3694.03"/>
    <n v="30951.5"/>
    <n v="6.6813831355641798E-2"/>
    <n v="6.4527671755725186E-2"/>
    <n v="6.8281515711645104"/>
    <n v="8.3787895604529474"/>
    <n v="2024"/>
    <x v="9"/>
    <n v="2"/>
  </r>
  <r>
    <s v="CAMP2892"/>
    <x v="6"/>
    <x v="3"/>
    <d v="2024-10-22T00:00:00"/>
    <n v="148635"/>
    <n v="10737"/>
    <n v="1351"/>
    <n v="1786.88"/>
    <n v="116853.6"/>
    <n v="7.2237359975779597E-2"/>
    <n v="0.12582658098165223"/>
    <n v="1.3226350851221318"/>
    <n v="65.395325931232094"/>
    <n v="2024"/>
    <x v="3"/>
    <n v="10"/>
  </r>
  <r>
    <s v="CAMP2893"/>
    <x v="2"/>
    <x v="1"/>
    <d v="2024-09-23T00:00:00"/>
    <n v="78128"/>
    <n v="5190"/>
    <n v="628"/>
    <n v="1377.42"/>
    <n v="63737.72"/>
    <n v="6.6429449109154215E-2"/>
    <n v="0.1210019267822736"/>
    <n v="2.1933439490445861"/>
    <n v="46.273264509009593"/>
    <n v="2024"/>
    <x v="11"/>
    <n v="9"/>
  </r>
  <r>
    <s v="CAMP2894"/>
    <x v="3"/>
    <x v="2"/>
    <d v="2024-05-19T00:00:00"/>
    <n v="91023"/>
    <n v="6899"/>
    <n v="407"/>
    <n v="4869.25"/>
    <n v="48486.44"/>
    <n v="7.5794030080309369E-2"/>
    <n v="5.899405710972605E-2"/>
    <n v="11.963759213759214"/>
    <n v="9.9576813677671101"/>
    <n v="2024"/>
    <x v="8"/>
    <n v="5"/>
  </r>
  <r>
    <s v="CAMP2895"/>
    <x v="4"/>
    <x v="1"/>
    <d v="2024-06-02T00:00:00"/>
    <n v="72539"/>
    <n v="1266"/>
    <n v="49"/>
    <n v="1273.4000000000001"/>
    <n v="4819.03"/>
    <n v="1.7452680626973076E-2"/>
    <n v="3.8704581358609796E-2"/>
    <n v="25.987755102040818"/>
    <n v="3.7843803989319924"/>
    <n v="2024"/>
    <x v="2"/>
    <n v="6"/>
  </r>
  <r>
    <s v="CAMP2896"/>
    <x v="1"/>
    <x v="2"/>
    <d v="2024-03-19T00:00:00"/>
    <n v="30846"/>
    <n v="1814"/>
    <n v="155"/>
    <n v="2180.6999999999998"/>
    <n v="9297.69"/>
    <n v="5.8808273357971862E-2"/>
    <n v="8.544652701212789E-2"/>
    <n v="14.069032258064516"/>
    <n v="4.2636263585087359"/>
    <n v="2024"/>
    <x v="6"/>
    <n v="3"/>
  </r>
  <r>
    <s v="CAMP2897"/>
    <x v="7"/>
    <x v="3"/>
    <d v="2024-02-11T00:00:00"/>
    <n v="68568"/>
    <n v="1465"/>
    <n v="120"/>
    <n v="4656.37"/>
    <n v="3195.85"/>
    <n v="2.1365651615914128E-2"/>
    <n v="8.191126279863481E-2"/>
    <n v="38.803083333333333"/>
    <n v="0.68633935877088803"/>
    <n v="2024"/>
    <x v="9"/>
    <n v="2"/>
  </r>
  <r>
    <s v="CAMP2898"/>
    <x v="7"/>
    <x v="0"/>
    <d v="2024-08-11T00:00:00"/>
    <n v="111410"/>
    <n v="7470"/>
    <n v="298"/>
    <n v="2471.2399999999998"/>
    <n v="6871.75"/>
    <n v="6.7049636477874514E-2"/>
    <n v="3.9892904953145916E-2"/>
    <n v="8.2927516778523476"/>
    <n v="2.7806890467943219"/>
    <n v="2024"/>
    <x v="1"/>
    <n v="8"/>
  </r>
  <r>
    <s v="CAMP2899"/>
    <x v="7"/>
    <x v="0"/>
    <d v="2024-06-06T00:00:00"/>
    <n v="66782"/>
    <n v="2942"/>
    <n v="440"/>
    <n v="4653.6099999999997"/>
    <n v="26239.17"/>
    <n v="4.4053786948578956E-2"/>
    <n v="0.1495581237253569"/>
    <n v="10.576386363636363"/>
    <n v="5.6384548769664837"/>
    <n v="2024"/>
    <x v="2"/>
    <n v="6"/>
  </r>
  <r>
    <s v="CAMP2900"/>
    <x v="1"/>
    <x v="2"/>
    <d v="2024-08-08T00:00:00"/>
    <n v="66633"/>
    <n v="2002"/>
    <n v="198"/>
    <n v="991.49"/>
    <n v="7112"/>
    <n v="3.0045172812270197E-2"/>
    <n v="9.8901098901098897E-2"/>
    <n v="5.0075252525252525"/>
    <n v="7.1730425924618499"/>
    <n v="2024"/>
    <x v="1"/>
    <n v="8"/>
  </r>
  <r>
    <s v="CAMP2901"/>
    <x v="7"/>
    <x v="1"/>
    <d v="2024-07-11T00:00:00"/>
    <n v="26726"/>
    <n v="455"/>
    <n v="13"/>
    <n v="3739.66"/>
    <n v="455.06"/>
    <n v="1.7024620220010476E-2"/>
    <n v="2.8571428571428571E-2"/>
    <n v="287.66615384615386"/>
    <n v="0.12168485905135762"/>
    <n v="2024"/>
    <x v="10"/>
    <n v="7"/>
  </r>
  <r>
    <s v="CAMP2902"/>
    <x v="3"/>
    <x v="2"/>
    <d v="2024-02-17T00:00:00"/>
    <n v="44816"/>
    <n v="3559"/>
    <n v="72"/>
    <n v="1052.3499999999999"/>
    <n v="2401.08"/>
    <n v="7.9413602284898244E-2"/>
    <n v="2.0230401798257937E-2"/>
    <n v="14.61597222222222"/>
    <n v="2.2816363377203404"/>
    <n v="2024"/>
    <x v="9"/>
    <n v="2"/>
  </r>
  <r>
    <s v="CAMP2903"/>
    <x v="7"/>
    <x v="3"/>
    <d v="2024-12-07T00:00:00"/>
    <n v="27942"/>
    <n v="358"/>
    <n v="48"/>
    <n v="1784.68"/>
    <n v="1146.92"/>
    <n v="1.2812253954620285E-2"/>
    <n v="0.13407821229050279"/>
    <n v="37.180833333333332"/>
    <n v="0.64264742138646702"/>
    <n v="2024"/>
    <x v="4"/>
    <n v="12"/>
  </r>
  <r>
    <s v="CAMP2904"/>
    <x v="0"/>
    <x v="0"/>
    <d v="2024-11-10T00:00:00"/>
    <n v="5055"/>
    <n v="341"/>
    <n v="15"/>
    <n v="1015.69"/>
    <n v="886.3"/>
    <n v="6.7457962413452033E-2"/>
    <n v="4.398826979472141E-2"/>
    <n v="67.712666666666664"/>
    <n v="0.87260876842343615"/>
    <n v="2024"/>
    <x v="5"/>
    <n v="11"/>
  </r>
  <r>
    <s v="CAMP2905"/>
    <x v="6"/>
    <x v="0"/>
    <d v="2024-05-16T00:00:00"/>
    <n v="81396"/>
    <n v="4320"/>
    <n v="381"/>
    <n v="4192.6499999999996"/>
    <n v="18457.349999999999"/>
    <n v="5.307386112339673E-2"/>
    <n v="8.819444444444445E-2"/>
    <n v="11.004330708661417"/>
    <n v="4.4023111874351546"/>
    <n v="2024"/>
    <x v="8"/>
    <n v="5"/>
  </r>
  <r>
    <s v="CAMP2906"/>
    <x v="0"/>
    <x v="2"/>
    <d v="2024-11-06T00:00:00"/>
    <n v="73152"/>
    <n v="1537"/>
    <n v="185"/>
    <n v="2671.48"/>
    <n v="12883.69"/>
    <n v="2.1011045494313211E-2"/>
    <n v="0.12036434612882238"/>
    <n v="14.440432432432432"/>
    <n v="4.8226788147393957"/>
    <n v="2024"/>
    <x v="5"/>
    <n v="11"/>
  </r>
  <r>
    <s v="CAMP2907"/>
    <x v="1"/>
    <x v="3"/>
    <d v="2024-01-17T00:00:00"/>
    <n v="108125"/>
    <n v="7531"/>
    <n v="801"/>
    <n v="3535.56"/>
    <n v="80922.69"/>
    <n v="6.9650867052023127E-2"/>
    <n v="0.10636037710795379"/>
    <n v="4.4139325842696628"/>
    <n v="22.888224213420223"/>
    <n v="2024"/>
    <x v="0"/>
    <n v="1"/>
  </r>
  <r>
    <s v="CAMP2908"/>
    <x v="7"/>
    <x v="1"/>
    <d v="2024-06-05T00:00:00"/>
    <n v="81979"/>
    <n v="4569"/>
    <n v="575"/>
    <n v="2206.25"/>
    <n v="65003.58"/>
    <n v="5.5733785481647737E-2"/>
    <n v="0.12584810680674108"/>
    <n v="3.8369565217391304"/>
    <n v="29.463379036827195"/>
    <n v="2024"/>
    <x v="2"/>
    <n v="6"/>
  </r>
  <r>
    <s v="CAMP2909"/>
    <x v="5"/>
    <x v="3"/>
    <d v="2024-04-17T00:00:00"/>
    <n v="68093"/>
    <n v="2879"/>
    <n v="320"/>
    <n v="376.63"/>
    <n v="8279.94"/>
    <n v="4.2280410614894334E-2"/>
    <n v="0.11114970475859673"/>
    <n v="1.1769687499999999"/>
    <n v="21.9842816557364"/>
    <n v="2024"/>
    <x v="7"/>
    <n v="4"/>
  </r>
  <r>
    <s v="CAMP2910"/>
    <x v="0"/>
    <x v="4"/>
    <d v="2024-02-25T00:00:00"/>
    <n v="122681"/>
    <n v="2309"/>
    <n v="263"/>
    <n v="1555.88"/>
    <n v="14010.75"/>
    <n v="1.8821170352377303E-2"/>
    <n v="0.11390212213079255"/>
    <n v="5.9158935361216738"/>
    <n v="9.005032521788312"/>
    <n v="2024"/>
    <x v="9"/>
    <n v="2"/>
  </r>
  <r>
    <s v="CAMP2911"/>
    <x v="7"/>
    <x v="1"/>
    <d v="2024-05-02T00:00:00"/>
    <n v="131247"/>
    <n v="5312"/>
    <n v="190"/>
    <n v="3292.69"/>
    <n v="21709"/>
    <n v="4.0473306056519387E-2"/>
    <n v="3.5768072289156627E-2"/>
    <n v="17.329947368421053"/>
    <n v="6.5930895407706158"/>
    <n v="2024"/>
    <x v="8"/>
    <n v="5"/>
  </r>
  <r>
    <s v="CAMP2912"/>
    <x v="5"/>
    <x v="4"/>
    <d v="2024-08-30T00:00:00"/>
    <n v="13869"/>
    <n v="492"/>
    <n v="34"/>
    <n v="1856.41"/>
    <n v="846.3"/>
    <n v="3.5474799913476095E-2"/>
    <n v="6.910569105691057E-2"/>
    <n v="54.60029411764706"/>
    <n v="0.45587989722098021"/>
    <n v="2024"/>
    <x v="1"/>
    <n v="8"/>
  </r>
  <r>
    <s v="CAMP2913"/>
    <x v="5"/>
    <x v="2"/>
    <d v="2024-04-05T00:00:00"/>
    <n v="135447"/>
    <n v="5749"/>
    <n v="837"/>
    <n v="3961.88"/>
    <n v="88937.48"/>
    <n v="4.2444646245394881E-2"/>
    <n v="0.14559053748477996"/>
    <n v="4.7334289127837517"/>
    <n v="22.448302321120273"/>
    <n v="2024"/>
    <x v="7"/>
    <n v="4"/>
  </r>
  <r>
    <s v="CAMP2914"/>
    <x v="6"/>
    <x v="4"/>
    <d v="2025-02-21T00:00:00"/>
    <n v="90697"/>
    <n v="5638"/>
    <n v="631"/>
    <n v="3360.34"/>
    <n v="73073.91"/>
    <n v="6.2163026340452274E-2"/>
    <n v="0.11191912025540972"/>
    <n v="5.3254199683042795"/>
    <n v="21.745987013218901"/>
    <n v="2025"/>
    <x v="9"/>
    <n v="2"/>
  </r>
  <r>
    <s v="CAMP2915"/>
    <x v="2"/>
    <x v="0"/>
    <d v="2025-02-05T00:00:00"/>
    <n v="48038"/>
    <n v="3689"/>
    <n v="273"/>
    <n v="2537.09"/>
    <n v="32442.47"/>
    <n v="7.6793371913901495E-2"/>
    <n v="7.4003795066413663E-2"/>
    <n v="9.2933699633699636"/>
    <n v="12.787275973654856"/>
    <n v="2025"/>
    <x v="9"/>
    <n v="2"/>
  </r>
  <r>
    <s v="CAMP2916"/>
    <x v="2"/>
    <x v="0"/>
    <d v="2024-03-12T00:00:00"/>
    <n v="67920"/>
    <n v="3117"/>
    <n v="263"/>
    <n v="1533.74"/>
    <n v="10579.32"/>
    <n v="4.5892226148409897E-2"/>
    <n v="8.4376002566570421E-2"/>
    <n v="5.8317110266159693"/>
    <n v="6.897727124545229"/>
    <n v="2024"/>
    <x v="6"/>
    <n v="3"/>
  </r>
  <r>
    <s v="CAMP2917"/>
    <x v="2"/>
    <x v="2"/>
    <d v="2024-01-20T00:00:00"/>
    <n v="7418"/>
    <n v="402"/>
    <n v="45"/>
    <n v="4041"/>
    <n v="2578.61"/>
    <n v="5.4192504718252897E-2"/>
    <n v="0.11194029850746269"/>
    <n v="89.8"/>
    <n v="0.63811185350160859"/>
    <n v="2024"/>
    <x v="0"/>
    <n v="1"/>
  </r>
  <r>
    <s v="CAMP2918"/>
    <x v="4"/>
    <x v="0"/>
    <d v="2024-09-04T00:00:00"/>
    <n v="136354"/>
    <n v="3288"/>
    <n v="128"/>
    <n v="3465.71"/>
    <n v="13539.51"/>
    <n v="2.4113704035085146E-2"/>
    <n v="3.8929440389294405E-2"/>
    <n v="27.075859375"/>
    <n v="3.9067059852093799"/>
    <n v="2024"/>
    <x v="11"/>
    <n v="9"/>
  </r>
  <r>
    <s v="CAMP2919"/>
    <x v="5"/>
    <x v="1"/>
    <d v="2024-07-19T00:00:00"/>
    <n v="143604"/>
    <n v="11424"/>
    <n v="1138"/>
    <n v="3138.68"/>
    <n v="72255.91"/>
    <n v="7.9552101612768447E-2"/>
    <n v="9.9614845938375357E-2"/>
    <n v="2.7580667838312829"/>
    <n v="23.021113971478457"/>
    <n v="2024"/>
    <x v="10"/>
    <n v="7"/>
  </r>
  <r>
    <s v="CAMP2920"/>
    <x v="4"/>
    <x v="2"/>
    <d v="2025-01-03T00:00:00"/>
    <n v="148425"/>
    <n v="4499"/>
    <n v="672"/>
    <n v="2390.89"/>
    <n v="32557.439999999999"/>
    <n v="3.0311605187805291E-2"/>
    <n v="0.14936652589464325"/>
    <n v="3.5578720238095238"/>
    <n v="13.617288959341501"/>
    <n v="2025"/>
    <x v="0"/>
    <n v="1"/>
  </r>
  <r>
    <s v="CAMP2921"/>
    <x v="4"/>
    <x v="2"/>
    <d v="2024-10-28T00:00:00"/>
    <n v="21462"/>
    <n v="927"/>
    <n v="124"/>
    <n v="4659.43"/>
    <n v="13814.9"/>
    <n v="4.319261951355885E-2"/>
    <n v="0.13376483279395901"/>
    <n v="37.576048387096776"/>
    <n v="2.9649334789877728"/>
    <n v="2024"/>
    <x v="3"/>
    <n v="10"/>
  </r>
  <r>
    <s v="CAMP2922"/>
    <x v="1"/>
    <x v="3"/>
    <d v="2024-10-29T00:00:00"/>
    <n v="63431"/>
    <n v="2629"/>
    <n v="155"/>
    <n v="3329.86"/>
    <n v="3700.01"/>
    <n v="4.1446611278397001E-2"/>
    <n v="5.8957778623050593E-2"/>
    <n v="21.482967741935486"/>
    <n v="1.1111608295844271"/>
    <n v="2024"/>
    <x v="3"/>
    <n v="10"/>
  </r>
  <r>
    <s v="CAMP2923"/>
    <x v="1"/>
    <x v="1"/>
    <d v="2024-05-10T00:00:00"/>
    <n v="108497"/>
    <n v="3100"/>
    <n v="275"/>
    <n v="394.61"/>
    <n v="31680.240000000002"/>
    <n v="2.8572218586689034E-2"/>
    <n v="8.8709677419354843E-2"/>
    <n v="1.4349454545454545"/>
    <n v="80.282405412939355"/>
    <n v="2024"/>
    <x v="8"/>
    <n v="5"/>
  </r>
  <r>
    <s v="CAMP2924"/>
    <x v="6"/>
    <x v="4"/>
    <d v="2024-07-22T00:00:00"/>
    <n v="5589"/>
    <n v="224"/>
    <n v="32"/>
    <n v="4051.48"/>
    <n v="1515.63"/>
    <n v="4.0078726069064236E-2"/>
    <n v="0.14285714285714285"/>
    <n v="126.60875"/>
    <n v="0.37409292406725447"/>
    <n v="2024"/>
    <x v="10"/>
    <n v="7"/>
  </r>
  <r>
    <s v="CAMP2925"/>
    <x v="3"/>
    <x v="0"/>
    <d v="2024-09-13T00:00:00"/>
    <n v="85269"/>
    <n v="5442"/>
    <n v="578"/>
    <n v="2583.85"/>
    <n v="45094.19"/>
    <n v="6.3821552967667033E-2"/>
    <n v="0.10621095185593532"/>
    <n v="4.4703287197231836"/>
    <n v="17.452325018867196"/>
    <n v="2024"/>
    <x v="11"/>
    <n v="9"/>
  </r>
  <r>
    <s v="CAMP2926"/>
    <x v="5"/>
    <x v="0"/>
    <d v="2024-04-30T00:00:00"/>
    <n v="106980"/>
    <n v="5269"/>
    <n v="330"/>
    <n v="2816.3"/>
    <n v="13208.48"/>
    <n v="4.9252196672275192E-2"/>
    <n v="6.2630480167014613E-2"/>
    <n v="8.5342424242424251"/>
    <n v="4.6900117175016858"/>
    <n v="2024"/>
    <x v="7"/>
    <n v="4"/>
  </r>
  <r>
    <s v="CAMP2927"/>
    <x v="3"/>
    <x v="0"/>
    <d v="2024-06-17T00:00:00"/>
    <n v="69381"/>
    <n v="5291"/>
    <n v="120"/>
    <n v="823.41"/>
    <n v="11392.92"/>
    <n v="7.6260071201049273E-2"/>
    <n v="2.2680022680022682E-2"/>
    <n v="6.8617499999999998"/>
    <n v="13.836266258607498"/>
    <n v="2024"/>
    <x v="2"/>
    <n v="6"/>
  </r>
  <r>
    <s v="CAMP2928"/>
    <x v="5"/>
    <x v="4"/>
    <d v="2024-12-02T00:00:00"/>
    <n v="81629"/>
    <n v="4655"/>
    <n v="344"/>
    <n v="4548.58"/>
    <n v="13900.81"/>
    <n v="5.7026301927011233E-2"/>
    <n v="7.3899033297529532E-2"/>
    <n v="13.222616279069767"/>
    <n v="3.0560768415637405"/>
    <n v="2024"/>
    <x v="4"/>
    <n v="12"/>
  </r>
  <r>
    <s v="CAMP2929"/>
    <x v="2"/>
    <x v="3"/>
    <d v="2024-02-19T00:00:00"/>
    <n v="80701"/>
    <n v="2555"/>
    <n v="231"/>
    <n v="2833.67"/>
    <n v="6204.42"/>
    <n v="3.1660078561603945E-2"/>
    <n v="9.0410958904109592E-2"/>
    <n v="12.266969696969698"/>
    <n v="2.1895351258262252"/>
    <n v="2024"/>
    <x v="9"/>
    <n v="2"/>
  </r>
  <r>
    <s v="CAMP2930"/>
    <x v="2"/>
    <x v="0"/>
    <d v="2024-01-02T00:00:00"/>
    <n v="67796"/>
    <n v="991"/>
    <n v="119"/>
    <n v="3840.55"/>
    <n v="5593.61"/>
    <n v="1.4617381556434009E-2"/>
    <n v="0.12008072653884964"/>
    <n v="32.273529411764706"/>
    <n v="1.4564606631862622"/>
    <n v="2024"/>
    <x v="0"/>
    <n v="1"/>
  </r>
  <r>
    <s v="CAMP2931"/>
    <x v="2"/>
    <x v="0"/>
    <d v="2025-01-26T00:00:00"/>
    <n v="123303"/>
    <n v="4146"/>
    <n v="352"/>
    <n v="4208.92"/>
    <n v="25857.63"/>
    <n v="3.3624486022237901E-2"/>
    <n v="8.4901109503135549E-2"/>
    <n v="11.957159090909091"/>
    <n v="6.1435308820314951"/>
    <n v="2025"/>
    <x v="0"/>
    <n v="1"/>
  </r>
  <r>
    <s v="CAMP2932"/>
    <x v="0"/>
    <x v="2"/>
    <d v="2024-12-08T00:00:00"/>
    <n v="77954"/>
    <n v="5065"/>
    <n v="335"/>
    <n v="641.74"/>
    <n v="12609.35"/>
    <n v="6.4974215563024351E-2"/>
    <n v="6.6140177690029611E-2"/>
    <n v="1.9156417910447761"/>
    <n v="19.64868950042073"/>
    <n v="2024"/>
    <x v="4"/>
    <n v="12"/>
  </r>
  <r>
    <s v="CAMP2933"/>
    <x v="1"/>
    <x v="1"/>
    <d v="2024-05-08T00:00:00"/>
    <n v="9778"/>
    <n v="721"/>
    <n v="72"/>
    <n v="4853.2299999999996"/>
    <n v="6958.68"/>
    <n v="7.3736960523624467E-2"/>
    <n v="9.9861303744798888E-2"/>
    <n v="67.405972222222218"/>
    <n v="1.4338244839004128"/>
    <n v="2024"/>
    <x v="8"/>
    <n v="5"/>
  </r>
  <r>
    <s v="CAMP2934"/>
    <x v="0"/>
    <x v="4"/>
    <d v="2024-03-15T00:00:00"/>
    <n v="94679"/>
    <n v="2009"/>
    <n v="253"/>
    <n v="2767.08"/>
    <n v="17170.87"/>
    <n v="2.1219066530064744E-2"/>
    <n v="0.12593330014932802"/>
    <n v="10.93707509881423"/>
    <n v="6.2054114806944503"/>
    <n v="2024"/>
    <x v="6"/>
    <n v="3"/>
  </r>
  <r>
    <s v="CAMP2935"/>
    <x v="7"/>
    <x v="0"/>
    <d v="2024-06-23T00:00:00"/>
    <n v="107046"/>
    <n v="7010"/>
    <n v="534"/>
    <n v="4074.92"/>
    <n v="52111.040000000001"/>
    <n v="6.5485865889430714E-2"/>
    <n v="7.6176890156918683E-2"/>
    <n v="7.6309363295880148"/>
    <n v="12.788236333474032"/>
    <n v="2024"/>
    <x v="2"/>
    <n v="6"/>
  </r>
  <r>
    <s v="CAMP2936"/>
    <x v="3"/>
    <x v="4"/>
    <d v="2024-03-26T00:00:00"/>
    <n v="54845"/>
    <n v="2932"/>
    <n v="242"/>
    <n v="3014.5"/>
    <n v="21715.98"/>
    <n v="5.345975020512353E-2"/>
    <n v="8.2537517053206E-2"/>
    <n v="12.456611570247935"/>
    <n v="7.2038414330734781"/>
    <n v="2024"/>
    <x v="6"/>
    <n v="3"/>
  </r>
  <r>
    <s v="CAMP2937"/>
    <x v="1"/>
    <x v="2"/>
    <d v="2024-10-12T00:00:00"/>
    <n v="125023"/>
    <n v="4639"/>
    <n v="480"/>
    <n v="1155.74"/>
    <n v="11614.3"/>
    <n v="3.7105172648232723E-2"/>
    <n v="0.10347057555507652"/>
    <n v="2.4077916666666668"/>
    <n v="10.049232526346756"/>
    <n v="2024"/>
    <x v="3"/>
    <n v="10"/>
  </r>
  <r>
    <s v="CAMP2938"/>
    <x v="6"/>
    <x v="4"/>
    <d v="2024-01-02T00:00:00"/>
    <n v="98171"/>
    <n v="1099"/>
    <n v="116"/>
    <n v="1988.18"/>
    <n v="6249.22"/>
    <n v="1.1194752014342321E-2"/>
    <n v="0.10555050045495905"/>
    <n v="17.139482758620691"/>
    <n v="3.1431862306229816"/>
    <n v="2024"/>
    <x v="0"/>
    <n v="1"/>
  </r>
  <r>
    <s v="CAMP2939"/>
    <x v="4"/>
    <x v="3"/>
    <d v="2024-08-25T00:00:00"/>
    <n v="27341"/>
    <n v="530"/>
    <n v="17"/>
    <n v="2698.47"/>
    <n v="1642.41"/>
    <n v="1.9384806700559601E-2"/>
    <n v="3.2075471698113207E-2"/>
    <n v="158.73352941176469"/>
    <n v="0.60864489877597316"/>
    <n v="2024"/>
    <x v="1"/>
    <n v="8"/>
  </r>
  <r>
    <s v="CAMP2940"/>
    <x v="2"/>
    <x v="2"/>
    <d v="2024-09-10T00:00:00"/>
    <n v="149599"/>
    <n v="9097"/>
    <n v="584"/>
    <n v="3199.74"/>
    <n v="13576.84"/>
    <n v="6.0809230008221977E-2"/>
    <n v="6.4196988018027923E-2"/>
    <n v="5.4790068493150681"/>
    <n v="4.243107252464263"/>
    <n v="2024"/>
    <x v="11"/>
    <n v="9"/>
  </r>
  <r>
    <s v="CAMP2941"/>
    <x v="7"/>
    <x v="4"/>
    <d v="2024-06-08T00:00:00"/>
    <n v="145792"/>
    <n v="9848"/>
    <n v="572"/>
    <n v="4321.55"/>
    <n v="14581.02"/>
    <n v="6.754828797190518E-2"/>
    <n v="5.8082859463850528E-2"/>
    <n v="7.5551573426573428"/>
    <n v="3.37402552324976"/>
    <n v="2024"/>
    <x v="2"/>
    <n v="6"/>
  </r>
  <r>
    <s v="CAMP2942"/>
    <x v="5"/>
    <x v="4"/>
    <d v="2024-12-22T00:00:00"/>
    <n v="72706"/>
    <n v="4878"/>
    <n v="731"/>
    <n v="1547.21"/>
    <n v="76735.77"/>
    <n v="6.7092124446400572E-2"/>
    <n v="0.14985649856498565"/>
    <n v="2.1165663474692202"/>
    <n v="49.59622158595149"/>
    <n v="2024"/>
    <x v="4"/>
    <n v="12"/>
  </r>
  <r>
    <s v="CAMP2943"/>
    <x v="0"/>
    <x v="1"/>
    <d v="2024-07-05T00:00:00"/>
    <n v="24690"/>
    <n v="1108"/>
    <n v="128"/>
    <n v="2152.98"/>
    <n v="2894.69"/>
    <n v="4.4876468205751315E-2"/>
    <n v="0.11552346570397112"/>
    <n v="16.82015625"/>
    <n v="1.3445038969242631"/>
    <n v="2024"/>
    <x v="10"/>
    <n v="7"/>
  </r>
  <r>
    <s v="CAMP2944"/>
    <x v="5"/>
    <x v="3"/>
    <d v="2024-04-04T00:00:00"/>
    <n v="29399"/>
    <n v="2083"/>
    <n v="293"/>
    <n v="3093.95"/>
    <n v="30811"/>
    <n v="7.0852750093540598E-2"/>
    <n v="0.14066250600096014"/>
    <n v="10.559556313993173"/>
    <n v="9.9584673314048384"/>
    <n v="2024"/>
    <x v="7"/>
    <n v="4"/>
  </r>
  <r>
    <s v="CAMP2945"/>
    <x v="7"/>
    <x v="0"/>
    <d v="2024-02-18T00:00:00"/>
    <n v="74258"/>
    <n v="4734"/>
    <n v="290"/>
    <n v="793.89"/>
    <n v="22515.93"/>
    <n v="6.3750706994532572E-2"/>
    <n v="6.1258977608787492E-2"/>
    <n v="2.7375517241379308"/>
    <n v="28.361523636775878"/>
    <n v="2024"/>
    <x v="9"/>
    <n v="2"/>
  </r>
  <r>
    <s v="CAMP2946"/>
    <x v="0"/>
    <x v="4"/>
    <d v="2024-01-26T00:00:00"/>
    <n v="77486"/>
    <n v="2464"/>
    <n v="292"/>
    <n v="3823.24"/>
    <n v="32498.82"/>
    <n v="3.1799292775469119E-2"/>
    <n v="0.1185064935064935"/>
    <n v="13.093287671232876"/>
    <n v="8.5003347945721437"/>
    <n v="2024"/>
    <x v="0"/>
    <n v="1"/>
  </r>
  <r>
    <s v="CAMP2947"/>
    <x v="0"/>
    <x v="1"/>
    <d v="2024-10-22T00:00:00"/>
    <n v="148147"/>
    <n v="4563"/>
    <n v="418"/>
    <n v="1628.22"/>
    <n v="45784.62"/>
    <n v="3.0800488703787453E-2"/>
    <n v="9.1606399298706995E-2"/>
    <n v="3.8952631578947368"/>
    <n v="28.119431035118104"/>
    <n v="2024"/>
    <x v="3"/>
    <n v="10"/>
  </r>
  <r>
    <s v="CAMP2948"/>
    <x v="4"/>
    <x v="3"/>
    <d v="2024-08-03T00:00:00"/>
    <n v="29370"/>
    <n v="1646"/>
    <n v="90"/>
    <n v="449.86"/>
    <n v="2418.73"/>
    <n v="5.6043581886278518E-2"/>
    <n v="5.4678007290400975E-2"/>
    <n v="4.9984444444444449"/>
    <n v="5.3766282843551325"/>
    <n v="2024"/>
    <x v="1"/>
    <n v="8"/>
  </r>
  <r>
    <s v="CAMP2949"/>
    <x v="4"/>
    <x v="0"/>
    <d v="2024-09-01T00:00:00"/>
    <n v="16147"/>
    <n v="691"/>
    <n v="46"/>
    <n v="2801.43"/>
    <n v="2135.6999999999998"/>
    <n v="4.2794327119588776E-2"/>
    <n v="6.6570188133140376E-2"/>
    <n v="60.900652173913038"/>
    <n v="0.76236065152440002"/>
    <n v="2024"/>
    <x v="11"/>
    <n v="9"/>
  </r>
  <r>
    <s v="CAMP2950"/>
    <x v="1"/>
    <x v="0"/>
    <d v="2024-06-20T00:00:00"/>
    <n v="49139"/>
    <n v="1128"/>
    <n v="157"/>
    <n v="3563.35"/>
    <n v="4770.82"/>
    <n v="2.2955290095443538E-2"/>
    <n v="0.13918439716312056"/>
    <n v="22.696496815286622"/>
    <n v="1.3388580970154489"/>
    <n v="2024"/>
    <x v="2"/>
    <n v="6"/>
  </r>
  <r>
    <s v="CAMP2951"/>
    <x v="4"/>
    <x v="2"/>
    <d v="2024-04-21T00:00:00"/>
    <n v="38203"/>
    <n v="834"/>
    <n v="120"/>
    <n v="4346.3599999999997"/>
    <n v="8516.2099999999991"/>
    <n v="2.1830746276470435E-2"/>
    <n v="0.14388489208633093"/>
    <n v="36.219666666666662"/>
    <n v="1.9593890059728141"/>
    <n v="2024"/>
    <x v="7"/>
    <n v="4"/>
  </r>
  <r>
    <s v="CAMP2952"/>
    <x v="3"/>
    <x v="0"/>
    <d v="2024-12-14T00:00:00"/>
    <n v="142094"/>
    <n v="10124"/>
    <n v="961"/>
    <n v="3703.29"/>
    <n v="100120.84"/>
    <n v="7.1248610075020757E-2"/>
    <n v="9.4922955353615168E-2"/>
    <n v="3.853579604578564"/>
    <n v="27.035646681734349"/>
    <n v="2024"/>
    <x v="4"/>
    <n v="12"/>
  </r>
  <r>
    <s v="CAMP2953"/>
    <x v="6"/>
    <x v="1"/>
    <d v="2024-05-01T00:00:00"/>
    <n v="20563"/>
    <n v="824"/>
    <n v="82"/>
    <n v="2064.52"/>
    <n v="8405.2099999999991"/>
    <n v="4.0071973933764528E-2"/>
    <n v="9.9514563106796114E-2"/>
    <n v="25.177073170731706"/>
    <n v="4.0712659601263246"/>
    <n v="2024"/>
    <x v="8"/>
    <n v="5"/>
  </r>
  <r>
    <s v="CAMP2954"/>
    <x v="5"/>
    <x v="3"/>
    <d v="2024-03-10T00:00:00"/>
    <n v="111042"/>
    <n v="8679"/>
    <n v="637"/>
    <n v="2975.99"/>
    <n v="29898.25"/>
    <n v="7.81596152807046E-2"/>
    <n v="7.3395552483004958E-2"/>
    <n v="4.6718838304552586"/>
    <n v="10.046488731480954"/>
    <n v="2024"/>
    <x v="6"/>
    <n v="3"/>
  </r>
  <r>
    <s v="CAMP2955"/>
    <x v="0"/>
    <x v="2"/>
    <d v="2024-05-10T00:00:00"/>
    <n v="135463"/>
    <n v="1368"/>
    <n v="47"/>
    <n v="3035.54"/>
    <n v="4449.8900000000003"/>
    <n v="1.0098698537608055E-2"/>
    <n v="3.4356725146198829E-2"/>
    <n v="64.585957446808507"/>
    <n v="1.4659302792913289"/>
    <n v="2024"/>
    <x v="8"/>
    <n v="5"/>
  </r>
  <r>
    <s v="CAMP2956"/>
    <x v="2"/>
    <x v="1"/>
    <d v="2024-04-04T00:00:00"/>
    <n v="36451"/>
    <n v="2832"/>
    <n v="148"/>
    <n v="3613.13"/>
    <n v="6376.66"/>
    <n v="7.7693341746454148E-2"/>
    <n v="5.2259887005649715E-2"/>
    <n v="24.413040540540543"/>
    <n v="1.7648576165263912"/>
    <n v="2024"/>
    <x v="7"/>
    <n v="4"/>
  </r>
  <r>
    <s v="CAMP2957"/>
    <x v="1"/>
    <x v="0"/>
    <d v="2025-01-09T00:00:00"/>
    <n v="23926"/>
    <n v="1384"/>
    <n v="51"/>
    <n v="1247.05"/>
    <n v="5912.94"/>
    <n v="5.7845022151634208E-2"/>
    <n v="3.6849710982658962E-2"/>
    <n v="24.451960784313723"/>
    <n v="4.7415420392125416"/>
    <n v="2025"/>
    <x v="0"/>
    <n v="1"/>
  </r>
  <r>
    <s v="CAMP2958"/>
    <x v="4"/>
    <x v="4"/>
    <d v="2025-01-02T00:00:00"/>
    <n v="34038"/>
    <n v="2317"/>
    <n v="50"/>
    <n v="713.38"/>
    <n v="2031.67"/>
    <n v="6.8070979493507253E-2"/>
    <n v="2.1579628830384119E-2"/>
    <n v="14.2676"/>
    <n v="2.8479491995850741"/>
    <n v="2025"/>
    <x v="0"/>
    <n v="1"/>
  </r>
  <r>
    <s v="CAMP2959"/>
    <x v="2"/>
    <x v="4"/>
    <d v="2025-01-05T00:00:00"/>
    <n v="37307"/>
    <n v="2641"/>
    <n v="164"/>
    <n v="2173.41"/>
    <n v="14096.13"/>
    <n v="7.079100436915324E-2"/>
    <n v="6.209769026883756E-2"/>
    <n v="13.2525"/>
    <n v="6.4857205957458559"/>
    <n v="2025"/>
    <x v="0"/>
    <n v="1"/>
  </r>
  <r>
    <s v="CAMP2960"/>
    <x v="5"/>
    <x v="2"/>
    <d v="2024-12-05T00:00:00"/>
    <n v="57834"/>
    <n v="4050"/>
    <n v="157"/>
    <n v="2068.21"/>
    <n v="6091.61"/>
    <n v="7.0028011204481794E-2"/>
    <n v="3.8765432098765429E-2"/>
    <n v="13.173312101910827"/>
    <n v="2.9453537116637092"/>
    <n v="2024"/>
    <x v="4"/>
    <n v="12"/>
  </r>
  <r>
    <s v="CAMP2961"/>
    <x v="1"/>
    <x v="2"/>
    <d v="2024-09-07T00:00:00"/>
    <n v="76800"/>
    <n v="3119"/>
    <n v="164"/>
    <n v="2279.81"/>
    <n v="5881.12"/>
    <n v="4.0611979166666666E-2"/>
    <n v="5.2580955434434112E-2"/>
    <n v="13.901280487804877"/>
    <n v="2.5796535676218633"/>
    <n v="2024"/>
    <x v="11"/>
    <n v="9"/>
  </r>
  <r>
    <s v="CAMP2962"/>
    <x v="4"/>
    <x v="2"/>
    <d v="2024-09-25T00:00:00"/>
    <n v="80778"/>
    <n v="1960"/>
    <n v="67"/>
    <n v="1578.61"/>
    <n v="3239.09"/>
    <n v="2.4264032286018471E-2"/>
    <n v="3.4183673469387756E-2"/>
    <n v="23.561343283582087"/>
    <n v="2.0518620811980162"/>
    <n v="2024"/>
    <x v="11"/>
    <n v="9"/>
  </r>
  <r>
    <s v="CAMP2963"/>
    <x v="2"/>
    <x v="2"/>
    <d v="2025-01-28T00:00:00"/>
    <n v="8609"/>
    <n v="371"/>
    <n v="44"/>
    <n v="513.41999999999996"/>
    <n v="2879.49"/>
    <n v="4.3094436055290973E-2"/>
    <n v="0.11859838274932614"/>
    <n v="11.668636363636363"/>
    <n v="5.6084492228584786"/>
    <n v="2025"/>
    <x v="0"/>
    <n v="1"/>
  </r>
  <r>
    <s v="CAMP2964"/>
    <x v="5"/>
    <x v="4"/>
    <d v="2024-08-18T00:00:00"/>
    <n v="57671"/>
    <n v="3355"/>
    <n v="187"/>
    <n v="2488.81"/>
    <n v="11044.12"/>
    <n v="5.8174819233236807E-2"/>
    <n v="5.5737704918032788E-2"/>
    <n v="13.309144385026737"/>
    <n v="4.4375102960852777"/>
    <n v="2024"/>
    <x v="1"/>
    <n v="8"/>
  </r>
  <r>
    <s v="CAMP2965"/>
    <x v="2"/>
    <x v="2"/>
    <d v="2024-04-22T00:00:00"/>
    <n v="119852"/>
    <n v="8789"/>
    <n v="195"/>
    <n v="1325.22"/>
    <n v="13375.1"/>
    <n v="7.3332109601842277E-2"/>
    <n v="2.218682443964046E-2"/>
    <n v="6.7960000000000003"/>
    <n v="10.092739318754623"/>
    <n v="2024"/>
    <x v="7"/>
    <n v="4"/>
  </r>
  <r>
    <s v="CAMP2966"/>
    <x v="1"/>
    <x v="1"/>
    <d v="2024-09-17T00:00:00"/>
    <n v="42930"/>
    <n v="759"/>
    <n v="86"/>
    <n v="2705.74"/>
    <n v="7653.21"/>
    <n v="1.7679944095038435E-2"/>
    <n v="0.11330698287220026"/>
    <n v="31.462093023255811"/>
    <n v="2.8285090215615694"/>
    <n v="2024"/>
    <x v="11"/>
    <n v="9"/>
  </r>
  <r>
    <s v="CAMP2967"/>
    <x v="5"/>
    <x v="1"/>
    <d v="2025-02-13T00:00:00"/>
    <n v="86321"/>
    <n v="5373"/>
    <n v="121"/>
    <n v="2922.35"/>
    <n v="13126.18"/>
    <n v="6.2244413294563317E-2"/>
    <n v="2.252000744463056E-2"/>
    <n v="24.151652892561984"/>
    <n v="4.491652266155663"/>
    <n v="2025"/>
    <x v="9"/>
    <n v="2"/>
  </r>
  <r>
    <s v="CAMP2968"/>
    <x v="1"/>
    <x v="3"/>
    <d v="2024-05-09T00:00:00"/>
    <n v="69040"/>
    <n v="4352"/>
    <n v="465"/>
    <n v="2868.6"/>
    <n v="37832.129999999997"/>
    <n v="6.3035921205098489E-2"/>
    <n v="0.10684742647058823"/>
    <n v="6.169032258064516"/>
    <n v="13.188360175695461"/>
    <n v="2024"/>
    <x v="8"/>
    <n v="5"/>
  </r>
  <r>
    <s v="CAMP2969"/>
    <x v="2"/>
    <x v="2"/>
    <d v="2024-09-27T00:00:00"/>
    <n v="5883"/>
    <n v="120"/>
    <n v="2"/>
    <n v="3888.77"/>
    <n v="193.94"/>
    <n v="2.0397756246812851E-2"/>
    <n v="1.6666666666666666E-2"/>
    <n v="1944.385"/>
    <n v="4.9871810366774072E-2"/>
    <n v="2024"/>
    <x v="11"/>
    <n v="9"/>
  </r>
  <r>
    <s v="CAMP2970"/>
    <x v="3"/>
    <x v="1"/>
    <d v="2024-06-23T00:00:00"/>
    <n v="5382"/>
    <n v="235"/>
    <n v="10"/>
    <n v="3716.57"/>
    <n v="920.88"/>
    <n v="4.366406540319584E-2"/>
    <n v="4.2553191489361701E-2"/>
    <n v="371.65700000000004"/>
    <n v="0.24777684800770602"/>
    <n v="2024"/>
    <x v="2"/>
    <n v="6"/>
  </r>
  <r>
    <s v="CAMP2971"/>
    <x v="3"/>
    <x v="3"/>
    <d v="2024-12-22T00:00:00"/>
    <n v="76287"/>
    <n v="3893"/>
    <n v="396"/>
    <n v="3415.21"/>
    <n v="45961.9"/>
    <n v="5.1030975133377905E-2"/>
    <n v="0.10172103776008219"/>
    <n v="8.6242676767676762"/>
    <n v="13.458001118525655"/>
    <n v="2024"/>
    <x v="4"/>
    <n v="12"/>
  </r>
  <r>
    <s v="CAMP2972"/>
    <x v="7"/>
    <x v="0"/>
    <d v="2024-07-13T00:00:00"/>
    <n v="128693"/>
    <n v="6913"/>
    <n v="938"/>
    <n v="1758.63"/>
    <n v="99221.31"/>
    <n v="5.3716985383820408E-2"/>
    <n v="0.13568638796470417"/>
    <n v="1.8748720682302773"/>
    <n v="56.419661895907602"/>
    <n v="2024"/>
    <x v="10"/>
    <n v="7"/>
  </r>
  <r>
    <s v="CAMP2973"/>
    <x v="7"/>
    <x v="2"/>
    <d v="2025-01-23T00:00:00"/>
    <n v="68220"/>
    <n v="3225"/>
    <n v="271"/>
    <n v="2267.9499999999998"/>
    <n v="20662"/>
    <n v="4.7273526824978013E-2"/>
    <n v="8.4031007751937989E-2"/>
    <n v="8.3688191881918819"/>
    <n v="9.1104301241209029"/>
    <n v="2025"/>
    <x v="0"/>
    <n v="1"/>
  </r>
  <r>
    <s v="CAMP2974"/>
    <x v="0"/>
    <x v="0"/>
    <d v="2024-10-16T00:00:00"/>
    <n v="40912"/>
    <n v="1071"/>
    <n v="142"/>
    <n v="1183.8"/>
    <n v="8695.51"/>
    <n v="2.6178138443488461E-2"/>
    <n v="0.13258636788048553"/>
    <n v="8.3366197183098585"/>
    <n v="7.3454215239060661"/>
    <n v="2024"/>
    <x v="3"/>
    <n v="10"/>
  </r>
  <r>
    <s v="CAMP2975"/>
    <x v="0"/>
    <x v="0"/>
    <d v="2024-12-14T00:00:00"/>
    <n v="148803"/>
    <n v="6084"/>
    <n v="229"/>
    <n v="3742.52"/>
    <n v="9582.9699999999993"/>
    <n v="4.0886272454184393E-2"/>
    <n v="3.7639710716633794E-2"/>
    <n v="16.342882096069868"/>
    <n v="2.5605661425991042"/>
    <n v="2024"/>
    <x v="4"/>
    <n v="12"/>
  </r>
  <r>
    <s v="CAMP2976"/>
    <x v="0"/>
    <x v="0"/>
    <d v="2024-05-11T00:00:00"/>
    <n v="8066"/>
    <n v="599"/>
    <n v="43"/>
    <n v="4958.3100000000004"/>
    <n v="3624.98"/>
    <n v="7.4262335730225643E-2"/>
    <n v="7.178631051752922E-2"/>
    <n v="115.30953488372094"/>
    <n v="0.73109184379355052"/>
    <n v="2024"/>
    <x v="8"/>
    <n v="5"/>
  </r>
  <r>
    <s v="CAMP2977"/>
    <x v="6"/>
    <x v="4"/>
    <d v="2024-02-17T00:00:00"/>
    <n v="94342"/>
    <n v="7042"/>
    <n v="700"/>
    <n v="648.85"/>
    <n v="31522.17"/>
    <n v="7.464331898836149E-2"/>
    <n v="9.9403578528827044E-2"/>
    <n v="0.92692857142857144"/>
    <n v="48.581598212221621"/>
    <n v="2024"/>
    <x v="9"/>
    <n v="2"/>
  </r>
  <r>
    <s v="CAMP2978"/>
    <x v="1"/>
    <x v="0"/>
    <d v="2024-08-31T00:00:00"/>
    <n v="77635"/>
    <n v="3716"/>
    <n v="391"/>
    <n v="3540.17"/>
    <n v="8068.54"/>
    <n v="4.7865009338571518E-2"/>
    <n v="0.10522066738428418"/>
    <n v="9.0541432225063936"/>
    <n v="2.2791391373860579"/>
    <n v="2024"/>
    <x v="1"/>
    <n v="8"/>
  </r>
  <r>
    <s v="CAMP2979"/>
    <x v="6"/>
    <x v="4"/>
    <d v="2025-02-11T00:00:00"/>
    <n v="112953"/>
    <n v="8146"/>
    <n v="268"/>
    <n v="2617.7600000000002"/>
    <n v="11506.02"/>
    <n v="7.2118491762060324E-2"/>
    <n v="3.2899582617235454E-2"/>
    <n v="9.7677611940298519"/>
    <n v="4.3953685593790111"/>
    <n v="2025"/>
    <x v="9"/>
    <n v="2"/>
  </r>
  <r>
    <s v="CAMP2980"/>
    <x v="5"/>
    <x v="0"/>
    <d v="2024-08-06T00:00:00"/>
    <n v="96477"/>
    <n v="7276"/>
    <n v="858"/>
    <n v="2870.18"/>
    <n v="31256.46"/>
    <n v="7.5416938752241466E-2"/>
    <n v="0.11792193512919186"/>
    <n v="3.3451981351981348"/>
    <n v="10.890069612358808"/>
    <n v="2024"/>
    <x v="1"/>
    <n v="8"/>
  </r>
  <r>
    <s v="CAMP2981"/>
    <x v="0"/>
    <x v="1"/>
    <d v="2024-01-11T00:00:00"/>
    <n v="77157"/>
    <n v="1811"/>
    <n v="229"/>
    <n v="1324.25"/>
    <n v="5615.18"/>
    <n v="2.3471622795080162E-2"/>
    <n v="0.12644947542794036"/>
    <n v="5.7827510917030569"/>
    <n v="4.240271851991694"/>
    <n v="2024"/>
    <x v="0"/>
    <n v="1"/>
  </r>
  <r>
    <s v="CAMP2982"/>
    <x v="2"/>
    <x v="4"/>
    <d v="2025-02-27T00:00:00"/>
    <n v="59806"/>
    <n v="1425"/>
    <n v="83"/>
    <n v="494.12"/>
    <n v="5390.58"/>
    <n v="2.3827040765140622E-2"/>
    <n v="5.8245614035087719E-2"/>
    <n v="5.9532530120481928"/>
    <n v="10.909455193070508"/>
    <n v="2025"/>
    <x v="9"/>
    <n v="2"/>
  </r>
  <r>
    <s v="CAMP2983"/>
    <x v="2"/>
    <x v="0"/>
    <d v="2024-03-01T00:00:00"/>
    <n v="58520"/>
    <n v="2087"/>
    <n v="247"/>
    <n v="3853.24"/>
    <n v="25558.240000000002"/>
    <n v="3.566302118933698E-2"/>
    <n v="0.11835170100622903"/>
    <n v="15.600161943319836"/>
    <n v="6.6329219046828136"/>
    <n v="2024"/>
    <x v="6"/>
    <n v="3"/>
  </r>
  <r>
    <s v="CAMP2984"/>
    <x v="3"/>
    <x v="4"/>
    <d v="2024-12-18T00:00:00"/>
    <n v="21585"/>
    <n v="1475"/>
    <n v="60"/>
    <n v="2014.81"/>
    <n v="2228.25"/>
    <n v="6.8334491545054429E-2"/>
    <n v="4.0677966101694912E-2"/>
    <n v="33.580166666666663"/>
    <n v="1.1059355472724475"/>
    <n v="2024"/>
    <x v="4"/>
    <n v="12"/>
  </r>
  <r>
    <s v="CAMP2985"/>
    <x v="4"/>
    <x v="1"/>
    <d v="2024-03-30T00:00:00"/>
    <n v="115193"/>
    <n v="2027"/>
    <n v="241"/>
    <n v="1216.57"/>
    <n v="8525.1299999999992"/>
    <n v="1.7596555346244998E-2"/>
    <n v="0.11889491859891466"/>
    <n v="5.0480082987551862"/>
    <n v="7.0075129256845061"/>
    <n v="2024"/>
    <x v="6"/>
    <n v="3"/>
  </r>
  <r>
    <s v="CAMP2986"/>
    <x v="0"/>
    <x v="2"/>
    <d v="2024-04-27T00:00:00"/>
    <n v="48565"/>
    <n v="1390"/>
    <n v="121"/>
    <n v="2863.99"/>
    <n v="10613.42"/>
    <n v="2.8621435189951611E-2"/>
    <n v="8.7050359712230213E-2"/>
    <n v="23.669338842975204"/>
    <n v="3.7058160119274164"/>
    <n v="2024"/>
    <x v="7"/>
    <n v="4"/>
  </r>
  <r>
    <s v="CAMP2987"/>
    <x v="7"/>
    <x v="2"/>
    <d v="2024-03-21T00:00:00"/>
    <n v="144682"/>
    <n v="8136"/>
    <n v="390"/>
    <n v="2355.48"/>
    <n v="14513.27"/>
    <n v="5.6233671085553147E-2"/>
    <n v="4.7935103244837761E-2"/>
    <n v="6.0396923076923077"/>
    <n v="6.1614915006707767"/>
    <n v="2024"/>
    <x v="6"/>
    <n v="3"/>
  </r>
  <r>
    <s v="CAMP2988"/>
    <x v="6"/>
    <x v="3"/>
    <d v="2024-06-10T00:00:00"/>
    <n v="73217"/>
    <n v="3839"/>
    <n v="539"/>
    <n v="4031.85"/>
    <n v="55820.12"/>
    <n v="5.2433178087056283E-2"/>
    <n v="0.14040114613180515"/>
    <n v="7.4802411873840446"/>
    <n v="13.844790852834308"/>
    <n v="2024"/>
    <x v="2"/>
    <n v="6"/>
  </r>
  <r>
    <s v="CAMP2989"/>
    <x v="1"/>
    <x v="2"/>
    <d v="2024-05-31T00:00:00"/>
    <n v="103441"/>
    <n v="6628"/>
    <n v="533"/>
    <n v="636.91999999999996"/>
    <n v="41648.75"/>
    <n v="6.407517328718787E-2"/>
    <n v="8.0416415208207609E-2"/>
    <n v="1.1949718574108816"/>
    <n v="65.390865414808772"/>
    <n v="2024"/>
    <x v="8"/>
    <n v="5"/>
  </r>
  <r>
    <s v="CAMP2990"/>
    <x v="2"/>
    <x v="0"/>
    <d v="2024-04-27T00:00:00"/>
    <n v="144865"/>
    <n v="11077"/>
    <n v="384"/>
    <n v="2500.7399999999998"/>
    <n v="42598.39"/>
    <n v="7.6464294343009012E-2"/>
    <n v="3.4666425927597722E-2"/>
    <n v="6.5123437499999994"/>
    <n v="17.034313843102442"/>
    <n v="2024"/>
    <x v="7"/>
    <n v="4"/>
  </r>
  <r>
    <s v="CAMP2991"/>
    <x v="2"/>
    <x v="0"/>
    <d v="2024-09-22T00:00:00"/>
    <n v="52131"/>
    <n v="2488"/>
    <n v="124"/>
    <n v="806.85"/>
    <n v="13739.22"/>
    <n v="4.7725921236884003E-2"/>
    <n v="4.9839228295819937E-2"/>
    <n v="6.5068548387096774"/>
    <n v="17.028220858895704"/>
    <n v="2024"/>
    <x v="11"/>
    <n v="9"/>
  </r>
  <r>
    <s v="CAMP2992"/>
    <x v="0"/>
    <x v="4"/>
    <d v="2024-10-02T00:00:00"/>
    <n v="149776"/>
    <n v="2373"/>
    <n v="209"/>
    <n v="648.98"/>
    <n v="9637.83"/>
    <n v="1.5843659865398995E-2"/>
    <n v="8.807416772018542E-2"/>
    <n v="3.1051674641148326"/>
    <n v="14.850734999537735"/>
    <n v="2024"/>
    <x v="3"/>
    <n v="10"/>
  </r>
  <r>
    <s v="CAMP2993"/>
    <x v="2"/>
    <x v="4"/>
    <d v="2024-01-23T00:00:00"/>
    <n v="117124"/>
    <n v="5192"/>
    <n v="669"/>
    <n v="870.62"/>
    <n v="66232.88"/>
    <n v="4.4329087121341482E-2"/>
    <n v="0.12885208012326657"/>
    <n v="1.3013751868460388"/>
    <n v="76.075532379224001"/>
    <n v="2024"/>
    <x v="0"/>
    <n v="1"/>
  </r>
  <r>
    <s v="CAMP2994"/>
    <x v="0"/>
    <x v="1"/>
    <d v="2024-03-16T00:00:00"/>
    <n v="120958"/>
    <n v="1814"/>
    <n v="206"/>
    <n v="2824.29"/>
    <n v="19317.47"/>
    <n v="1.4996941086988872E-2"/>
    <n v="0.11356119073869901"/>
    <n v="13.710145631067961"/>
    <n v="6.8397614975799232"/>
    <n v="2024"/>
    <x v="6"/>
    <n v="3"/>
  </r>
  <r>
    <s v="CAMP2995"/>
    <x v="7"/>
    <x v="2"/>
    <d v="2024-03-25T00:00:00"/>
    <n v="77433"/>
    <n v="6155"/>
    <n v="393"/>
    <n v="358.91"/>
    <n v="8313.11"/>
    <n v="7.9488073560368314E-2"/>
    <n v="6.3850528025995126E-2"/>
    <n v="0.91325699745547084"/>
    <n v="23.162101919701318"/>
    <n v="2024"/>
    <x v="6"/>
    <n v="3"/>
  </r>
  <r>
    <s v="CAMP2996"/>
    <x v="4"/>
    <x v="0"/>
    <d v="2025-02-18T00:00:00"/>
    <n v="12955"/>
    <n v="205"/>
    <n v="8"/>
    <n v="3762.55"/>
    <n v="669.63"/>
    <n v="1.5824006175221922E-2"/>
    <n v="3.9024390243902439E-2"/>
    <n v="470.31875000000002"/>
    <n v="0.17797238574902657"/>
    <n v="2025"/>
    <x v="9"/>
    <n v="2"/>
  </r>
  <r>
    <s v="CAMP2997"/>
    <x v="0"/>
    <x v="0"/>
    <d v="2024-12-18T00:00:00"/>
    <n v="54917"/>
    <n v="2397"/>
    <n v="298"/>
    <n v="2307.1"/>
    <n v="32609.97"/>
    <n v="4.3647686508731361E-2"/>
    <n v="0.12432206925323321"/>
    <n v="7.7419463087248319"/>
    <n v="14.13461488448702"/>
    <n v="2024"/>
    <x v="4"/>
    <n v="12"/>
  </r>
  <r>
    <s v="CAMP2998"/>
    <x v="7"/>
    <x v="0"/>
    <d v="2025-02-07T00:00:00"/>
    <n v="11774"/>
    <n v="710"/>
    <n v="105"/>
    <n v="1701.65"/>
    <n v="9157.8700000000008"/>
    <n v="6.0302361134703587E-2"/>
    <n v="0.14788732394366197"/>
    <n v="16.206190476190478"/>
    <n v="5.3817588810860046"/>
    <n v="2025"/>
    <x v="9"/>
    <n v="2"/>
  </r>
  <r>
    <s v="CAMP2999"/>
    <x v="5"/>
    <x v="3"/>
    <d v="2024-05-13T00:00:00"/>
    <n v="46752"/>
    <n v="745"/>
    <n v="93"/>
    <n v="3081.67"/>
    <n v="7220.38"/>
    <n v="1.5935147159479808E-2"/>
    <n v="0.12483221476510067"/>
    <n v="33.136236559139789"/>
    <n v="2.3430088231381037"/>
    <n v="2024"/>
    <x v="8"/>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8881C8-5151-4E5A-B179-B9C02C2A3D81}" name="PivotTable9"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0">
  <location ref="H43:I49" firstHeaderRow="1" firstDataRow="1" firstDataCol="1"/>
  <pivotFields count="16">
    <pivotField showAll="0"/>
    <pivotField showAll="0">
      <items count="9">
        <item x="7"/>
        <item x="6"/>
        <item x="3"/>
        <item x="0"/>
        <item x="1"/>
        <item x="5"/>
        <item x="2"/>
        <item x="4"/>
        <item t="default"/>
      </items>
    </pivotField>
    <pivotField axis="axisRow" showAll="0" sortType="descending">
      <items count="6">
        <item x="1"/>
        <item x="2"/>
        <item x="0"/>
        <item x="4"/>
        <item x="3"/>
        <item t="default"/>
      </items>
      <autoSortScope>
        <pivotArea dataOnly="0" outline="0" fieldPosition="0">
          <references count="1">
            <reference field="4294967294" count="1" selected="0">
              <x v="0"/>
            </reference>
          </references>
        </pivotArea>
      </autoSortScope>
    </pivotField>
    <pivotField numFmtId="14" showAll="0"/>
    <pivotField showAll="0"/>
    <pivotField showAll="0"/>
    <pivotField showAll="0"/>
    <pivotField numFmtId="165" showAll="0"/>
    <pivotField numFmtId="165" showAll="0"/>
    <pivotField numFmtId="10" showAll="0"/>
    <pivotField numFmtId="10" showAll="0"/>
    <pivotField numFmtId="165" showAll="0"/>
    <pivotField dataField="1" numFmtId="2" showAll="0"/>
    <pivotField showAll="0"/>
    <pivotField showAll="0">
      <items count="13">
        <item x="0"/>
        <item x="9"/>
        <item x="6"/>
        <item x="7"/>
        <item x="8"/>
        <item x="2"/>
        <item x="10"/>
        <item x="1"/>
        <item x="11"/>
        <item x="3"/>
        <item x="5"/>
        <item x="4"/>
        <item t="default"/>
      </items>
    </pivotField>
    <pivotField showAll="0"/>
  </pivotFields>
  <rowFields count="1">
    <field x="2"/>
  </rowFields>
  <rowItems count="6">
    <i>
      <x v="1"/>
    </i>
    <i>
      <x v="2"/>
    </i>
    <i>
      <x/>
    </i>
    <i>
      <x v="3"/>
    </i>
    <i>
      <x v="4"/>
    </i>
    <i t="grand">
      <x/>
    </i>
  </rowItems>
  <colItems count="1">
    <i/>
  </colItems>
  <dataFields count="1">
    <dataField name="Average of ROAS" fld="12" subtotal="average" baseField="0" baseItem="0"/>
  </dataFields>
  <chartFormats count="9">
    <chartFormat chart="16" format="1" series="1">
      <pivotArea type="data" outline="0" fieldPosition="0">
        <references count="1">
          <reference field="4294967294" count="1" selected="0">
            <x v="0"/>
          </reference>
        </references>
      </pivotArea>
    </chartFormat>
    <chartFormat chart="18" format="9"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 chart="49" format="3">
      <pivotArea type="data" outline="0" fieldPosition="0">
        <references count="2">
          <reference field="4294967294" count="1" selected="0">
            <x v="0"/>
          </reference>
          <reference field="2" count="1" selected="0">
            <x v="0"/>
          </reference>
        </references>
      </pivotArea>
    </chartFormat>
    <chartFormat chart="49" format="4">
      <pivotArea type="data" outline="0" fieldPosition="0">
        <references count="2">
          <reference field="4294967294" count="1" selected="0">
            <x v="0"/>
          </reference>
          <reference field="2" count="1" selected="0">
            <x v="1"/>
          </reference>
        </references>
      </pivotArea>
    </chartFormat>
    <chartFormat chart="49" format="5">
      <pivotArea type="data" outline="0" fieldPosition="0">
        <references count="2">
          <reference field="4294967294" count="1" selected="0">
            <x v="0"/>
          </reference>
          <reference field="2" count="1" selected="0">
            <x v="2"/>
          </reference>
        </references>
      </pivotArea>
    </chartFormat>
    <chartFormat chart="49" format="6">
      <pivotArea type="data" outline="0" fieldPosition="0">
        <references count="2">
          <reference field="4294967294" count="1" selected="0">
            <x v="0"/>
          </reference>
          <reference field="2" count="1" selected="0">
            <x v="3"/>
          </reference>
        </references>
      </pivotArea>
    </chartFormat>
    <chartFormat chart="49" format="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77C3E8-901F-406F-BF9A-9E7A4F4BEDA5}" name="PivotTable8"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4">
  <location ref="H30:I39" firstHeaderRow="1" firstDataRow="1" firstDataCol="1"/>
  <pivotFields count="16">
    <pivotField showAll="0"/>
    <pivotField axis="axisRow" showAll="0" sortType="descending">
      <items count="9">
        <item x="7"/>
        <item x="6"/>
        <item x="3"/>
        <item x="0"/>
        <item x="1"/>
        <item x="5"/>
        <item x="2"/>
        <item x="4"/>
        <item t="default"/>
      </items>
      <autoSortScope>
        <pivotArea dataOnly="0" outline="0" fieldPosition="0">
          <references count="1">
            <reference field="4294967294" count="1" selected="0">
              <x v="0"/>
            </reference>
          </references>
        </pivotArea>
      </autoSortScope>
    </pivotField>
    <pivotField showAll="0" sortType="descending">
      <items count="6">
        <item x="1"/>
        <item x="2"/>
        <item x="0"/>
        <item x="4"/>
        <item x="3"/>
        <item t="default"/>
      </items>
      <autoSortScope>
        <pivotArea dataOnly="0" outline="0" fieldPosition="0">
          <references count="1">
            <reference field="4294967294" count="1" selected="0">
              <x v="0"/>
            </reference>
          </references>
        </pivotArea>
      </autoSortScope>
    </pivotField>
    <pivotField numFmtId="14" showAll="0"/>
    <pivotField showAll="0"/>
    <pivotField showAll="0"/>
    <pivotField showAll="0"/>
    <pivotField numFmtId="165" showAll="0"/>
    <pivotField dataField="1" numFmtId="165" showAll="0"/>
    <pivotField numFmtId="10" showAll="0"/>
    <pivotField numFmtId="10" showAll="0"/>
    <pivotField numFmtId="165" showAll="0"/>
    <pivotField numFmtId="2" showAll="0"/>
    <pivotField showAll="0"/>
    <pivotField showAll="0">
      <items count="13">
        <item x="0"/>
        <item x="9"/>
        <item x="6"/>
        <item x="7"/>
        <item x="8"/>
        <item x="2"/>
        <item x="10"/>
        <item x="1"/>
        <item x="11"/>
        <item x="3"/>
        <item x="5"/>
        <item x="4"/>
        <item t="default"/>
      </items>
    </pivotField>
    <pivotField showAll="0"/>
  </pivotFields>
  <rowFields count="1">
    <field x="1"/>
  </rowFields>
  <rowItems count="9">
    <i>
      <x/>
    </i>
    <i>
      <x v="3"/>
    </i>
    <i>
      <x v="7"/>
    </i>
    <i>
      <x v="4"/>
    </i>
    <i>
      <x v="2"/>
    </i>
    <i>
      <x v="5"/>
    </i>
    <i>
      <x v="1"/>
    </i>
    <i>
      <x v="6"/>
    </i>
    <i t="grand">
      <x/>
    </i>
  </rowItems>
  <colItems count="1">
    <i/>
  </colItems>
  <dataFields count="1">
    <dataField name="Total Revenue" fld="8" baseField="0" baseItem="0" numFmtId="165"/>
  </dataFields>
  <formats count="2">
    <format dxfId="187">
      <pivotArea outline="0" collapsedLevelsAreSubtotals="1" fieldPosition="0">
        <references count="1">
          <reference field="4294967294" count="1" selected="0">
            <x v="0"/>
          </reference>
        </references>
      </pivotArea>
    </format>
    <format dxfId="188">
      <pivotArea dataOnly="0" labelOnly="1" outline="0" fieldPosition="0">
        <references count="1">
          <reference field="4294967294" count="1">
            <x v="0"/>
          </reference>
        </references>
      </pivotArea>
    </format>
  </formats>
  <chartFormats count="6">
    <chartFormat chart="67" format="6" series="1">
      <pivotArea type="data" outline="0" fieldPosition="0">
        <references count="1">
          <reference field="4294967294" count="1" selected="0">
            <x v="0"/>
          </reference>
        </references>
      </pivotArea>
    </chartFormat>
    <chartFormat chart="73" format="0" series="1">
      <pivotArea type="data" outline="0" fieldPosition="0">
        <references count="1">
          <reference field="4294967294" count="1" selected="0">
            <x v="0"/>
          </reference>
        </references>
      </pivotArea>
    </chartFormat>
    <chartFormat chart="76" format="6" series="1">
      <pivotArea type="data" outline="0" fieldPosition="0">
        <references count="1">
          <reference field="4294967294" count="1" selected="0">
            <x v="0"/>
          </reference>
        </references>
      </pivotArea>
    </chartFormat>
    <chartFormat chart="97" format="2" series="1">
      <pivotArea type="data" outline="0" fieldPosition="0">
        <references count="1">
          <reference field="4294967294" count="1" selected="0">
            <x v="0"/>
          </reference>
        </references>
      </pivotArea>
    </chartFormat>
    <chartFormat chart="103" format="2" series="1">
      <pivotArea type="data" outline="0" fieldPosition="0">
        <references count="1">
          <reference field="4294967294" count="1" selected="0">
            <x v="0"/>
          </reference>
        </references>
      </pivotArea>
    </chartFormat>
    <chartFormat chart="103" format="3">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4F272C-53C7-4678-975F-1D0559EF15E6}" name="PivotTable7"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0">
  <location ref="M22:N35" firstHeaderRow="1" firstDataRow="1" firstDataCol="1"/>
  <pivotFields count="16">
    <pivotField showAll="0"/>
    <pivotField showAll="0">
      <items count="9">
        <item x="7"/>
        <item x="6"/>
        <item x="3"/>
        <item x="0"/>
        <item x="1"/>
        <item x="5"/>
        <item x="2"/>
        <item x="4"/>
        <item t="default"/>
      </items>
    </pivotField>
    <pivotField showAll="0" sortType="descending">
      <items count="6">
        <item x="1"/>
        <item x="2"/>
        <item x="0"/>
        <item x="4"/>
        <item x="3"/>
        <item t="default"/>
      </items>
      <autoSortScope>
        <pivotArea dataOnly="0" outline="0" fieldPosition="0">
          <references count="1">
            <reference field="4294967294" count="1" selected="0">
              <x v="0"/>
            </reference>
          </references>
        </pivotArea>
      </autoSortScope>
    </pivotField>
    <pivotField numFmtId="14" showAll="0"/>
    <pivotField showAll="0"/>
    <pivotField showAll="0"/>
    <pivotField showAll="0"/>
    <pivotField numFmtId="165" showAll="0"/>
    <pivotField dataField="1" numFmtId="165" showAll="0"/>
    <pivotField numFmtId="10" showAll="0"/>
    <pivotField numFmtId="10" showAll="0"/>
    <pivotField numFmtId="165" showAll="0"/>
    <pivotField numFmtId="2" showAll="0"/>
    <pivotField showAll="0"/>
    <pivotField axis="axisRow" showAll="0">
      <items count="13">
        <item x="0"/>
        <item x="9"/>
        <item x="6"/>
        <item x="7"/>
        <item x="8"/>
        <item x="2"/>
        <item x="10"/>
        <item x="1"/>
        <item x="11"/>
        <item x="3"/>
        <item x="5"/>
        <item x="4"/>
        <item t="default"/>
      </items>
    </pivotField>
    <pivotField showAll="0"/>
  </pivotFields>
  <rowFields count="1">
    <field x="14"/>
  </rowFields>
  <rowItems count="13">
    <i>
      <x/>
    </i>
    <i>
      <x v="1"/>
    </i>
    <i>
      <x v="2"/>
    </i>
    <i>
      <x v="3"/>
    </i>
    <i>
      <x v="4"/>
    </i>
    <i>
      <x v="5"/>
    </i>
    <i>
      <x v="6"/>
    </i>
    <i>
      <x v="7"/>
    </i>
    <i>
      <x v="8"/>
    </i>
    <i>
      <x v="9"/>
    </i>
    <i>
      <x v="10"/>
    </i>
    <i>
      <x v="11"/>
    </i>
    <i t="grand">
      <x/>
    </i>
  </rowItems>
  <colItems count="1">
    <i/>
  </colItems>
  <dataFields count="1">
    <dataField name="Total Revenue" fld="8" baseField="0" baseItem="0" numFmtId="165"/>
  </dataFields>
  <formats count="2">
    <format dxfId="189">
      <pivotArea outline="0" collapsedLevelsAreSubtotals="1" fieldPosition="0">
        <references count="1">
          <reference field="4294967294" count="1" selected="0">
            <x v="0"/>
          </reference>
        </references>
      </pivotArea>
    </format>
    <format dxfId="190">
      <pivotArea dataOnly="0" labelOnly="1" outline="0" fieldPosition="0">
        <references count="1">
          <reference field="4294967294" count="1">
            <x v="0"/>
          </reference>
        </references>
      </pivotArea>
    </format>
  </formats>
  <chartFormats count="6">
    <chartFormat chart="67" format="6" series="1">
      <pivotArea type="data" outline="0" fieldPosition="0">
        <references count="1">
          <reference field="4294967294" count="1" selected="0">
            <x v="0"/>
          </reference>
        </references>
      </pivotArea>
    </chartFormat>
    <chartFormat chart="73" format="0" series="1">
      <pivotArea type="data" outline="0" fieldPosition="0">
        <references count="1">
          <reference field="4294967294" count="1" selected="0">
            <x v="0"/>
          </reference>
        </references>
      </pivotArea>
    </chartFormat>
    <chartFormat chart="76" format="6" series="1">
      <pivotArea type="data" outline="0" fieldPosition="0">
        <references count="1">
          <reference field="4294967294" count="1" selected="0">
            <x v="0"/>
          </reference>
        </references>
      </pivotArea>
    </chartFormat>
    <chartFormat chart="95" format="0" series="1">
      <pivotArea type="data" outline="0" fieldPosition="0">
        <references count="1">
          <reference field="4294967294" count="1" selected="0">
            <x v="0"/>
          </reference>
        </references>
      </pivotArea>
    </chartFormat>
    <chartFormat chart="97" format="2" series="1">
      <pivotArea type="data" outline="0" fieldPosition="0">
        <references count="1">
          <reference field="4294967294" count="1" selected="0">
            <x v="0"/>
          </reference>
        </references>
      </pivotArea>
    </chartFormat>
    <chartFormat chart="10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A0DE0C-F1DB-4DE5-A7EB-24140E2E8FC3}" name="PivotTable6"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0">
  <location ref="A30:B36" firstHeaderRow="1" firstDataRow="1" firstDataCol="1"/>
  <pivotFields count="16">
    <pivotField showAll="0"/>
    <pivotField showAll="0">
      <items count="9">
        <item x="7"/>
        <item x="6"/>
        <item x="3"/>
        <item x="0"/>
        <item x="1"/>
        <item x="5"/>
        <item x="2"/>
        <item x="4"/>
        <item t="default"/>
      </items>
    </pivotField>
    <pivotField axis="axisRow" showAll="0" sortType="descending">
      <items count="6">
        <item x="1"/>
        <item x="2"/>
        <item x="0"/>
        <item x="4"/>
        <item x="3"/>
        <item t="default"/>
      </items>
      <autoSortScope>
        <pivotArea dataOnly="0" outline="0" fieldPosition="0">
          <references count="1">
            <reference field="4294967294" count="1" selected="0">
              <x v="0"/>
            </reference>
          </references>
        </pivotArea>
      </autoSortScope>
    </pivotField>
    <pivotField numFmtId="14" showAll="0"/>
    <pivotField showAll="0"/>
    <pivotField showAll="0"/>
    <pivotField showAll="0"/>
    <pivotField numFmtId="165" showAll="0"/>
    <pivotField dataField="1" numFmtId="165" showAll="0"/>
    <pivotField numFmtId="10" showAll="0"/>
    <pivotField numFmtId="10" showAll="0"/>
    <pivotField numFmtId="165" showAll="0"/>
    <pivotField numFmtId="2" showAll="0"/>
    <pivotField showAll="0"/>
    <pivotField showAll="0">
      <items count="13">
        <item x="0"/>
        <item x="9"/>
        <item x="6"/>
        <item x="7"/>
        <item x="8"/>
        <item x="2"/>
        <item x="10"/>
        <item x="1"/>
        <item x="11"/>
        <item x="3"/>
        <item x="5"/>
        <item x="4"/>
        <item t="default"/>
      </items>
    </pivotField>
    <pivotField showAll="0"/>
  </pivotFields>
  <rowFields count="1">
    <field x="2"/>
  </rowFields>
  <rowItems count="6">
    <i>
      <x v="2"/>
    </i>
    <i>
      <x v="1"/>
    </i>
    <i>
      <x v="3"/>
    </i>
    <i>
      <x v="4"/>
    </i>
    <i>
      <x/>
    </i>
    <i t="grand">
      <x/>
    </i>
  </rowItems>
  <colItems count="1">
    <i/>
  </colItems>
  <dataFields count="1">
    <dataField name="Total Revenue" fld="8" baseField="0" baseItem="0" numFmtId="165"/>
  </dataFields>
  <formats count="2">
    <format dxfId="191">
      <pivotArea outline="0" collapsedLevelsAreSubtotals="1" fieldPosition="0">
        <references count="1">
          <reference field="4294967294" count="1" selected="0">
            <x v="0"/>
          </reference>
        </references>
      </pivotArea>
    </format>
    <format dxfId="192">
      <pivotArea dataOnly="0" labelOnly="1" outline="0" fieldPosition="0">
        <references count="1">
          <reference field="4294967294" count="1">
            <x v="0"/>
          </reference>
        </references>
      </pivotArea>
    </format>
  </formats>
  <chartFormats count="5">
    <chartFormat chart="67" format="6" series="1">
      <pivotArea type="data" outline="0" fieldPosition="0">
        <references count="1">
          <reference field="4294967294" count="1" selected="0">
            <x v="0"/>
          </reference>
        </references>
      </pivotArea>
    </chartFormat>
    <chartFormat chart="73" format="0" series="1">
      <pivotArea type="data" outline="0" fieldPosition="0">
        <references count="1">
          <reference field="4294967294" count="1" selected="0">
            <x v="0"/>
          </reference>
        </references>
      </pivotArea>
    </chartFormat>
    <chartFormat chart="76" format="6" series="1">
      <pivotArea type="data" outline="0" fieldPosition="0">
        <references count="1">
          <reference field="4294967294" count="1" selected="0">
            <x v="0"/>
          </reference>
        </references>
      </pivotArea>
    </chartFormat>
    <chartFormat chart="97" format="2" series="1">
      <pivotArea type="data" outline="0" fieldPosition="0">
        <references count="1">
          <reference field="4294967294" count="1" selected="0">
            <x v="0"/>
          </reference>
        </references>
      </pivotArea>
    </chartFormat>
    <chartFormat chart="97" format="3">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4F81434-8E28-4586-9C2D-898149201F01}" name="PivotTable5"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6">
  <location ref="A13:E19" firstHeaderRow="0" firstDataRow="1" firstDataCol="1"/>
  <pivotFields count="16">
    <pivotField showAll="0"/>
    <pivotField showAll="0">
      <items count="9">
        <item x="7"/>
        <item x="6"/>
        <item x="3"/>
        <item x="0"/>
        <item x="1"/>
        <item x="5"/>
        <item x="2"/>
        <item x="4"/>
        <item t="default"/>
      </items>
    </pivotField>
    <pivotField axis="axisRow" showAll="0">
      <items count="6">
        <item x="1"/>
        <item x="2"/>
        <item x="0"/>
        <item x="4"/>
        <item x="3"/>
        <item t="default"/>
      </items>
    </pivotField>
    <pivotField numFmtId="14" showAll="0"/>
    <pivotField showAll="0"/>
    <pivotField showAll="0"/>
    <pivotField showAll="0"/>
    <pivotField numFmtId="165" showAll="0"/>
    <pivotField numFmtId="165" showAll="0"/>
    <pivotField dataField="1" numFmtId="10" showAll="0"/>
    <pivotField dataField="1" numFmtId="10" showAll="0"/>
    <pivotField dataField="1" numFmtId="165" showAll="0"/>
    <pivotField dataField="1" numFmtId="2" showAll="0"/>
    <pivotField showAll="0"/>
    <pivotField showAll="0">
      <items count="13">
        <item x="0"/>
        <item x="9"/>
        <item x="6"/>
        <item x="7"/>
        <item x="8"/>
        <item x="2"/>
        <item x="10"/>
        <item x="1"/>
        <item x="11"/>
        <item x="3"/>
        <item x="5"/>
        <item x="4"/>
        <item t="default"/>
      </items>
    </pivotField>
    <pivotField showAll="0"/>
  </pivotFields>
  <rowFields count="1">
    <field x="2"/>
  </rowFields>
  <rowItems count="6">
    <i>
      <x/>
    </i>
    <i>
      <x v="1"/>
    </i>
    <i>
      <x v="2"/>
    </i>
    <i>
      <x v="3"/>
    </i>
    <i>
      <x v="4"/>
    </i>
    <i t="grand">
      <x/>
    </i>
  </rowItems>
  <colFields count="1">
    <field x="-2"/>
  </colFields>
  <colItems count="4">
    <i>
      <x/>
    </i>
    <i i="1">
      <x v="1"/>
    </i>
    <i i="2">
      <x v="2"/>
    </i>
    <i i="3">
      <x v="3"/>
    </i>
  </colItems>
  <dataFields count="4">
    <dataField name="Average of CPA" fld="11" subtotal="average" baseField="2" baseItem="0"/>
    <dataField name="Average of ROAS" fld="12" subtotal="average" baseField="0" baseItem="0"/>
    <dataField name="Average of CTR" fld="9" subtotal="average" baseField="2" baseItem="0"/>
    <dataField name="Average of Conversion_Rate" fld="1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96B7F22-AC1B-4DF6-8DC7-E102EB9A1169}" name="PivotTable4"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L3:O16" firstHeaderRow="0" firstDataRow="1" firstDataCol="1"/>
  <pivotFields count="16">
    <pivotField showAll="0"/>
    <pivotField showAll="0">
      <items count="9">
        <item x="7"/>
        <item x="6"/>
        <item x="3"/>
        <item x="0"/>
        <item x="1"/>
        <item x="5"/>
        <item x="2"/>
        <item x="4"/>
        <item t="default"/>
      </items>
    </pivotField>
    <pivotField showAll="0">
      <items count="6">
        <item x="1"/>
        <item x="2"/>
        <item x="0"/>
        <item x="4"/>
        <item x="3"/>
        <item t="default"/>
      </items>
    </pivotField>
    <pivotField numFmtId="14" showAll="0"/>
    <pivotField showAll="0"/>
    <pivotField showAll="0"/>
    <pivotField dataField="1" showAll="0"/>
    <pivotField dataField="1" numFmtId="165" showAll="0"/>
    <pivotField dataField="1" numFmtId="165" showAll="0"/>
    <pivotField numFmtId="10" showAll="0"/>
    <pivotField numFmtId="10" showAll="0"/>
    <pivotField numFmtId="165" showAll="0"/>
    <pivotField numFmtId="2" showAll="0"/>
    <pivotField showAll="0"/>
    <pivotField axis="axisRow" showAll="0">
      <items count="13">
        <item x="0"/>
        <item x="9"/>
        <item x="6"/>
        <item x="7"/>
        <item x="8"/>
        <item x="2"/>
        <item x="10"/>
        <item x="1"/>
        <item x="11"/>
        <item x="3"/>
        <item x="5"/>
        <item x="4"/>
        <item t="default"/>
      </items>
    </pivotField>
    <pivotField showAll="0"/>
  </pivotFields>
  <rowFields count="1">
    <field x="14"/>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Total Revenue" fld="8" baseField="0" baseItem="0" numFmtId="165"/>
    <dataField name="Total Conversions" fld="6" baseField="0" baseItem="0"/>
    <dataField name="Total Ad Spend" fld="7" baseField="0" baseItem="0" numFmtId="165"/>
  </dataFields>
  <formats count="4">
    <format dxfId="197">
      <pivotArea outline="0" collapsedLevelsAreSubtotals="1" fieldPosition="0">
        <references count="1">
          <reference field="4294967294" count="1" selected="0">
            <x v="0"/>
          </reference>
        </references>
      </pivotArea>
    </format>
    <format dxfId="198">
      <pivotArea dataOnly="0" labelOnly="1" outline="0" fieldPosition="0">
        <references count="1">
          <reference field="4294967294" count="1">
            <x v="0"/>
          </reference>
        </references>
      </pivotArea>
    </format>
    <format dxfId="199">
      <pivotArea outline="0" collapsedLevelsAreSubtotals="1" fieldPosition="0">
        <references count="1">
          <reference field="4294967294" count="1" selected="0">
            <x v="2"/>
          </reference>
        </references>
      </pivotArea>
    </format>
    <format dxfId="200">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8AA4A51-4E03-4A1D-BE9D-04F19DB8CB8D}" name="PivotTable3"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3:J12" firstHeaderRow="0" firstDataRow="1" firstDataCol="1"/>
  <pivotFields count="16">
    <pivotField showAll="0"/>
    <pivotField axis="axisRow" showAll="0">
      <items count="9">
        <item x="7"/>
        <item x="6"/>
        <item x="3"/>
        <item x="0"/>
        <item x="1"/>
        <item x="5"/>
        <item x="2"/>
        <item x="4"/>
        <item t="default"/>
      </items>
    </pivotField>
    <pivotField showAll="0">
      <items count="6">
        <item x="1"/>
        <item x="2"/>
        <item x="0"/>
        <item x="4"/>
        <item x="3"/>
        <item t="default"/>
      </items>
    </pivotField>
    <pivotField numFmtId="14" showAll="0"/>
    <pivotField showAll="0"/>
    <pivotField showAll="0"/>
    <pivotField dataField="1" showAll="0"/>
    <pivotField dataField="1" numFmtId="165" showAll="0"/>
    <pivotField dataField="1" numFmtId="165" showAll="0"/>
    <pivotField numFmtId="10" showAll="0"/>
    <pivotField numFmtId="10" showAll="0"/>
    <pivotField numFmtId="165" showAll="0"/>
    <pivotField dataField="1" numFmtId="2" showAll="0"/>
    <pivotField showAll="0"/>
    <pivotField showAll="0">
      <items count="13">
        <item x="0"/>
        <item x="9"/>
        <item x="6"/>
        <item x="7"/>
        <item x="8"/>
        <item x="2"/>
        <item x="10"/>
        <item x="1"/>
        <item x="11"/>
        <item x="3"/>
        <item x="5"/>
        <item x="4"/>
        <item t="default"/>
      </items>
    </pivotField>
    <pivotField showAll="0"/>
  </pivotFields>
  <rowFields count="1">
    <field x="1"/>
  </rowFields>
  <rowItems count="9">
    <i>
      <x/>
    </i>
    <i>
      <x v="1"/>
    </i>
    <i>
      <x v="2"/>
    </i>
    <i>
      <x v="3"/>
    </i>
    <i>
      <x v="4"/>
    </i>
    <i>
      <x v="5"/>
    </i>
    <i>
      <x v="6"/>
    </i>
    <i>
      <x v="7"/>
    </i>
    <i t="grand">
      <x/>
    </i>
  </rowItems>
  <colFields count="1">
    <field x="-2"/>
  </colFields>
  <colItems count="4">
    <i>
      <x/>
    </i>
    <i i="1">
      <x v="1"/>
    </i>
    <i i="2">
      <x v="2"/>
    </i>
    <i i="3">
      <x v="3"/>
    </i>
  </colItems>
  <dataFields count="4">
    <dataField name="Total Revenue" fld="8" baseField="0" baseItem="0" numFmtId="165"/>
    <dataField name="Total Conversions" fld="6" baseField="0" baseItem="0"/>
    <dataField name="Total Ad Spend" fld="7" baseField="0" baseItem="0" numFmtId="165"/>
    <dataField name="Average of ROAS" fld="12" subtotal="average" baseField="0" baseItem="0"/>
  </dataFields>
  <formats count="6">
    <format dxfId="206">
      <pivotArea outline="0" collapsedLevelsAreSubtotals="1" fieldPosition="0">
        <references count="1">
          <reference field="4294967294" count="1" selected="0">
            <x v="0"/>
          </reference>
        </references>
      </pivotArea>
    </format>
    <format dxfId="205">
      <pivotArea dataOnly="0" labelOnly="1" outline="0" fieldPosition="0">
        <references count="1">
          <reference field="4294967294" count="1">
            <x v="0"/>
          </reference>
        </references>
      </pivotArea>
    </format>
    <format dxfId="204">
      <pivotArea outline="0" collapsedLevelsAreSubtotals="1" fieldPosition="0">
        <references count="1">
          <reference field="4294967294" count="1" selected="0">
            <x v="2"/>
          </reference>
        </references>
      </pivotArea>
    </format>
    <format dxfId="203">
      <pivotArea dataOnly="0" labelOnly="1" outline="0" fieldPosition="0">
        <references count="1">
          <reference field="4294967294" count="1">
            <x v="2"/>
          </reference>
        </references>
      </pivotArea>
    </format>
    <format dxfId="202">
      <pivotArea outline="0" collapsedLevelsAreSubtotals="1" fieldPosition="0">
        <references count="1">
          <reference field="4294967294" count="1" selected="0">
            <x v="3"/>
          </reference>
        </references>
      </pivotArea>
    </format>
    <format dxfId="201">
      <pivotArea dataOnly="0" labelOnly="1"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E5BD015-CB43-496C-9C9A-E1D87AF781B3}" name="PivotTable1"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0">
  <location ref="A3:D9" firstHeaderRow="0" firstDataRow="1" firstDataCol="1"/>
  <pivotFields count="16">
    <pivotField showAll="0"/>
    <pivotField showAll="0">
      <items count="9">
        <item x="7"/>
        <item x="6"/>
        <item x="3"/>
        <item x="0"/>
        <item x="1"/>
        <item x="5"/>
        <item x="2"/>
        <item x="4"/>
        <item t="default"/>
      </items>
    </pivotField>
    <pivotField axis="axisRow" showAll="0">
      <items count="6">
        <item x="1"/>
        <item x="2"/>
        <item x="0"/>
        <item x="4"/>
        <item x="3"/>
        <item t="default"/>
      </items>
    </pivotField>
    <pivotField numFmtId="14" showAll="0"/>
    <pivotField showAll="0"/>
    <pivotField showAll="0"/>
    <pivotField dataField="1" showAll="0"/>
    <pivotField dataField="1" numFmtId="165" showAll="0"/>
    <pivotField dataField="1" numFmtId="165" showAll="0"/>
    <pivotField numFmtId="10" showAll="0"/>
    <pivotField numFmtId="10" showAll="0"/>
    <pivotField numFmtId="165" showAll="0"/>
    <pivotField numFmtId="2" showAll="0"/>
    <pivotField showAll="0"/>
    <pivotField showAll="0">
      <items count="13">
        <item x="0"/>
        <item x="9"/>
        <item x="6"/>
        <item x="7"/>
        <item x="8"/>
        <item x="2"/>
        <item x="10"/>
        <item x="1"/>
        <item x="11"/>
        <item x="3"/>
        <item x="5"/>
        <item x="4"/>
        <item t="default"/>
      </items>
    </pivotField>
    <pivotField showAll="0"/>
  </pivotFields>
  <rowFields count="1">
    <field x="2"/>
  </rowFields>
  <rowItems count="6">
    <i>
      <x/>
    </i>
    <i>
      <x v="1"/>
    </i>
    <i>
      <x v="2"/>
    </i>
    <i>
      <x v="3"/>
    </i>
    <i>
      <x v="4"/>
    </i>
    <i t="grand">
      <x/>
    </i>
  </rowItems>
  <colFields count="1">
    <field x="-2"/>
  </colFields>
  <colItems count="3">
    <i>
      <x/>
    </i>
    <i i="1">
      <x v="1"/>
    </i>
    <i i="2">
      <x v="2"/>
    </i>
  </colItems>
  <dataFields count="3">
    <dataField name="Total Revenue" fld="8" baseField="0" baseItem="0" numFmtId="165"/>
    <dataField name="Total Conversions" fld="6" baseField="0" baseItem="0"/>
    <dataField name="Total Ad Spend" fld="7" baseField="0" baseItem="0" numFmtId="165"/>
  </dataFields>
  <formats count="4">
    <format dxfId="193">
      <pivotArea outline="0" collapsedLevelsAreSubtotals="1" fieldPosition="0">
        <references count="1">
          <reference field="4294967294" count="1" selected="0">
            <x v="0"/>
          </reference>
        </references>
      </pivotArea>
    </format>
    <format dxfId="194">
      <pivotArea dataOnly="0" labelOnly="1" outline="0" fieldPosition="0">
        <references count="1">
          <reference field="4294967294" count="1">
            <x v="0"/>
          </reference>
        </references>
      </pivotArea>
    </format>
    <format dxfId="195">
      <pivotArea outline="0" collapsedLevelsAreSubtotals="1" fieldPosition="0">
        <references count="1">
          <reference field="4294967294" count="1" selected="0">
            <x v="2"/>
          </reference>
        </references>
      </pivotArea>
    </format>
    <format dxfId="196">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B36B752-4E02-4DD4-A410-8BD2527B7963}" sourceName="Month">
  <pivotTables>
    <pivotTable tabId="3" name="PivotTable9"/>
    <pivotTable tabId="3" name="PivotTable1"/>
    <pivotTable tabId="3" name="PivotTable3"/>
    <pivotTable tabId="3" name="PivotTable4"/>
    <pivotTable tabId="3" name="PivotTable5"/>
    <pivotTable tabId="3" name="PivotTable6"/>
    <pivotTable tabId="3" name="PivotTable7"/>
    <pivotTable tabId="3" name="PivotTable8"/>
  </pivotTables>
  <data>
    <tabular pivotCacheId="1692106060">
      <items count="12">
        <i x="0" s="1"/>
        <i x="9" s="1"/>
        <i x="6" s="1"/>
        <i x="7" s="1"/>
        <i x="8" s="1"/>
        <i x="2" s="1"/>
        <i x="10" s="1"/>
        <i x="1" s="1"/>
        <i x="11" s="1"/>
        <i x="3" s="1"/>
        <i x="5"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8F375000-9B81-4574-A8B7-D73F77F7847A}" sourceName="Platform">
  <pivotTables>
    <pivotTable tabId="3" name="PivotTable9"/>
    <pivotTable tabId="3" name="PivotTable1"/>
    <pivotTable tabId="3" name="PivotTable3"/>
    <pivotTable tabId="3" name="PivotTable4"/>
    <pivotTable tabId="3" name="PivotTable5"/>
    <pivotTable tabId="3" name="PivotTable6"/>
    <pivotTable tabId="3" name="PivotTable7"/>
    <pivotTable tabId="3" name="PivotTable8"/>
  </pivotTables>
  <data>
    <tabular pivotCacheId="1692106060">
      <items count="5">
        <i x="1" s="1"/>
        <i x="2" s="1"/>
        <i x="0"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Name" xr10:uid="{FC1DE052-0AD7-46EE-9C21-ED69C1242E97}" sourceName="Campaign_Name">
  <pivotTables>
    <pivotTable tabId="3" name="PivotTable9"/>
    <pivotTable tabId="3" name="PivotTable1"/>
    <pivotTable tabId="3" name="PivotTable3"/>
    <pivotTable tabId="3" name="PivotTable4"/>
    <pivotTable tabId="3" name="PivotTable5"/>
    <pivotTable tabId="3" name="PivotTable6"/>
    <pivotTable tabId="3" name="PivotTable7"/>
    <pivotTable tabId="3" name="PivotTable8"/>
  </pivotTables>
  <data>
    <tabular pivotCacheId="1692106060">
      <items count="8">
        <i x="7" s="1"/>
        <i x="6" s="1"/>
        <i x="3" s="1"/>
        <i x="0" s="1"/>
        <i x="1" s="1"/>
        <i x="5"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F97BD67F-9115-48A1-A3AE-D48A866E4EAC}" cache="Slicer_Month" caption="Month" startItem="4" rowHeight="241300"/>
  <slicer name="Platform" xr10:uid="{D268D1FA-3421-4330-9BEC-AE0F470393C1}" cache="Slicer_Platform" caption="Platform" rowHeight="241300"/>
  <slicer name="Campaign_Name" xr10:uid="{4FAC0402-28AE-4A4E-92E7-E7DC5816922C}" cache="Slicer_Campaign_Name" caption="Campaign_Nam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P2001" totalsRowShown="0">
  <autoFilter ref="A1:P2001" xr:uid="{00000000-0009-0000-0100-000001000000}"/>
  <tableColumns count="16">
    <tableColumn id="1" xr3:uid="{00000000-0010-0000-0000-000001000000}" name="Campaign_ID"/>
    <tableColumn id="2" xr3:uid="{00000000-0010-0000-0000-000002000000}" name="Campaign_Name"/>
    <tableColumn id="3" xr3:uid="{00000000-0010-0000-0000-000003000000}" name="Platform"/>
    <tableColumn id="4" xr3:uid="{00000000-0010-0000-0000-000004000000}" name="Date" dataDxfId="216"/>
    <tableColumn id="5" xr3:uid="{00000000-0010-0000-0000-000005000000}" name="Impressions"/>
    <tableColumn id="6" xr3:uid="{00000000-0010-0000-0000-000006000000}" name="Clicks"/>
    <tableColumn id="7" xr3:uid="{00000000-0010-0000-0000-000007000000}" name="Conversions"/>
    <tableColumn id="8" xr3:uid="{00000000-0010-0000-0000-000008000000}" name="Ad Spend" dataDxfId="215"/>
    <tableColumn id="9" xr3:uid="{00000000-0010-0000-0000-000009000000}" name="Revenue" dataDxfId="214"/>
    <tableColumn id="10" xr3:uid="{00000000-0010-0000-0000-00000A000000}" name="CTR" dataDxfId="213">
      <calculatedColumnFormula>Table1[[#This Row],[Clicks]]/Table1[[#This Row],[Impressions]]</calculatedColumnFormula>
    </tableColumn>
    <tableColumn id="11" xr3:uid="{00000000-0010-0000-0000-00000B000000}" name="Conversion_Rate" dataDxfId="212">
      <calculatedColumnFormula>IFERROR(Table1[[#This Row],[Conversions]]/Table1[[#This Row],[Clicks]],0)</calculatedColumnFormula>
    </tableColumn>
    <tableColumn id="12" xr3:uid="{00000000-0010-0000-0000-00000C000000}" name="CPA" dataDxfId="211" dataCellStyle="Currency">
      <calculatedColumnFormula>IF(Table1[[#This Row],[Conversions]]=0,0,Table1[[#This Row],[Ad Spend]]/Table1[[#This Row],[Conversions]])</calculatedColumnFormula>
    </tableColumn>
    <tableColumn id="13" xr3:uid="{00000000-0010-0000-0000-00000D000000}" name="ROAS" dataDxfId="210">
      <calculatedColumnFormula>IF(Table1[[#This Row],[Ad Spend]]=0,0,Table1[[#This Row],[Revenue]]/Table1[[#This Row],[Ad Spend]])</calculatedColumnFormula>
    </tableColumn>
    <tableColumn id="14" xr3:uid="{3D6687C1-DB57-4958-9176-F1FE4E3EE061}" name="Year" dataDxfId="209">
      <calculatedColumnFormula>YEAR(Table1[[#This Row],[Date]])</calculatedColumnFormula>
    </tableColumn>
    <tableColumn id="15" xr3:uid="{A114FAC3-AC4E-4D87-9147-14FB9EFAD78C}" name="Month" dataDxfId="208">
      <calculatedColumnFormula>TEXT(Table1[[#This Row],[Date]],"mmm")</calculatedColumnFormula>
    </tableColumn>
    <tableColumn id="16" xr3:uid="{EC760ACD-FD17-4621-B15F-3EA46EC85CAC}" name="Month_Number" dataDxfId="207">
      <calculatedColumnFormula>MONTH(Table1[[#This Row],[Date]])</calculatedColumnFormula>
    </tableColumn>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001"/>
  <sheetViews>
    <sheetView showGridLines="0" topLeftCell="E1" zoomScaleNormal="100" workbookViewId="0">
      <pane ySplit="1" topLeftCell="A9" activePane="bottomLeft" state="frozen"/>
      <selection activeCell="C1" sqref="C1"/>
      <selection pane="bottomLeft" activeCell="R24" sqref="R24"/>
    </sheetView>
  </sheetViews>
  <sheetFormatPr defaultRowHeight="15" x14ac:dyDescent="0.25"/>
  <cols>
    <col min="1" max="1" width="12.5703125" customWidth="1"/>
    <col min="2" max="2" width="20.5703125" customWidth="1"/>
    <col min="3" max="3" width="15" customWidth="1"/>
    <col min="4" max="4" width="10.7109375" bestFit="1" customWidth="1"/>
    <col min="5" max="5" width="11.7109375" customWidth="1"/>
    <col min="6" max="6" width="7.42578125" customWidth="1"/>
    <col min="7" max="7" width="11" customWidth="1"/>
    <col min="8" max="8" width="10.85546875" style="4" customWidth="1"/>
    <col min="9" max="9" width="12" style="4" customWidth="1"/>
    <col min="10" max="10" width="6.5703125" style="7" bestFit="1" customWidth="1"/>
    <col min="11" max="11" width="15.85546875" style="7" customWidth="1"/>
    <col min="12" max="12" width="8.5703125" style="6" customWidth="1"/>
    <col min="13" max="13" width="7.85546875" style="8" customWidth="1"/>
    <col min="14" max="15" width="6.85546875" customWidth="1"/>
    <col min="16" max="16" width="14.85546875" customWidth="1"/>
  </cols>
  <sheetData>
    <row r="1" spans="1:16" x14ac:dyDescent="0.25">
      <c r="A1" t="s">
        <v>0</v>
      </c>
      <c r="B1" t="s">
        <v>1</v>
      </c>
      <c r="C1" t="s">
        <v>2</v>
      </c>
      <c r="D1" s="1" t="s">
        <v>3</v>
      </c>
      <c r="E1" t="s">
        <v>4</v>
      </c>
      <c r="F1" t="s">
        <v>5</v>
      </c>
      <c r="G1" t="s">
        <v>6</v>
      </c>
      <c r="H1" s="4" t="s">
        <v>2025</v>
      </c>
      <c r="I1" s="4" t="s">
        <v>7</v>
      </c>
      <c r="J1" s="2" t="s">
        <v>2021</v>
      </c>
      <c r="K1" s="2" t="s">
        <v>2022</v>
      </c>
      <c r="L1" s="5" t="s">
        <v>2023</v>
      </c>
      <c r="M1" s="3" t="s">
        <v>2024</v>
      </c>
      <c r="N1" s="9" t="s">
        <v>2026</v>
      </c>
      <c r="O1" s="9" t="s">
        <v>2027</v>
      </c>
      <c r="P1" s="9" t="s">
        <v>2028</v>
      </c>
    </row>
    <row r="2" spans="1:16" x14ac:dyDescent="0.25">
      <c r="A2" t="s">
        <v>8</v>
      </c>
      <c r="B2" t="s">
        <v>9</v>
      </c>
      <c r="C2" t="s">
        <v>10</v>
      </c>
      <c r="D2" s="1">
        <v>45671</v>
      </c>
      <c r="E2">
        <v>77097</v>
      </c>
      <c r="F2">
        <v>2092</v>
      </c>
      <c r="G2">
        <v>79</v>
      </c>
      <c r="H2" s="4">
        <v>691.98</v>
      </c>
      <c r="I2" s="4">
        <v>7431.28</v>
      </c>
      <c r="J2" s="7">
        <f>Table1[[#This Row],[Clicks]]/Table1[[#This Row],[Impressions]]</f>
        <v>2.713464855960673E-2</v>
      </c>
      <c r="K2" s="7">
        <f>IFERROR(Table1[[#This Row],[Conversions]]/Table1[[#This Row],[Clicks]],0)</f>
        <v>3.7762906309751432E-2</v>
      </c>
      <c r="L2" s="6">
        <f>IF(Table1[[#This Row],[Conversions]]=0,0,Table1[[#This Row],[Ad Spend]]/Table1[[#This Row],[Conversions]])</f>
        <v>8.7592405063291139</v>
      </c>
      <c r="M2" s="8">
        <f>IF(Table1[[#This Row],[Ad Spend]]=0,0,Table1[[#This Row],[Revenue]]/Table1[[#This Row],[Ad Spend]])</f>
        <v>10.739154310818231</v>
      </c>
      <c r="N2">
        <f>YEAR(Table1[[#This Row],[Date]])</f>
        <v>2025</v>
      </c>
      <c r="O2" t="str">
        <f>TEXT(Table1[[#This Row],[Date]],"mmm")</f>
        <v>Jan</v>
      </c>
      <c r="P2">
        <f>MONTH(Table1[[#This Row],[Date]])</f>
        <v>1</v>
      </c>
    </row>
    <row r="3" spans="1:16" x14ac:dyDescent="0.25">
      <c r="A3" t="s">
        <v>11</v>
      </c>
      <c r="B3" t="s">
        <v>9</v>
      </c>
      <c r="C3" t="s">
        <v>12</v>
      </c>
      <c r="D3" s="1">
        <v>45508</v>
      </c>
      <c r="E3">
        <v>13331</v>
      </c>
      <c r="F3">
        <v>161</v>
      </c>
      <c r="G3">
        <v>7</v>
      </c>
      <c r="H3" s="4">
        <v>2625.71</v>
      </c>
      <c r="I3" s="4">
        <v>158.58000000000001</v>
      </c>
      <c r="J3" s="7">
        <f>Table1[[#This Row],[Clicks]]/Table1[[#This Row],[Impressions]]</f>
        <v>1.20771134948616E-2</v>
      </c>
      <c r="K3" s="7">
        <f>IFERROR(Table1[[#This Row],[Conversions]]/Table1[[#This Row],[Clicks]],0)</f>
        <v>4.3478260869565216E-2</v>
      </c>
      <c r="L3" s="6">
        <f>IF(Table1[[#This Row],[Conversions]]=0,0,Table1[[#This Row],[Ad Spend]]/Table1[[#This Row],[Conversions]])</f>
        <v>375.10142857142858</v>
      </c>
      <c r="M3" s="8">
        <f>IF(Table1[[#This Row],[Ad Spend]]=0,0,Table1[[#This Row],[Revenue]]/Table1[[#This Row],[Ad Spend]])</f>
        <v>6.0395093136713505E-2</v>
      </c>
      <c r="N3">
        <f>YEAR(Table1[[#This Row],[Date]])</f>
        <v>2024</v>
      </c>
      <c r="O3" t="str">
        <f>TEXT(Table1[[#This Row],[Date]],"mmm")</f>
        <v>Aug</v>
      </c>
      <c r="P3">
        <f>MONTH(Table1[[#This Row],[Date]])</f>
        <v>8</v>
      </c>
    </row>
    <row r="4" spans="1:16" x14ac:dyDescent="0.25">
      <c r="A4" t="s">
        <v>13</v>
      </c>
      <c r="B4" t="s">
        <v>14</v>
      </c>
      <c r="C4" t="s">
        <v>12</v>
      </c>
      <c r="D4" s="1">
        <v>45506</v>
      </c>
      <c r="E4">
        <v>62787</v>
      </c>
      <c r="F4">
        <v>2602</v>
      </c>
      <c r="G4">
        <v>146</v>
      </c>
      <c r="H4" s="4">
        <v>4372.6400000000003</v>
      </c>
      <c r="I4" s="4">
        <v>13998.59</v>
      </c>
      <c r="J4" s="7">
        <f>Table1[[#This Row],[Clicks]]/Table1[[#This Row],[Impressions]]</f>
        <v>4.1441699714909137E-2</v>
      </c>
      <c r="K4" s="7">
        <f>IFERROR(Table1[[#This Row],[Conversions]]/Table1[[#This Row],[Clicks]],0)</f>
        <v>5.6110684089162186E-2</v>
      </c>
      <c r="L4" s="6">
        <f>IF(Table1[[#This Row],[Conversions]]=0,0,Table1[[#This Row],[Ad Spend]]/Table1[[#This Row],[Conversions]])</f>
        <v>29.949589041095894</v>
      </c>
      <c r="M4" s="8">
        <f>IF(Table1[[#This Row],[Ad Spend]]=0,0,Table1[[#This Row],[Revenue]]/Table1[[#This Row],[Ad Spend]])</f>
        <v>3.2014046434190786</v>
      </c>
      <c r="N4">
        <f>YEAR(Table1[[#This Row],[Date]])</f>
        <v>2024</v>
      </c>
      <c r="O4" t="str">
        <f>TEXT(Table1[[#This Row],[Date]],"mmm")</f>
        <v>Aug</v>
      </c>
      <c r="P4">
        <f>MONTH(Table1[[#This Row],[Date]])</f>
        <v>8</v>
      </c>
    </row>
    <row r="5" spans="1:16" x14ac:dyDescent="0.25">
      <c r="A5" t="s">
        <v>15</v>
      </c>
      <c r="B5" t="s">
        <v>16</v>
      </c>
      <c r="C5" t="s">
        <v>17</v>
      </c>
      <c r="D5" s="1">
        <v>45466</v>
      </c>
      <c r="E5">
        <v>77842</v>
      </c>
      <c r="F5">
        <v>1625</v>
      </c>
      <c r="G5">
        <v>234</v>
      </c>
      <c r="H5" s="4">
        <v>1815.65</v>
      </c>
      <c r="I5" s="4">
        <v>6850.25</v>
      </c>
      <c r="J5" s="7">
        <f>Table1[[#This Row],[Clicks]]/Table1[[#This Row],[Impressions]]</f>
        <v>2.0875619845327716E-2</v>
      </c>
      <c r="K5" s="7">
        <f>IFERROR(Table1[[#This Row],[Conversions]]/Table1[[#This Row],[Clicks]],0)</f>
        <v>0.14399999999999999</v>
      </c>
      <c r="L5" s="6">
        <f>IF(Table1[[#This Row],[Conversions]]=0,0,Table1[[#This Row],[Ad Spend]]/Table1[[#This Row],[Conversions]])</f>
        <v>7.7591880341880346</v>
      </c>
      <c r="M5" s="8">
        <f>IF(Table1[[#This Row],[Ad Spend]]=0,0,Table1[[#This Row],[Revenue]]/Table1[[#This Row],[Ad Spend]])</f>
        <v>3.7728912510671107</v>
      </c>
      <c r="N5">
        <f>YEAR(Table1[[#This Row],[Date]])</f>
        <v>2024</v>
      </c>
      <c r="O5" t="str">
        <f>TEXT(Table1[[#This Row],[Date]],"mmm")</f>
        <v>Jun</v>
      </c>
      <c r="P5">
        <f>MONTH(Table1[[#This Row],[Date]])</f>
        <v>6</v>
      </c>
    </row>
    <row r="6" spans="1:16" x14ac:dyDescent="0.25">
      <c r="A6" t="s">
        <v>18</v>
      </c>
      <c r="B6" t="s">
        <v>9</v>
      </c>
      <c r="C6" t="s">
        <v>19</v>
      </c>
      <c r="D6" s="1">
        <v>45468</v>
      </c>
      <c r="E6">
        <v>74342</v>
      </c>
      <c r="F6">
        <v>4943</v>
      </c>
      <c r="G6">
        <v>567</v>
      </c>
      <c r="H6" s="4">
        <v>2773.89</v>
      </c>
      <c r="I6" s="4">
        <v>66515.66</v>
      </c>
      <c r="J6" s="7">
        <f>Table1[[#This Row],[Clicks]]/Table1[[#This Row],[Impressions]]</f>
        <v>6.6490005649565517E-2</v>
      </c>
      <c r="K6" s="7">
        <f>IFERROR(Table1[[#This Row],[Conversions]]/Table1[[#This Row],[Clicks]],0)</f>
        <v>0.11470766740845641</v>
      </c>
      <c r="L6" s="6">
        <f>IF(Table1[[#This Row],[Conversions]]=0,0,Table1[[#This Row],[Ad Spend]]/Table1[[#This Row],[Conversions]])</f>
        <v>4.8922222222222222</v>
      </c>
      <c r="M6" s="8">
        <f>IF(Table1[[#This Row],[Ad Spend]]=0,0,Table1[[#This Row],[Revenue]]/Table1[[#This Row],[Ad Spend]])</f>
        <v>23.979198886761914</v>
      </c>
      <c r="N6">
        <f>YEAR(Table1[[#This Row],[Date]])</f>
        <v>2024</v>
      </c>
      <c r="O6" t="str">
        <f>TEXT(Table1[[#This Row],[Date]],"mmm")</f>
        <v>Jun</v>
      </c>
      <c r="P6">
        <f>MONTH(Table1[[#This Row],[Date]])</f>
        <v>6</v>
      </c>
    </row>
    <row r="7" spans="1:16" x14ac:dyDescent="0.25">
      <c r="A7" t="s">
        <v>20</v>
      </c>
      <c r="B7" t="s">
        <v>21</v>
      </c>
      <c r="C7" t="s">
        <v>10</v>
      </c>
      <c r="D7" s="1">
        <v>45574</v>
      </c>
      <c r="E7">
        <v>81854</v>
      </c>
      <c r="F7">
        <v>5570</v>
      </c>
      <c r="G7">
        <v>559</v>
      </c>
      <c r="H7" s="4">
        <v>4336.1899999999996</v>
      </c>
      <c r="I7" s="4">
        <v>43453.98</v>
      </c>
      <c r="J7" s="7">
        <f>Table1[[#This Row],[Clicks]]/Table1[[#This Row],[Impressions]]</f>
        <v>6.8047987880861041E-2</v>
      </c>
      <c r="K7" s="7">
        <f>IFERROR(Table1[[#This Row],[Conversions]]/Table1[[#This Row],[Clicks]],0)</f>
        <v>0.10035906642728905</v>
      </c>
      <c r="L7" s="6">
        <f>IF(Table1[[#This Row],[Conversions]]=0,0,Table1[[#This Row],[Ad Spend]]/Table1[[#This Row],[Conversions]])</f>
        <v>7.7570483005366722</v>
      </c>
      <c r="M7" s="8">
        <f>IF(Table1[[#This Row],[Ad Spend]]=0,0,Table1[[#This Row],[Revenue]]/Table1[[#This Row],[Ad Spend]])</f>
        <v>10.021235231851005</v>
      </c>
      <c r="N7">
        <f>YEAR(Table1[[#This Row],[Date]])</f>
        <v>2024</v>
      </c>
      <c r="O7" t="str">
        <f>TEXT(Table1[[#This Row],[Date]],"mmm")</f>
        <v>Oct</v>
      </c>
      <c r="P7">
        <f>MONTH(Table1[[#This Row],[Date]])</f>
        <v>10</v>
      </c>
    </row>
    <row r="8" spans="1:16" x14ac:dyDescent="0.25">
      <c r="A8" t="s">
        <v>22</v>
      </c>
      <c r="B8" t="s">
        <v>9</v>
      </c>
      <c r="C8" t="s">
        <v>10</v>
      </c>
      <c r="D8" s="1">
        <v>45630</v>
      </c>
      <c r="E8">
        <v>64742</v>
      </c>
      <c r="F8">
        <v>4150</v>
      </c>
      <c r="G8">
        <v>614</v>
      </c>
      <c r="H8" s="4">
        <v>4305.53</v>
      </c>
      <c r="I8" s="4">
        <v>65482.1</v>
      </c>
      <c r="J8" s="7">
        <f>Table1[[#This Row],[Clicks]]/Table1[[#This Row],[Impressions]]</f>
        <v>6.4100583855920421E-2</v>
      </c>
      <c r="K8" s="7">
        <f>IFERROR(Table1[[#This Row],[Conversions]]/Table1[[#This Row],[Clicks]],0)</f>
        <v>0.14795180722891565</v>
      </c>
      <c r="L8" s="6">
        <f>IF(Table1[[#This Row],[Conversions]]=0,0,Table1[[#This Row],[Ad Spend]]/Table1[[#This Row],[Conversions]])</f>
        <v>7.0122638436482081</v>
      </c>
      <c r="M8" s="8">
        <f>IF(Table1[[#This Row],[Ad Spend]]=0,0,Table1[[#This Row],[Revenue]]/Table1[[#This Row],[Ad Spend]])</f>
        <v>15.208836078252853</v>
      </c>
      <c r="N8">
        <f>YEAR(Table1[[#This Row],[Date]])</f>
        <v>2024</v>
      </c>
      <c r="O8" t="str">
        <f>TEXT(Table1[[#This Row],[Date]],"mmm")</f>
        <v>Dec</v>
      </c>
      <c r="P8">
        <f>MONTH(Table1[[#This Row],[Date]])</f>
        <v>12</v>
      </c>
    </row>
    <row r="9" spans="1:16" x14ac:dyDescent="0.25">
      <c r="A9" t="s">
        <v>23</v>
      </c>
      <c r="B9" t="s">
        <v>21</v>
      </c>
      <c r="C9" t="s">
        <v>19</v>
      </c>
      <c r="D9" s="1">
        <v>45524</v>
      </c>
      <c r="E9">
        <v>100638</v>
      </c>
      <c r="F9">
        <v>2152</v>
      </c>
      <c r="G9">
        <v>142</v>
      </c>
      <c r="H9" s="4">
        <v>3416.84</v>
      </c>
      <c r="I9" s="4">
        <v>12805.85</v>
      </c>
      <c r="J9" s="7">
        <f>Table1[[#This Row],[Clicks]]/Table1[[#This Row],[Impressions]]</f>
        <v>2.1383572805500906E-2</v>
      </c>
      <c r="K9" s="7">
        <f>IFERROR(Table1[[#This Row],[Conversions]]/Table1[[#This Row],[Clicks]],0)</f>
        <v>6.5985130111524168E-2</v>
      </c>
      <c r="L9" s="6">
        <f>IF(Table1[[#This Row],[Conversions]]=0,0,Table1[[#This Row],[Ad Spend]]/Table1[[#This Row],[Conversions]])</f>
        <v>24.062253521126763</v>
      </c>
      <c r="M9" s="8">
        <f>IF(Table1[[#This Row],[Ad Spend]]=0,0,Table1[[#This Row],[Revenue]]/Table1[[#This Row],[Ad Spend]])</f>
        <v>3.7478635230212709</v>
      </c>
      <c r="N9">
        <f>YEAR(Table1[[#This Row],[Date]])</f>
        <v>2024</v>
      </c>
      <c r="O9" t="str">
        <f>TEXT(Table1[[#This Row],[Date]],"mmm")</f>
        <v>Aug</v>
      </c>
      <c r="P9">
        <f>MONTH(Table1[[#This Row],[Date]])</f>
        <v>8</v>
      </c>
    </row>
    <row r="10" spans="1:16" x14ac:dyDescent="0.25">
      <c r="A10" t="s">
        <v>24</v>
      </c>
      <c r="B10" t="s">
        <v>9</v>
      </c>
      <c r="C10" t="s">
        <v>12</v>
      </c>
      <c r="D10" s="1">
        <v>45617</v>
      </c>
      <c r="E10">
        <v>49862</v>
      </c>
      <c r="F10">
        <v>2362</v>
      </c>
      <c r="G10">
        <v>122</v>
      </c>
      <c r="H10" s="4">
        <v>2418.85</v>
      </c>
      <c r="I10" s="4">
        <v>5733.36</v>
      </c>
      <c r="J10" s="7">
        <f>Table1[[#This Row],[Clicks]]/Table1[[#This Row],[Impressions]]</f>
        <v>4.737074325137379E-2</v>
      </c>
      <c r="K10" s="7">
        <f>IFERROR(Table1[[#This Row],[Conversions]]/Table1[[#This Row],[Clicks]],0)</f>
        <v>5.1651143099068583E-2</v>
      </c>
      <c r="L10" s="6">
        <f>IF(Table1[[#This Row],[Conversions]]=0,0,Table1[[#This Row],[Ad Spend]]/Table1[[#This Row],[Conversions]])</f>
        <v>19.826639344262293</v>
      </c>
      <c r="M10" s="8">
        <f>IF(Table1[[#This Row],[Ad Spend]]=0,0,Table1[[#This Row],[Revenue]]/Table1[[#This Row],[Ad Spend]])</f>
        <v>2.3702833991359529</v>
      </c>
      <c r="N10">
        <f>YEAR(Table1[[#This Row],[Date]])</f>
        <v>2024</v>
      </c>
      <c r="O10" t="str">
        <f>TEXT(Table1[[#This Row],[Date]],"mmm")</f>
        <v>Nov</v>
      </c>
      <c r="P10">
        <f>MONTH(Table1[[#This Row],[Date]])</f>
        <v>11</v>
      </c>
    </row>
    <row r="11" spans="1:16" x14ac:dyDescent="0.25">
      <c r="A11" t="s">
        <v>25</v>
      </c>
      <c r="B11" t="s">
        <v>14</v>
      </c>
      <c r="C11" t="s">
        <v>19</v>
      </c>
      <c r="D11" s="1">
        <v>45685</v>
      </c>
      <c r="E11">
        <v>19663</v>
      </c>
      <c r="F11">
        <v>511</v>
      </c>
      <c r="G11">
        <v>12</v>
      </c>
      <c r="H11" s="4">
        <v>1714.17</v>
      </c>
      <c r="I11" s="4">
        <v>561.29</v>
      </c>
      <c r="J11" s="7">
        <f>Table1[[#This Row],[Clicks]]/Table1[[#This Row],[Impressions]]</f>
        <v>2.5987896048415806E-2</v>
      </c>
      <c r="K11" s="7">
        <f>IFERROR(Table1[[#This Row],[Conversions]]/Table1[[#This Row],[Clicks]],0)</f>
        <v>2.3483365949119372E-2</v>
      </c>
      <c r="L11" s="6">
        <f>IF(Table1[[#This Row],[Conversions]]=0,0,Table1[[#This Row],[Ad Spend]]/Table1[[#This Row],[Conversions]])</f>
        <v>142.8475</v>
      </c>
      <c r="M11" s="8">
        <f>IF(Table1[[#This Row],[Ad Spend]]=0,0,Table1[[#This Row],[Revenue]]/Table1[[#This Row],[Ad Spend]])</f>
        <v>0.3274412689523209</v>
      </c>
      <c r="N11">
        <f>YEAR(Table1[[#This Row],[Date]])</f>
        <v>2025</v>
      </c>
      <c r="O11" t="str">
        <f>TEXT(Table1[[#This Row],[Date]],"mmm")</f>
        <v>Jan</v>
      </c>
      <c r="P11">
        <f>MONTH(Table1[[#This Row],[Date]])</f>
        <v>1</v>
      </c>
    </row>
    <row r="12" spans="1:16" x14ac:dyDescent="0.25">
      <c r="A12" t="s">
        <v>26</v>
      </c>
      <c r="B12" t="s">
        <v>14</v>
      </c>
      <c r="C12" t="s">
        <v>12</v>
      </c>
      <c r="D12" s="1">
        <v>45659</v>
      </c>
      <c r="E12">
        <v>87490</v>
      </c>
      <c r="F12">
        <v>2177</v>
      </c>
      <c r="G12">
        <v>184</v>
      </c>
      <c r="H12" s="4">
        <v>4446.4799999999996</v>
      </c>
      <c r="I12" s="4">
        <v>15508.47</v>
      </c>
      <c r="J12" s="7">
        <f>Table1[[#This Row],[Clicks]]/Table1[[#This Row],[Impressions]]</f>
        <v>2.4882843753571835E-2</v>
      </c>
      <c r="K12" s="7">
        <f>IFERROR(Table1[[#This Row],[Conversions]]/Table1[[#This Row],[Clicks]],0)</f>
        <v>8.4519981626090951E-2</v>
      </c>
      <c r="L12" s="6">
        <f>IF(Table1[[#This Row],[Conversions]]=0,0,Table1[[#This Row],[Ad Spend]]/Table1[[#This Row],[Conversions]])</f>
        <v>24.165652173913042</v>
      </c>
      <c r="M12" s="8">
        <f>IF(Table1[[#This Row],[Ad Spend]]=0,0,Table1[[#This Row],[Revenue]]/Table1[[#This Row],[Ad Spend]])</f>
        <v>3.4878083337831276</v>
      </c>
      <c r="N12">
        <f>YEAR(Table1[[#This Row],[Date]])</f>
        <v>2025</v>
      </c>
      <c r="O12" t="str">
        <f>TEXT(Table1[[#This Row],[Date]],"mmm")</f>
        <v>Jan</v>
      </c>
      <c r="P12">
        <f>MONTH(Table1[[#This Row],[Date]])</f>
        <v>1</v>
      </c>
    </row>
    <row r="13" spans="1:16" x14ac:dyDescent="0.25">
      <c r="A13" t="s">
        <v>27</v>
      </c>
      <c r="B13" t="s">
        <v>16</v>
      </c>
      <c r="C13" t="s">
        <v>19</v>
      </c>
      <c r="D13" s="1">
        <v>45363</v>
      </c>
      <c r="E13">
        <v>69651</v>
      </c>
      <c r="F13">
        <v>4328</v>
      </c>
      <c r="G13">
        <v>389</v>
      </c>
      <c r="H13" s="4">
        <v>3785.67</v>
      </c>
      <c r="I13" s="4">
        <v>24446.080000000002</v>
      </c>
      <c r="J13" s="7">
        <f>Table1[[#This Row],[Clicks]]/Table1[[#This Row],[Impressions]]</f>
        <v>6.213837561556905E-2</v>
      </c>
      <c r="K13" s="7">
        <f>IFERROR(Table1[[#This Row],[Conversions]]/Table1[[#This Row],[Clicks]],0)</f>
        <v>8.987985212569316E-2</v>
      </c>
      <c r="L13" s="6">
        <f>IF(Table1[[#This Row],[Conversions]]=0,0,Table1[[#This Row],[Ad Spend]]/Table1[[#This Row],[Conversions]])</f>
        <v>9.7317994858611829</v>
      </c>
      <c r="M13" s="8">
        <f>IF(Table1[[#This Row],[Ad Spend]]=0,0,Table1[[#This Row],[Revenue]]/Table1[[#This Row],[Ad Spend]])</f>
        <v>6.4575306352640354</v>
      </c>
      <c r="N13">
        <f>YEAR(Table1[[#This Row],[Date]])</f>
        <v>2024</v>
      </c>
      <c r="O13" t="str">
        <f>TEXT(Table1[[#This Row],[Date]],"mmm")</f>
        <v>Mar</v>
      </c>
      <c r="P13">
        <f>MONTH(Table1[[#This Row],[Date]])</f>
        <v>3</v>
      </c>
    </row>
    <row r="14" spans="1:16" x14ac:dyDescent="0.25">
      <c r="A14" t="s">
        <v>28</v>
      </c>
      <c r="B14" t="s">
        <v>21</v>
      </c>
      <c r="C14" t="s">
        <v>19</v>
      </c>
      <c r="D14" s="1">
        <v>45404</v>
      </c>
      <c r="E14">
        <v>41262</v>
      </c>
      <c r="F14">
        <v>1884</v>
      </c>
      <c r="G14">
        <v>59</v>
      </c>
      <c r="H14" s="4">
        <v>426.16</v>
      </c>
      <c r="I14" s="4">
        <v>1826.93</v>
      </c>
      <c r="J14" s="7">
        <f>Table1[[#This Row],[Clicks]]/Table1[[#This Row],[Impressions]]</f>
        <v>4.5659444525229027E-2</v>
      </c>
      <c r="K14" s="7">
        <f>IFERROR(Table1[[#This Row],[Conversions]]/Table1[[#This Row],[Clicks]],0)</f>
        <v>3.1316348195329087E-2</v>
      </c>
      <c r="L14" s="6">
        <f>IF(Table1[[#This Row],[Conversions]]=0,0,Table1[[#This Row],[Ad Spend]]/Table1[[#This Row],[Conversions]])</f>
        <v>7.2230508474576274</v>
      </c>
      <c r="M14" s="8">
        <f>IF(Table1[[#This Row],[Ad Spend]]=0,0,Table1[[#This Row],[Revenue]]/Table1[[#This Row],[Ad Spend]])</f>
        <v>4.2869579500657027</v>
      </c>
      <c r="N14">
        <f>YEAR(Table1[[#This Row],[Date]])</f>
        <v>2024</v>
      </c>
      <c r="O14" t="str">
        <f>TEXT(Table1[[#This Row],[Date]],"mmm")</f>
        <v>Apr</v>
      </c>
      <c r="P14">
        <f>MONTH(Table1[[#This Row],[Date]])</f>
        <v>4</v>
      </c>
    </row>
    <row r="15" spans="1:16" x14ac:dyDescent="0.25">
      <c r="A15" t="s">
        <v>29</v>
      </c>
      <c r="B15" t="s">
        <v>16</v>
      </c>
      <c r="C15" t="s">
        <v>17</v>
      </c>
      <c r="D15" s="1">
        <v>45597</v>
      </c>
      <c r="E15">
        <v>21653</v>
      </c>
      <c r="F15">
        <v>799</v>
      </c>
      <c r="G15">
        <v>77</v>
      </c>
      <c r="H15" s="4">
        <v>2446.64</v>
      </c>
      <c r="I15" s="4">
        <v>3475.89</v>
      </c>
      <c r="J15" s="7">
        <f>Table1[[#This Row],[Clicks]]/Table1[[#This Row],[Impressions]]</f>
        <v>3.6900198586800909E-2</v>
      </c>
      <c r="K15" s="7">
        <f>IFERROR(Table1[[#This Row],[Conversions]]/Table1[[#This Row],[Clicks]],0)</f>
        <v>9.6370463078848556E-2</v>
      </c>
      <c r="L15" s="6">
        <f>IF(Table1[[#This Row],[Conversions]]=0,0,Table1[[#This Row],[Ad Spend]]/Table1[[#This Row],[Conversions]])</f>
        <v>31.774545454545454</v>
      </c>
      <c r="M15" s="8">
        <f>IF(Table1[[#This Row],[Ad Spend]]=0,0,Table1[[#This Row],[Revenue]]/Table1[[#This Row],[Ad Spend]])</f>
        <v>1.4206789719778963</v>
      </c>
      <c r="N15">
        <f>YEAR(Table1[[#This Row],[Date]])</f>
        <v>2024</v>
      </c>
      <c r="O15" t="str">
        <f>TEXT(Table1[[#This Row],[Date]],"mmm")</f>
        <v>Nov</v>
      </c>
      <c r="P15">
        <f>MONTH(Table1[[#This Row],[Date]])</f>
        <v>11</v>
      </c>
    </row>
    <row r="16" spans="1:16" x14ac:dyDescent="0.25">
      <c r="A16" t="s">
        <v>30</v>
      </c>
      <c r="B16" t="s">
        <v>31</v>
      </c>
      <c r="C16" t="s">
        <v>10</v>
      </c>
      <c r="D16" s="1">
        <v>45641</v>
      </c>
      <c r="E16">
        <v>145763</v>
      </c>
      <c r="F16">
        <v>9119</v>
      </c>
      <c r="G16">
        <v>1093</v>
      </c>
      <c r="H16" s="4">
        <v>1832.84</v>
      </c>
      <c r="I16" s="4">
        <v>53939.56</v>
      </c>
      <c r="J16" s="7">
        <f>Table1[[#This Row],[Clicks]]/Table1[[#This Row],[Impressions]]</f>
        <v>6.2560457729327751E-2</v>
      </c>
      <c r="K16" s="7">
        <f>IFERROR(Table1[[#This Row],[Conversions]]/Table1[[#This Row],[Clicks]],0)</f>
        <v>0.11985963373176883</v>
      </c>
      <c r="L16" s="6">
        <f>IF(Table1[[#This Row],[Conversions]]=0,0,Table1[[#This Row],[Ad Spend]]/Table1[[#This Row],[Conversions]])</f>
        <v>1.6768892955169259</v>
      </c>
      <c r="M16" s="8">
        <f>IF(Table1[[#This Row],[Ad Spend]]=0,0,Table1[[#This Row],[Revenue]]/Table1[[#This Row],[Ad Spend]])</f>
        <v>29.429497392025489</v>
      </c>
      <c r="N16">
        <f>YEAR(Table1[[#This Row],[Date]])</f>
        <v>2024</v>
      </c>
      <c r="O16" t="str">
        <f>TEXT(Table1[[#This Row],[Date]],"mmm")</f>
        <v>Dec</v>
      </c>
      <c r="P16">
        <f>MONTH(Table1[[#This Row],[Date]])</f>
        <v>12</v>
      </c>
    </row>
    <row r="17" spans="1:18" x14ac:dyDescent="0.25">
      <c r="A17" t="s">
        <v>32</v>
      </c>
      <c r="B17" t="s">
        <v>16</v>
      </c>
      <c r="C17" t="s">
        <v>17</v>
      </c>
      <c r="D17" s="1">
        <v>45293</v>
      </c>
      <c r="E17">
        <v>74045</v>
      </c>
      <c r="F17">
        <v>5777</v>
      </c>
      <c r="G17">
        <v>687</v>
      </c>
      <c r="H17" s="4">
        <v>2636.87</v>
      </c>
      <c r="I17" s="4">
        <v>21050.42</v>
      </c>
      <c r="J17" s="7">
        <f>Table1[[#This Row],[Clicks]]/Table1[[#This Row],[Impressions]]</f>
        <v>7.8020122898237565E-2</v>
      </c>
      <c r="K17" s="7">
        <f>IFERROR(Table1[[#This Row],[Conversions]]/Table1[[#This Row],[Clicks]],0)</f>
        <v>0.11891985459581098</v>
      </c>
      <c r="L17" s="6">
        <f>IF(Table1[[#This Row],[Conversions]]=0,0,Table1[[#This Row],[Ad Spend]]/Table1[[#This Row],[Conversions]])</f>
        <v>3.8382387190684133</v>
      </c>
      <c r="M17" s="8">
        <f>IF(Table1[[#This Row],[Ad Spend]]=0,0,Table1[[#This Row],[Revenue]]/Table1[[#This Row],[Ad Spend]])</f>
        <v>7.983108761524079</v>
      </c>
      <c r="N17">
        <f>YEAR(Table1[[#This Row],[Date]])</f>
        <v>2024</v>
      </c>
      <c r="O17" t="str">
        <f>TEXT(Table1[[#This Row],[Date]],"mmm")</f>
        <v>Jan</v>
      </c>
      <c r="P17">
        <f>MONTH(Table1[[#This Row],[Date]])</f>
        <v>1</v>
      </c>
    </row>
    <row r="18" spans="1:18" x14ac:dyDescent="0.25">
      <c r="A18" t="s">
        <v>33</v>
      </c>
      <c r="B18" t="s">
        <v>34</v>
      </c>
      <c r="C18" t="s">
        <v>12</v>
      </c>
      <c r="D18" s="1">
        <v>45603</v>
      </c>
      <c r="E18">
        <v>57143</v>
      </c>
      <c r="F18">
        <v>1182</v>
      </c>
      <c r="G18">
        <v>140</v>
      </c>
      <c r="H18" s="4">
        <v>2789.02</v>
      </c>
      <c r="I18" s="4">
        <v>13700.77</v>
      </c>
      <c r="J18" s="7">
        <f>Table1[[#This Row],[Clicks]]/Table1[[#This Row],[Impressions]]</f>
        <v>2.068494828762928E-2</v>
      </c>
      <c r="K18" s="7">
        <f>IFERROR(Table1[[#This Row],[Conversions]]/Table1[[#This Row],[Clicks]],0)</f>
        <v>0.11844331641285956</v>
      </c>
      <c r="L18" s="6">
        <f>IF(Table1[[#This Row],[Conversions]]=0,0,Table1[[#This Row],[Ad Spend]]/Table1[[#This Row],[Conversions]])</f>
        <v>19.921571428571429</v>
      </c>
      <c r="M18" s="8">
        <f>IF(Table1[[#This Row],[Ad Spend]]=0,0,Table1[[#This Row],[Revenue]]/Table1[[#This Row],[Ad Spend]])</f>
        <v>4.9123957519128583</v>
      </c>
      <c r="N18">
        <f>YEAR(Table1[[#This Row],[Date]])</f>
        <v>2024</v>
      </c>
      <c r="O18" t="str">
        <f>TEXT(Table1[[#This Row],[Date]],"mmm")</f>
        <v>Nov</v>
      </c>
      <c r="P18">
        <f>MONTH(Table1[[#This Row],[Date]])</f>
        <v>11</v>
      </c>
    </row>
    <row r="19" spans="1:18" x14ac:dyDescent="0.25">
      <c r="A19" t="s">
        <v>35</v>
      </c>
      <c r="B19" t="s">
        <v>31</v>
      </c>
      <c r="C19" t="s">
        <v>12</v>
      </c>
      <c r="D19" s="1">
        <v>45457</v>
      </c>
      <c r="E19">
        <v>133085</v>
      </c>
      <c r="F19">
        <v>1512</v>
      </c>
      <c r="G19">
        <v>212</v>
      </c>
      <c r="H19" s="4">
        <v>4417.87</v>
      </c>
      <c r="I19" s="4">
        <v>21871.31</v>
      </c>
      <c r="J19" s="7">
        <f>Table1[[#This Row],[Clicks]]/Table1[[#This Row],[Impressions]]</f>
        <v>1.1361160160799489E-2</v>
      </c>
      <c r="K19" s="7">
        <f>IFERROR(Table1[[#This Row],[Conversions]]/Table1[[#This Row],[Clicks]],0)</f>
        <v>0.1402116402116402</v>
      </c>
      <c r="L19" s="6">
        <f>IF(Table1[[#This Row],[Conversions]]=0,0,Table1[[#This Row],[Ad Spend]]/Table1[[#This Row],[Conversions]])</f>
        <v>20.839009433962264</v>
      </c>
      <c r="M19" s="8">
        <f>IF(Table1[[#This Row],[Ad Spend]]=0,0,Table1[[#This Row],[Revenue]]/Table1[[#This Row],[Ad Spend]])</f>
        <v>4.9506458994945532</v>
      </c>
      <c r="N19">
        <f>YEAR(Table1[[#This Row],[Date]])</f>
        <v>2024</v>
      </c>
      <c r="O19" t="str">
        <f>TEXT(Table1[[#This Row],[Date]],"mmm")</f>
        <v>Jun</v>
      </c>
      <c r="P19">
        <f>MONTH(Table1[[#This Row],[Date]])</f>
        <v>6</v>
      </c>
    </row>
    <row r="20" spans="1:18" x14ac:dyDescent="0.25">
      <c r="A20" t="s">
        <v>36</v>
      </c>
      <c r="B20" t="s">
        <v>34</v>
      </c>
      <c r="C20" t="s">
        <v>37</v>
      </c>
      <c r="D20" s="1">
        <v>45321</v>
      </c>
      <c r="E20">
        <v>68143</v>
      </c>
      <c r="F20">
        <v>4869</v>
      </c>
      <c r="G20">
        <v>696</v>
      </c>
      <c r="H20" s="4">
        <v>611.14</v>
      </c>
      <c r="I20" s="4">
        <v>47744.94</v>
      </c>
      <c r="J20" s="7">
        <f>Table1[[#This Row],[Clicks]]/Table1[[#This Row],[Impressions]]</f>
        <v>7.1452680392703583E-2</v>
      </c>
      <c r="K20" s="7">
        <f>IFERROR(Table1[[#This Row],[Conversions]]/Table1[[#This Row],[Clicks]],0)</f>
        <v>0.14294516327788045</v>
      </c>
      <c r="L20" s="6">
        <f>IF(Table1[[#This Row],[Conversions]]=0,0,Table1[[#This Row],[Ad Spend]]/Table1[[#This Row],[Conversions]])</f>
        <v>0.87807471264367809</v>
      </c>
      <c r="M20" s="8">
        <f>IF(Table1[[#This Row],[Ad Spend]]=0,0,Table1[[#This Row],[Revenue]]/Table1[[#This Row],[Ad Spend]])</f>
        <v>78.12439048335898</v>
      </c>
      <c r="N20">
        <f>YEAR(Table1[[#This Row],[Date]])</f>
        <v>2024</v>
      </c>
      <c r="O20" t="str">
        <f>TEXT(Table1[[#This Row],[Date]],"mmm")</f>
        <v>Jan</v>
      </c>
      <c r="P20">
        <f>MONTH(Table1[[#This Row],[Date]])</f>
        <v>1</v>
      </c>
    </row>
    <row r="21" spans="1:18" x14ac:dyDescent="0.25">
      <c r="A21" t="s">
        <v>38</v>
      </c>
      <c r="B21" t="s">
        <v>9</v>
      </c>
      <c r="C21" t="s">
        <v>12</v>
      </c>
      <c r="D21" s="1">
        <v>45684</v>
      </c>
      <c r="E21">
        <v>37967</v>
      </c>
      <c r="F21">
        <v>720</v>
      </c>
      <c r="G21">
        <v>58</v>
      </c>
      <c r="H21" s="4">
        <v>2839.06</v>
      </c>
      <c r="I21" s="4">
        <v>2697.33</v>
      </c>
      <c r="J21" s="7">
        <f>Table1[[#This Row],[Clicks]]/Table1[[#This Row],[Impressions]]</f>
        <v>1.8963837016356309E-2</v>
      </c>
      <c r="K21" s="7">
        <f>IFERROR(Table1[[#This Row],[Conversions]]/Table1[[#This Row],[Clicks]],0)</f>
        <v>8.0555555555555561E-2</v>
      </c>
      <c r="L21" s="6">
        <f>IF(Table1[[#This Row],[Conversions]]=0,0,Table1[[#This Row],[Ad Spend]]/Table1[[#This Row],[Conversions]])</f>
        <v>48.949310344827587</v>
      </c>
      <c r="M21" s="8">
        <f>IF(Table1[[#This Row],[Ad Spend]]=0,0,Table1[[#This Row],[Revenue]]/Table1[[#This Row],[Ad Spend]])</f>
        <v>0.95007854712475259</v>
      </c>
      <c r="N21">
        <f>YEAR(Table1[[#This Row],[Date]])</f>
        <v>2025</v>
      </c>
      <c r="O21" t="str">
        <f>TEXT(Table1[[#This Row],[Date]],"mmm")</f>
        <v>Jan</v>
      </c>
      <c r="P21">
        <f>MONTH(Table1[[#This Row],[Date]])</f>
        <v>1</v>
      </c>
    </row>
    <row r="22" spans="1:18" x14ac:dyDescent="0.25">
      <c r="A22" t="s">
        <v>39</v>
      </c>
      <c r="B22" t="s">
        <v>21</v>
      </c>
      <c r="C22" t="s">
        <v>37</v>
      </c>
      <c r="D22" s="1">
        <v>45568</v>
      </c>
      <c r="E22">
        <v>57730</v>
      </c>
      <c r="F22">
        <v>3458</v>
      </c>
      <c r="G22">
        <v>248</v>
      </c>
      <c r="H22" s="4">
        <v>3424.1</v>
      </c>
      <c r="I22" s="4">
        <v>14220.83</v>
      </c>
      <c r="J22" s="7">
        <f>Table1[[#This Row],[Clicks]]/Table1[[#This Row],[Impressions]]</f>
        <v>5.9899532305560367E-2</v>
      </c>
      <c r="K22" s="7">
        <f>IFERROR(Table1[[#This Row],[Conversions]]/Table1[[#This Row],[Clicks]],0)</f>
        <v>7.1717755928282251E-2</v>
      </c>
      <c r="L22" s="6">
        <f>IF(Table1[[#This Row],[Conversions]]=0,0,Table1[[#This Row],[Ad Spend]]/Table1[[#This Row],[Conversions]])</f>
        <v>13.806854838709677</v>
      </c>
      <c r="M22" s="8">
        <f>IF(Table1[[#This Row],[Ad Spend]]=0,0,Table1[[#This Row],[Revenue]]/Table1[[#This Row],[Ad Spend]])</f>
        <v>4.1531584942028559</v>
      </c>
      <c r="N22">
        <f>YEAR(Table1[[#This Row],[Date]])</f>
        <v>2024</v>
      </c>
      <c r="O22" t="str">
        <f>TEXT(Table1[[#This Row],[Date]],"mmm")</f>
        <v>Oct</v>
      </c>
      <c r="P22">
        <f>MONTH(Table1[[#This Row],[Date]])</f>
        <v>10</v>
      </c>
    </row>
    <row r="23" spans="1:18" x14ac:dyDescent="0.25">
      <c r="A23" t="s">
        <v>40</v>
      </c>
      <c r="B23" t="s">
        <v>41</v>
      </c>
      <c r="C23" t="s">
        <v>10</v>
      </c>
      <c r="D23" s="1">
        <v>45418</v>
      </c>
      <c r="E23">
        <v>63903</v>
      </c>
      <c r="F23">
        <v>925</v>
      </c>
      <c r="G23">
        <v>21</v>
      </c>
      <c r="H23" s="4">
        <v>2858.82</v>
      </c>
      <c r="I23" s="4">
        <v>1655.72</v>
      </c>
      <c r="J23" s="7">
        <f>Table1[[#This Row],[Clicks]]/Table1[[#This Row],[Impressions]]</f>
        <v>1.4475063768524169E-2</v>
      </c>
      <c r="K23" s="7">
        <f>IFERROR(Table1[[#This Row],[Conversions]]/Table1[[#This Row],[Clicks]],0)</f>
        <v>2.2702702702702703E-2</v>
      </c>
      <c r="L23" s="6">
        <f>IF(Table1[[#This Row],[Conversions]]=0,0,Table1[[#This Row],[Ad Spend]]/Table1[[#This Row],[Conversions]])</f>
        <v>136.13428571428571</v>
      </c>
      <c r="M23" s="8">
        <f>IF(Table1[[#This Row],[Ad Spend]]=0,0,Table1[[#This Row],[Revenue]]/Table1[[#This Row],[Ad Spend]])</f>
        <v>0.5791620318872821</v>
      </c>
      <c r="N23">
        <f>YEAR(Table1[[#This Row],[Date]])</f>
        <v>2024</v>
      </c>
      <c r="O23" t="str">
        <f>TEXT(Table1[[#This Row],[Date]],"mmm")</f>
        <v>May</v>
      </c>
      <c r="P23">
        <f>MONTH(Table1[[#This Row],[Date]])</f>
        <v>5</v>
      </c>
    </row>
    <row r="24" spans="1:18" x14ac:dyDescent="0.25">
      <c r="A24" t="s">
        <v>42</v>
      </c>
      <c r="B24" t="s">
        <v>31</v>
      </c>
      <c r="C24" t="s">
        <v>10</v>
      </c>
      <c r="D24" s="1">
        <v>45654</v>
      </c>
      <c r="E24">
        <v>20433</v>
      </c>
      <c r="F24">
        <v>531</v>
      </c>
      <c r="G24">
        <v>73</v>
      </c>
      <c r="H24" s="4">
        <v>4326.25</v>
      </c>
      <c r="I24" s="4">
        <v>1977.26</v>
      </c>
      <c r="J24" s="7">
        <f>Table1[[#This Row],[Clicks]]/Table1[[#This Row],[Impressions]]</f>
        <v>2.5987373366612831E-2</v>
      </c>
      <c r="K24" s="7">
        <f>IFERROR(Table1[[#This Row],[Conversions]]/Table1[[#This Row],[Clicks]],0)</f>
        <v>0.13747645951035781</v>
      </c>
      <c r="L24" s="6">
        <f>IF(Table1[[#This Row],[Conversions]]=0,0,Table1[[#This Row],[Ad Spend]]/Table1[[#This Row],[Conversions]])</f>
        <v>59.263698630136986</v>
      </c>
      <c r="M24" s="8">
        <f>IF(Table1[[#This Row],[Ad Spend]]=0,0,Table1[[#This Row],[Revenue]]/Table1[[#This Row],[Ad Spend]])</f>
        <v>0.4570378503322739</v>
      </c>
      <c r="N24">
        <f>YEAR(Table1[[#This Row],[Date]])</f>
        <v>2024</v>
      </c>
      <c r="O24" t="str">
        <f>TEXT(Table1[[#This Row],[Date]],"mmm")</f>
        <v>Dec</v>
      </c>
      <c r="P24">
        <f>MONTH(Table1[[#This Row],[Date]])</f>
        <v>12</v>
      </c>
      <c r="R24" s="8"/>
    </row>
    <row r="25" spans="1:18" x14ac:dyDescent="0.25">
      <c r="A25" t="s">
        <v>43</v>
      </c>
      <c r="B25" t="s">
        <v>14</v>
      </c>
      <c r="C25" t="s">
        <v>19</v>
      </c>
      <c r="D25" s="1">
        <v>45634</v>
      </c>
      <c r="E25">
        <v>132248</v>
      </c>
      <c r="F25">
        <v>3305</v>
      </c>
      <c r="G25">
        <v>122</v>
      </c>
      <c r="H25" s="4">
        <v>4690.47</v>
      </c>
      <c r="I25" s="4">
        <v>9406.73</v>
      </c>
      <c r="J25" s="7">
        <f>Table1[[#This Row],[Clicks]]/Table1[[#This Row],[Impressions]]</f>
        <v>2.4990926138769583E-2</v>
      </c>
      <c r="K25" s="7">
        <f>IFERROR(Table1[[#This Row],[Conversions]]/Table1[[#This Row],[Clicks]],0)</f>
        <v>3.6913767019667171E-2</v>
      </c>
      <c r="L25" s="6">
        <f>IF(Table1[[#This Row],[Conversions]]=0,0,Table1[[#This Row],[Ad Spend]]/Table1[[#This Row],[Conversions]])</f>
        <v>38.446475409836069</v>
      </c>
      <c r="M25" s="8">
        <f>IF(Table1[[#This Row],[Ad Spend]]=0,0,Table1[[#This Row],[Revenue]]/Table1[[#This Row],[Ad Spend]])</f>
        <v>2.0054983828912665</v>
      </c>
      <c r="N25">
        <f>YEAR(Table1[[#This Row],[Date]])</f>
        <v>2024</v>
      </c>
      <c r="O25" t="str">
        <f>TEXT(Table1[[#This Row],[Date]],"mmm")</f>
        <v>Dec</v>
      </c>
      <c r="P25">
        <f>MONTH(Table1[[#This Row],[Date]])</f>
        <v>12</v>
      </c>
    </row>
    <row r="26" spans="1:18" x14ac:dyDescent="0.25">
      <c r="A26" t="s">
        <v>44</v>
      </c>
      <c r="B26" t="s">
        <v>41</v>
      </c>
      <c r="C26" t="s">
        <v>37</v>
      </c>
      <c r="D26" s="1">
        <v>45693</v>
      </c>
      <c r="E26">
        <v>128987</v>
      </c>
      <c r="F26">
        <v>8580</v>
      </c>
      <c r="G26">
        <v>383</v>
      </c>
      <c r="H26" s="4">
        <v>665.27</v>
      </c>
      <c r="I26" s="4">
        <v>24169.26</v>
      </c>
      <c r="J26" s="7">
        <f>Table1[[#This Row],[Clicks]]/Table1[[#This Row],[Impressions]]</f>
        <v>6.6518331304705122E-2</v>
      </c>
      <c r="K26" s="7">
        <f>IFERROR(Table1[[#This Row],[Conversions]]/Table1[[#This Row],[Clicks]],0)</f>
        <v>4.4638694638694638E-2</v>
      </c>
      <c r="L26" s="6">
        <f>IF(Table1[[#This Row],[Conversions]]=0,0,Table1[[#This Row],[Ad Spend]]/Table1[[#This Row],[Conversions]])</f>
        <v>1.7369973890339425</v>
      </c>
      <c r="M26" s="8">
        <f>IF(Table1[[#This Row],[Ad Spend]]=0,0,Table1[[#This Row],[Revenue]]/Table1[[#This Row],[Ad Spend]])</f>
        <v>36.330001352834188</v>
      </c>
      <c r="N26">
        <f>YEAR(Table1[[#This Row],[Date]])</f>
        <v>2025</v>
      </c>
      <c r="O26" t="str">
        <f>TEXT(Table1[[#This Row],[Date]],"mmm")</f>
        <v>Feb</v>
      </c>
      <c r="P26">
        <f>MONTH(Table1[[#This Row],[Date]])</f>
        <v>2</v>
      </c>
    </row>
    <row r="27" spans="1:18" x14ac:dyDescent="0.25">
      <c r="A27" t="s">
        <v>45</v>
      </c>
      <c r="B27" t="s">
        <v>21</v>
      </c>
      <c r="C27" t="s">
        <v>17</v>
      </c>
      <c r="D27" s="1">
        <v>45531</v>
      </c>
      <c r="E27">
        <v>19200</v>
      </c>
      <c r="F27">
        <v>1097</v>
      </c>
      <c r="G27">
        <v>162</v>
      </c>
      <c r="H27" s="4">
        <v>672.41</v>
      </c>
      <c r="I27" s="4">
        <v>9762.4599999999991</v>
      </c>
      <c r="J27" s="7">
        <f>Table1[[#This Row],[Clicks]]/Table1[[#This Row],[Impressions]]</f>
        <v>5.7135416666666668E-2</v>
      </c>
      <c r="K27" s="7">
        <f>IFERROR(Table1[[#This Row],[Conversions]]/Table1[[#This Row],[Clicks]],0)</f>
        <v>0.14767547857793983</v>
      </c>
      <c r="L27" s="6">
        <f>IF(Table1[[#This Row],[Conversions]]=0,0,Table1[[#This Row],[Ad Spend]]/Table1[[#This Row],[Conversions]])</f>
        <v>4.1506790123456785</v>
      </c>
      <c r="M27" s="8">
        <f>IF(Table1[[#This Row],[Ad Spend]]=0,0,Table1[[#This Row],[Revenue]]/Table1[[#This Row],[Ad Spend]])</f>
        <v>14.518612156273701</v>
      </c>
      <c r="N27">
        <f>YEAR(Table1[[#This Row],[Date]])</f>
        <v>2024</v>
      </c>
      <c r="O27" t="str">
        <f>TEXT(Table1[[#This Row],[Date]],"mmm")</f>
        <v>Aug</v>
      </c>
      <c r="P27">
        <f>MONTH(Table1[[#This Row],[Date]])</f>
        <v>8</v>
      </c>
    </row>
    <row r="28" spans="1:18" x14ac:dyDescent="0.25">
      <c r="A28" t="s">
        <v>46</v>
      </c>
      <c r="B28" t="s">
        <v>47</v>
      </c>
      <c r="C28" t="s">
        <v>10</v>
      </c>
      <c r="D28" s="1">
        <v>45419</v>
      </c>
      <c r="E28">
        <v>55224</v>
      </c>
      <c r="F28">
        <v>1287</v>
      </c>
      <c r="G28">
        <v>100</v>
      </c>
      <c r="H28" s="4">
        <v>2225.0300000000002</v>
      </c>
      <c r="I28" s="4">
        <v>4785.45</v>
      </c>
      <c r="J28" s="7">
        <f>Table1[[#This Row],[Clicks]]/Table1[[#This Row],[Impressions]]</f>
        <v>2.3305084745762712E-2</v>
      </c>
      <c r="K28" s="7">
        <f>IFERROR(Table1[[#This Row],[Conversions]]/Table1[[#This Row],[Clicks]],0)</f>
        <v>7.7700077700077697E-2</v>
      </c>
      <c r="L28" s="6">
        <f>IF(Table1[[#This Row],[Conversions]]=0,0,Table1[[#This Row],[Ad Spend]]/Table1[[#This Row],[Conversions]])</f>
        <v>22.250300000000003</v>
      </c>
      <c r="M28" s="8">
        <f>IF(Table1[[#This Row],[Ad Spend]]=0,0,Table1[[#This Row],[Revenue]]/Table1[[#This Row],[Ad Spend]])</f>
        <v>2.1507350462690389</v>
      </c>
      <c r="N28">
        <f>YEAR(Table1[[#This Row],[Date]])</f>
        <v>2024</v>
      </c>
      <c r="O28" t="str">
        <f>TEXT(Table1[[#This Row],[Date]],"mmm")</f>
        <v>May</v>
      </c>
      <c r="P28">
        <f>MONTH(Table1[[#This Row],[Date]])</f>
        <v>5</v>
      </c>
    </row>
    <row r="29" spans="1:18" x14ac:dyDescent="0.25">
      <c r="A29" t="s">
        <v>48</v>
      </c>
      <c r="B29" t="s">
        <v>14</v>
      </c>
      <c r="C29" t="s">
        <v>10</v>
      </c>
      <c r="D29" s="1">
        <v>45518</v>
      </c>
      <c r="E29">
        <v>149264</v>
      </c>
      <c r="F29">
        <v>2515</v>
      </c>
      <c r="G29">
        <v>263</v>
      </c>
      <c r="H29" s="4">
        <v>2794.82</v>
      </c>
      <c r="I29" s="4">
        <v>5648.13</v>
      </c>
      <c r="J29" s="7">
        <f>Table1[[#This Row],[Clicks]]/Table1[[#This Row],[Impressions]]</f>
        <v>1.6849340765355342E-2</v>
      </c>
      <c r="K29" s="7">
        <f>IFERROR(Table1[[#This Row],[Conversions]]/Table1[[#This Row],[Clicks]],0)</f>
        <v>0.10457256461232604</v>
      </c>
      <c r="L29" s="6">
        <f>IF(Table1[[#This Row],[Conversions]]=0,0,Table1[[#This Row],[Ad Spend]]/Table1[[#This Row],[Conversions]])</f>
        <v>10.626692015209127</v>
      </c>
      <c r="M29" s="8">
        <f>IF(Table1[[#This Row],[Ad Spend]]=0,0,Table1[[#This Row],[Revenue]]/Table1[[#This Row],[Ad Spend]])</f>
        <v>2.0209280025189456</v>
      </c>
      <c r="N29">
        <f>YEAR(Table1[[#This Row],[Date]])</f>
        <v>2024</v>
      </c>
      <c r="O29" t="str">
        <f>TEXT(Table1[[#This Row],[Date]],"mmm")</f>
        <v>Aug</v>
      </c>
      <c r="P29">
        <f>MONTH(Table1[[#This Row],[Date]])</f>
        <v>8</v>
      </c>
    </row>
    <row r="30" spans="1:18" x14ac:dyDescent="0.25">
      <c r="A30" t="s">
        <v>49</v>
      </c>
      <c r="B30" t="s">
        <v>9</v>
      </c>
      <c r="C30" t="s">
        <v>37</v>
      </c>
      <c r="D30" s="1">
        <v>45377</v>
      </c>
      <c r="E30">
        <v>111539</v>
      </c>
      <c r="F30">
        <v>4907</v>
      </c>
      <c r="G30">
        <v>234</v>
      </c>
      <c r="H30" s="4">
        <v>2124.9899999999998</v>
      </c>
      <c r="I30" s="4">
        <v>6052.07</v>
      </c>
      <c r="J30" s="7">
        <f>Table1[[#This Row],[Clicks]]/Table1[[#This Row],[Impressions]]</f>
        <v>4.3993580720644798E-2</v>
      </c>
      <c r="K30" s="7">
        <f>IFERROR(Table1[[#This Row],[Conversions]]/Table1[[#This Row],[Clicks]],0)</f>
        <v>4.768697778683513E-2</v>
      </c>
      <c r="L30" s="6">
        <f>IF(Table1[[#This Row],[Conversions]]=0,0,Table1[[#This Row],[Ad Spend]]/Table1[[#This Row],[Conversions]])</f>
        <v>9.0811538461538444</v>
      </c>
      <c r="M30" s="8">
        <f>IF(Table1[[#This Row],[Ad Spend]]=0,0,Table1[[#This Row],[Revenue]]/Table1[[#This Row],[Ad Spend]])</f>
        <v>2.8480463437475003</v>
      </c>
      <c r="N30">
        <f>YEAR(Table1[[#This Row],[Date]])</f>
        <v>2024</v>
      </c>
      <c r="O30" t="str">
        <f>TEXT(Table1[[#This Row],[Date]],"mmm")</f>
        <v>Mar</v>
      </c>
      <c r="P30">
        <f>MONTH(Table1[[#This Row],[Date]])</f>
        <v>3</v>
      </c>
    </row>
    <row r="31" spans="1:18" x14ac:dyDescent="0.25">
      <c r="A31" t="s">
        <v>50</v>
      </c>
      <c r="B31" t="s">
        <v>21</v>
      </c>
      <c r="C31" t="s">
        <v>10</v>
      </c>
      <c r="D31" s="1">
        <v>45491</v>
      </c>
      <c r="E31">
        <v>74521</v>
      </c>
      <c r="F31">
        <v>5578</v>
      </c>
      <c r="G31">
        <v>680</v>
      </c>
      <c r="H31" s="4">
        <v>1569.2</v>
      </c>
      <c r="I31" s="4">
        <v>60968.22</v>
      </c>
      <c r="J31" s="7">
        <f>Table1[[#This Row],[Clicks]]/Table1[[#This Row],[Impressions]]</f>
        <v>7.485138417358865E-2</v>
      </c>
      <c r="K31" s="7">
        <f>IFERROR(Table1[[#This Row],[Conversions]]/Table1[[#This Row],[Clicks]],0)</f>
        <v>0.12190749372534959</v>
      </c>
      <c r="L31" s="6">
        <f>IF(Table1[[#This Row],[Conversions]]=0,0,Table1[[#This Row],[Ad Spend]]/Table1[[#This Row],[Conversions]])</f>
        <v>2.3076470588235294</v>
      </c>
      <c r="M31" s="8">
        <f>IF(Table1[[#This Row],[Ad Spend]]=0,0,Table1[[#This Row],[Revenue]]/Table1[[#This Row],[Ad Spend]])</f>
        <v>38.853058883507522</v>
      </c>
      <c r="N31">
        <f>YEAR(Table1[[#This Row],[Date]])</f>
        <v>2024</v>
      </c>
      <c r="O31" t="str">
        <f>TEXT(Table1[[#This Row],[Date]],"mmm")</f>
        <v>Jul</v>
      </c>
      <c r="P31">
        <f>MONTH(Table1[[#This Row],[Date]])</f>
        <v>7</v>
      </c>
    </row>
    <row r="32" spans="1:18" x14ac:dyDescent="0.25">
      <c r="A32" t="s">
        <v>51</v>
      </c>
      <c r="B32" t="s">
        <v>41</v>
      </c>
      <c r="C32" t="s">
        <v>37</v>
      </c>
      <c r="D32" s="1">
        <v>45389</v>
      </c>
      <c r="E32">
        <v>82780</v>
      </c>
      <c r="F32">
        <v>2089</v>
      </c>
      <c r="G32">
        <v>57</v>
      </c>
      <c r="H32" s="4">
        <v>3731.54</v>
      </c>
      <c r="I32" s="4">
        <v>1487.46</v>
      </c>
      <c r="J32" s="7">
        <f>Table1[[#This Row],[Clicks]]/Table1[[#This Row],[Impressions]]</f>
        <v>2.5235564145928969E-2</v>
      </c>
      <c r="K32" s="7">
        <f>IFERROR(Table1[[#This Row],[Conversions]]/Table1[[#This Row],[Clicks]],0)</f>
        <v>2.7285782671134514E-2</v>
      </c>
      <c r="L32" s="6">
        <f>IF(Table1[[#This Row],[Conversions]]=0,0,Table1[[#This Row],[Ad Spend]]/Table1[[#This Row],[Conversions]])</f>
        <v>65.465614035087725</v>
      </c>
      <c r="M32" s="8">
        <f>IF(Table1[[#This Row],[Ad Spend]]=0,0,Table1[[#This Row],[Revenue]]/Table1[[#This Row],[Ad Spend]])</f>
        <v>0.3986182648450774</v>
      </c>
      <c r="N32">
        <f>YEAR(Table1[[#This Row],[Date]])</f>
        <v>2024</v>
      </c>
      <c r="O32" t="str">
        <f>TEXT(Table1[[#This Row],[Date]],"mmm")</f>
        <v>Apr</v>
      </c>
      <c r="P32">
        <f>MONTH(Table1[[#This Row],[Date]])</f>
        <v>4</v>
      </c>
    </row>
    <row r="33" spans="1:16" x14ac:dyDescent="0.25">
      <c r="A33" t="s">
        <v>52</v>
      </c>
      <c r="B33" t="s">
        <v>47</v>
      </c>
      <c r="C33" t="s">
        <v>10</v>
      </c>
      <c r="D33" s="1">
        <v>45317</v>
      </c>
      <c r="E33">
        <v>129987</v>
      </c>
      <c r="F33">
        <v>5875</v>
      </c>
      <c r="G33">
        <v>768</v>
      </c>
      <c r="H33" s="4">
        <v>955.68</v>
      </c>
      <c r="I33" s="4">
        <v>89147.82</v>
      </c>
      <c r="J33" s="7">
        <f>Table1[[#This Row],[Clicks]]/Table1[[#This Row],[Impressions]]</f>
        <v>4.5196827375045198E-2</v>
      </c>
      <c r="K33" s="7">
        <f>IFERROR(Table1[[#This Row],[Conversions]]/Table1[[#This Row],[Clicks]],0)</f>
        <v>0.13072340425531914</v>
      </c>
      <c r="L33" s="6">
        <f>IF(Table1[[#This Row],[Conversions]]=0,0,Table1[[#This Row],[Ad Spend]]/Table1[[#This Row],[Conversions]])</f>
        <v>1.244375</v>
      </c>
      <c r="M33" s="8">
        <f>IF(Table1[[#This Row],[Ad Spend]]=0,0,Table1[[#This Row],[Revenue]]/Table1[[#This Row],[Ad Spend]])</f>
        <v>93.282081868407843</v>
      </c>
      <c r="N33">
        <f>YEAR(Table1[[#This Row],[Date]])</f>
        <v>2024</v>
      </c>
      <c r="O33" t="str">
        <f>TEXT(Table1[[#This Row],[Date]],"mmm")</f>
        <v>Jan</v>
      </c>
      <c r="P33">
        <f>MONTH(Table1[[#This Row],[Date]])</f>
        <v>1</v>
      </c>
    </row>
    <row r="34" spans="1:16" x14ac:dyDescent="0.25">
      <c r="A34" t="s">
        <v>53</v>
      </c>
      <c r="B34" t="s">
        <v>9</v>
      </c>
      <c r="C34" t="s">
        <v>37</v>
      </c>
      <c r="D34" s="1">
        <v>45327</v>
      </c>
      <c r="E34">
        <v>22815</v>
      </c>
      <c r="F34">
        <v>1306</v>
      </c>
      <c r="G34">
        <v>66</v>
      </c>
      <c r="H34" s="4">
        <v>775.46</v>
      </c>
      <c r="I34" s="4">
        <v>7195.9</v>
      </c>
      <c r="J34" s="7">
        <f>Table1[[#This Row],[Clicks]]/Table1[[#This Row],[Impressions]]</f>
        <v>5.7243041858426477E-2</v>
      </c>
      <c r="K34" s="7">
        <f>IFERROR(Table1[[#This Row],[Conversions]]/Table1[[#This Row],[Clicks]],0)</f>
        <v>5.0535987748851458E-2</v>
      </c>
      <c r="L34" s="6">
        <f>IF(Table1[[#This Row],[Conversions]]=0,0,Table1[[#This Row],[Ad Spend]]/Table1[[#This Row],[Conversions]])</f>
        <v>11.74939393939394</v>
      </c>
      <c r="M34" s="8">
        <f>IF(Table1[[#This Row],[Ad Spend]]=0,0,Table1[[#This Row],[Revenue]]/Table1[[#This Row],[Ad Spend]])</f>
        <v>9.2795244113171531</v>
      </c>
      <c r="N34">
        <f>YEAR(Table1[[#This Row],[Date]])</f>
        <v>2024</v>
      </c>
      <c r="O34" t="str">
        <f>TEXT(Table1[[#This Row],[Date]],"mmm")</f>
        <v>Feb</v>
      </c>
      <c r="P34">
        <f>MONTH(Table1[[#This Row],[Date]])</f>
        <v>2</v>
      </c>
    </row>
    <row r="35" spans="1:16" x14ac:dyDescent="0.25">
      <c r="A35" t="s">
        <v>54</v>
      </c>
      <c r="B35" t="s">
        <v>14</v>
      </c>
      <c r="C35" t="s">
        <v>12</v>
      </c>
      <c r="D35" s="1">
        <v>45596</v>
      </c>
      <c r="E35">
        <v>15418</v>
      </c>
      <c r="F35">
        <v>822</v>
      </c>
      <c r="G35">
        <v>61</v>
      </c>
      <c r="H35" s="4">
        <v>3001.63</v>
      </c>
      <c r="I35" s="4">
        <v>4408.97</v>
      </c>
      <c r="J35" s="7">
        <f>Table1[[#This Row],[Clicks]]/Table1[[#This Row],[Impressions]]</f>
        <v>5.3314307951744716E-2</v>
      </c>
      <c r="K35" s="7">
        <f>IFERROR(Table1[[#This Row],[Conversions]]/Table1[[#This Row],[Clicks]],0)</f>
        <v>7.4209245742092464E-2</v>
      </c>
      <c r="L35" s="6">
        <f>IF(Table1[[#This Row],[Conversions]]=0,0,Table1[[#This Row],[Ad Spend]]/Table1[[#This Row],[Conversions]])</f>
        <v>49.207049180327871</v>
      </c>
      <c r="M35" s="8">
        <f>IF(Table1[[#This Row],[Ad Spend]]=0,0,Table1[[#This Row],[Revenue]]/Table1[[#This Row],[Ad Spend]])</f>
        <v>1.4688585868344866</v>
      </c>
      <c r="N35">
        <f>YEAR(Table1[[#This Row],[Date]])</f>
        <v>2024</v>
      </c>
      <c r="O35" t="str">
        <f>TEXT(Table1[[#This Row],[Date]],"mmm")</f>
        <v>Oct</v>
      </c>
      <c r="P35">
        <f>MONTH(Table1[[#This Row],[Date]])</f>
        <v>10</v>
      </c>
    </row>
    <row r="36" spans="1:16" x14ac:dyDescent="0.25">
      <c r="A36" t="s">
        <v>55</v>
      </c>
      <c r="B36" t="s">
        <v>34</v>
      </c>
      <c r="C36" t="s">
        <v>37</v>
      </c>
      <c r="D36" s="1">
        <v>45634</v>
      </c>
      <c r="E36">
        <v>87361</v>
      </c>
      <c r="F36">
        <v>2333</v>
      </c>
      <c r="G36">
        <v>166</v>
      </c>
      <c r="H36" s="4">
        <v>3424.11</v>
      </c>
      <c r="I36" s="4">
        <v>8299.9500000000007</v>
      </c>
      <c r="J36" s="7">
        <f>Table1[[#This Row],[Clicks]]/Table1[[#This Row],[Impressions]]</f>
        <v>2.6705280388273942E-2</v>
      </c>
      <c r="K36" s="7">
        <f>IFERROR(Table1[[#This Row],[Conversions]]/Table1[[#This Row],[Clicks]],0)</f>
        <v>7.1153021860265758E-2</v>
      </c>
      <c r="L36" s="6">
        <f>IF(Table1[[#This Row],[Conversions]]=0,0,Table1[[#This Row],[Ad Spend]]/Table1[[#This Row],[Conversions]])</f>
        <v>20.627168674698797</v>
      </c>
      <c r="M36" s="8">
        <f>IF(Table1[[#This Row],[Ad Spend]]=0,0,Table1[[#This Row],[Revenue]]/Table1[[#This Row],[Ad Spend]])</f>
        <v>2.4239729447944138</v>
      </c>
      <c r="N36">
        <f>YEAR(Table1[[#This Row],[Date]])</f>
        <v>2024</v>
      </c>
      <c r="O36" t="str">
        <f>TEXT(Table1[[#This Row],[Date]],"mmm")</f>
        <v>Dec</v>
      </c>
      <c r="P36">
        <f>MONTH(Table1[[#This Row],[Date]])</f>
        <v>12</v>
      </c>
    </row>
    <row r="37" spans="1:16" x14ac:dyDescent="0.25">
      <c r="A37" t="s">
        <v>56</v>
      </c>
      <c r="B37" t="s">
        <v>47</v>
      </c>
      <c r="C37" t="s">
        <v>10</v>
      </c>
      <c r="D37" s="1">
        <v>45296</v>
      </c>
      <c r="E37">
        <v>125136</v>
      </c>
      <c r="F37">
        <v>6692</v>
      </c>
      <c r="G37">
        <v>623</v>
      </c>
      <c r="H37" s="4">
        <v>679.91</v>
      </c>
      <c r="I37" s="4">
        <v>45954.62</v>
      </c>
      <c r="J37" s="7">
        <f>Table1[[#This Row],[Clicks]]/Table1[[#This Row],[Impressions]]</f>
        <v>5.3477816136043986E-2</v>
      </c>
      <c r="K37" s="7">
        <f>IFERROR(Table1[[#This Row],[Conversions]]/Table1[[#This Row],[Clicks]],0)</f>
        <v>9.3096234309623424E-2</v>
      </c>
      <c r="L37" s="6">
        <f>IF(Table1[[#This Row],[Conversions]]=0,0,Table1[[#This Row],[Ad Spend]]/Table1[[#This Row],[Conversions]])</f>
        <v>1.0913483146067415</v>
      </c>
      <c r="M37" s="8">
        <f>IF(Table1[[#This Row],[Ad Spend]]=0,0,Table1[[#This Row],[Revenue]]/Table1[[#This Row],[Ad Spend]])</f>
        <v>67.589269167978117</v>
      </c>
      <c r="N37">
        <f>YEAR(Table1[[#This Row],[Date]])</f>
        <v>2024</v>
      </c>
      <c r="O37" t="str">
        <f>TEXT(Table1[[#This Row],[Date]],"mmm")</f>
        <v>Jan</v>
      </c>
      <c r="P37">
        <f>MONTH(Table1[[#This Row],[Date]])</f>
        <v>1</v>
      </c>
    </row>
    <row r="38" spans="1:16" x14ac:dyDescent="0.25">
      <c r="A38" t="s">
        <v>57</v>
      </c>
      <c r="B38" t="s">
        <v>34</v>
      </c>
      <c r="C38" t="s">
        <v>37</v>
      </c>
      <c r="D38" s="1">
        <v>45470</v>
      </c>
      <c r="E38">
        <v>23033</v>
      </c>
      <c r="F38">
        <v>1647</v>
      </c>
      <c r="G38">
        <v>112</v>
      </c>
      <c r="H38" s="4">
        <v>957.18</v>
      </c>
      <c r="I38" s="4">
        <v>11577.94</v>
      </c>
      <c r="J38" s="7">
        <f>Table1[[#This Row],[Clicks]]/Table1[[#This Row],[Impressions]]</f>
        <v>7.1506099943559234E-2</v>
      </c>
      <c r="K38" s="7">
        <f>IFERROR(Table1[[#This Row],[Conversions]]/Table1[[#This Row],[Clicks]],0)</f>
        <v>6.8002428658166358E-2</v>
      </c>
      <c r="L38" s="6">
        <f>IF(Table1[[#This Row],[Conversions]]=0,0,Table1[[#This Row],[Ad Spend]]/Table1[[#This Row],[Conversions]])</f>
        <v>8.5462499999999988</v>
      </c>
      <c r="M38" s="8">
        <f>IF(Table1[[#This Row],[Ad Spend]]=0,0,Table1[[#This Row],[Revenue]]/Table1[[#This Row],[Ad Spend]])</f>
        <v>12.0958858312961</v>
      </c>
      <c r="N38">
        <f>YEAR(Table1[[#This Row],[Date]])</f>
        <v>2024</v>
      </c>
      <c r="O38" t="str">
        <f>TEXT(Table1[[#This Row],[Date]],"mmm")</f>
        <v>Jun</v>
      </c>
      <c r="P38">
        <f>MONTH(Table1[[#This Row],[Date]])</f>
        <v>6</v>
      </c>
    </row>
    <row r="39" spans="1:16" x14ac:dyDescent="0.25">
      <c r="A39" t="s">
        <v>58</v>
      </c>
      <c r="B39" t="s">
        <v>34</v>
      </c>
      <c r="C39" t="s">
        <v>12</v>
      </c>
      <c r="D39" s="1">
        <v>45705</v>
      </c>
      <c r="E39">
        <v>143658</v>
      </c>
      <c r="F39">
        <v>1515</v>
      </c>
      <c r="G39">
        <v>191</v>
      </c>
      <c r="H39" s="4">
        <v>1637.02</v>
      </c>
      <c r="I39" s="4">
        <v>16490.72</v>
      </c>
      <c r="J39" s="7">
        <f>Table1[[#This Row],[Clicks]]/Table1[[#This Row],[Impressions]]</f>
        <v>1.0545879797853234E-2</v>
      </c>
      <c r="K39" s="7">
        <f>IFERROR(Table1[[#This Row],[Conversions]]/Table1[[#This Row],[Clicks]],0)</f>
        <v>0.12607260726072608</v>
      </c>
      <c r="L39" s="6">
        <f>IF(Table1[[#This Row],[Conversions]]=0,0,Table1[[#This Row],[Ad Spend]]/Table1[[#This Row],[Conversions]])</f>
        <v>8.5707853403141367</v>
      </c>
      <c r="M39" s="8">
        <f>IF(Table1[[#This Row],[Ad Spend]]=0,0,Table1[[#This Row],[Revenue]]/Table1[[#This Row],[Ad Spend]])</f>
        <v>10.073621580677084</v>
      </c>
      <c r="N39">
        <f>YEAR(Table1[[#This Row],[Date]])</f>
        <v>2025</v>
      </c>
      <c r="O39" t="str">
        <f>TEXT(Table1[[#This Row],[Date]],"mmm")</f>
        <v>Feb</v>
      </c>
      <c r="P39">
        <f>MONTH(Table1[[#This Row],[Date]])</f>
        <v>2</v>
      </c>
    </row>
    <row r="40" spans="1:16" x14ac:dyDescent="0.25">
      <c r="A40" t="s">
        <v>59</v>
      </c>
      <c r="B40" t="s">
        <v>16</v>
      </c>
      <c r="C40" t="s">
        <v>19</v>
      </c>
      <c r="D40" s="1">
        <v>45351</v>
      </c>
      <c r="E40">
        <v>33058</v>
      </c>
      <c r="F40">
        <v>2048</v>
      </c>
      <c r="G40">
        <v>82</v>
      </c>
      <c r="H40" s="4">
        <v>1552.43</v>
      </c>
      <c r="I40" s="4">
        <v>3367.16</v>
      </c>
      <c r="J40" s="7">
        <f>Table1[[#This Row],[Clicks]]/Table1[[#This Row],[Impressions]]</f>
        <v>6.1951721217254521E-2</v>
      </c>
      <c r="K40" s="7">
        <f>IFERROR(Table1[[#This Row],[Conversions]]/Table1[[#This Row],[Clicks]],0)</f>
        <v>4.00390625E-2</v>
      </c>
      <c r="L40" s="6">
        <f>IF(Table1[[#This Row],[Conversions]]=0,0,Table1[[#This Row],[Ad Spend]]/Table1[[#This Row],[Conversions]])</f>
        <v>18.932073170731709</v>
      </c>
      <c r="M40" s="8">
        <f>IF(Table1[[#This Row],[Ad Spend]]=0,0,Table1[[#This Row],[Revenue]]/Table1[[#This Row],[Ad Spend]])</f>
        <v>2.1689609193329167</v>
      </c>
      <c r="N40">
        <f>YEAR(Table1[[#This Row],[Date]])</f>
        <v>2024</v>
      </c>
      <c r="O40" t="str">
        <f>TEXT(Table1[[#This Row],[Date]],"mmm")</f>
        <v>Feb</v>
      </c>
      <c r="P40">
        <f>MONTH(Table1[[#This Row],[Date]])</f>
        <v>2</v>
      </c>
    </row>
    <row r="41" spans="1:16" x14ac:dyDescent="0.25">
      <c r="A41" t="s">
        <v>60</v>
      </c>
      <c r="B41" t="s">
        <v>47</v>
      </c>
      <c r="C41" t="s">
        <v>37</v>
      </c>
      <c r="D41" s="1">
        <v>45643</v>
      </c>
      <c r="E41">
        <v>74201</v>
      </c>
      <c r="F41">
        <v>3367</v>
      </c>
      <c r="G41">
        <v>177</v>
      </c>
      <c r="H41" s="4">
        <v>4559.16</v>
      </c>
      <c r="I41" s="4">
        <v>4439.1400000000003</v>
      </c>
      <c r="J41" s="7">
        <f>Table1[[#This Row],[Clicks]]/Table1[[#This Row],[Impressions]]</f>
        <v>4.5376746944111264E-2</v>
      </c>
      <c r="K41" s="7">
        <f>IFERROR(Table1[[#This Row],[Conversions]]/Table1[[#This Row],[Clicks]],0)</f>
        <v>5.2569052569052567E-2</v>
      </c>
      <c r="L41" s="6">
        <f>IF(Table1[[#This Row],[Conversions]]=0,0,Table1[[#This Row],[Ad Spend]]/Table1[[#This Row],[Conversions]])</f>
        <v>25.757966101694915</v>
      </c>
      <c r="M41" s="8">
        <f>IF(Table1[[#This Row],[Ad Spend]]=0,0,Table1[[#This Row],[Revenue]]/Table1[[#This Row],[Ad Spend]])</f>
        <v>0.97367497521473267</v>
      </c>
      <c r="N41">
        <f>YEAR(Table1[[#This Row],[Date]])</f>
        <v>2024</v>
      </c>
      <c r="O41" t="str">
        <f>TEXT(Table1[[#This Row],[Date]],"mmm")</f>
        <v>Dec</v>
      </c>
      <c r="P41">
        <f>MONTH(Table1[[#This Row],[Date]])</f>
        <v>12</v>
      </c>
    </row>
    <row r="42" spans="1:16" x14ac:dyDescent="0.25">
      <c r="A42" t="s">
        <v>61</v>
      </c>
      <c r="B42" t="s">
        <v>21</v>
      </c>
      <c r="C42" t="s">
        <v>19</v>
      </c>
      <c r="D42" s="1">
        <v>45314</v>
      </c>
      <c r="E42">
        <v>5929</v>
      </c>
      <c r="F42">
        <v>197</v>
      </c>
      <c r="G42">
        <v>7</v>
      </c>
      <c r="H42" s="4">
        <v>4903.03</v>
      </c>
      <c r="I42" s="4">
        <v>253.11</v>
      </c>
      <c r="J42" s="7">
        <f>Table1[[#This Row],[Clicks]]/Table1[[#This Row],[Impressions]]</f>
        <v>3.3226513745994266E-2</v>
      </c>
      <c r="K42" s="7">
        <f>IFERROR(Table1[[#This Row],[Conversions]]/Table1[[#This Row],[Clicks]],0)</f>
        <v>3.553299492385787E-2</v>
      </c>
      <c r="L42" s="6">
        <f>IF(Table1[[#This Row],[Conversions]]=0,0,Table1[[#This Row],[Ad Spend]]/Table1[[#This Row],[Conversions]])</f>
        <v>700.43285714285707</v>
      </c>
      <c r="M42" s="8">
        <f>IF(Table1[[#This Row],[Ad Spend]]=0,0,Table1[[#This Row],[Revenue]]/Table1[[#This Row],[Ad Spend]])</f>
        <v>5.1623179951988875E-2</v>
      </c>
      <c r="N42">
        <f>YEAR(Table1[[#This Row],[Date]])</f>
        <v>2024</v>
      </c>
      <c r="O42" t="str">
        <f>TEXT(Table1[[#This Row],[Date]],"mmm")</f>
        <v>Jan</v>
      </c>
      <c r="P42">
        <f>MONTH(Table1[[#This Row],[Date]])</f>
        <v>1</v>
      </c>
    </row>
    <row r="43" spans="1:16" x14ac:dyDescent="0.25">
      <c r="A43" t="s">
        <v>62</v>
      </c>
      <c r="B43" t="s">
        <v>41</v>
      </c>
      <c r="C43" t="s">
        <v>12</v>
      </c>
      <c r="D43" s="1">
        <v>45653</v>
      </c>
      <c r="E43">
        <v>117115</v>
      </c>
      <c r="F43">
        <v>5769</v>
      </c>
      <c r="G43">
        <v>199</v>
      </c>
      <c r="H43" s="4">
        <v>4736.24</v>
      </c>
      <c r="I43" s="4">
        <v>17731.29</v>
      </c>
      <c r="J43" s="7">
        <f>Table1[[#This Row],[Clicks]]/Table1[[#This Row],[Impressions]]</f>
        <v>4.9259275071510907E-2</v>
      </c>
      <c r="K43" s="7">
        <f>IFERROR(Table1[[#This Row],[Conversions]]/Table1[[#This Row],[Clicks]],0)</f>
        <v>3.4494713121858207E-2</v>
      </c>
      <c r="L43" s="6">
        <f>IF(Table1[[#This Row],[Conversions]]=0,0,Table1[[#This Row],[Ad Spend]]/Table1[[#This Row],[Conversions]])</f>
        <v>23.800201005025123</v>
      </c>
      <c r="M43" s="8">
        <f>IF(Table1[[#This Row],[Ad Spend]]=0,0,Table1[[#This Row],[Revenue]]/Table1[[#This Row],[Ad Spend]])</f>
        <v>3.7437482053274329</v>
      </c>
      <c r="N43">
        <f>YEAR(Table1[[#This Row],[Date]])</f>
        <v>2024</v>
      </c>
      <c r="O43" t="str">
        <f>TEXT(Table1[[#This Row],[Date]],"mmm")</f>
        <v>Dec</v>
      </c>
      <c r="P43">
        <f>MONTH(Table1[[#This Row],[Date]])</f>
        <v>12</v>
      </c>
    </row>
    <row r="44" spans="1:16" x14ac:dyDescent="0.25">
      <c r="A44" t="s">
        <v>63</v>
      </c>
      <c r="B44" t="s">
        <v>16</v>
      </c>
      <c r="C44" t="s">
        <v>12</v>
      </c>
      <c r="D44" s="1">
        <v>45310</v>
      </c>
      <c r="E44">
        <v>101787</v>
      </c>
      <c r="F44">
        <v>5168</v>
      </c>
      <c r="G44">
        <v>202</v>
      </c>
      <c r="H44" s="4">
        <v>811.74</v>
      </c>
      <c r="I44" s="4">
        <v>10266.82</v>
      </c>
      <c r="J44" s="7">
        <f>Table1[[#This Row],[Clicks]]/Table1[[#This Row],[Impressions]]</f>
        <v>5.077269199406604E-2</v>
      </c>
      <c r="K44" s="7">
        <f>IFERROR(Table1[[#This Row],[Conversions]]/Table1[[#This Row],[Clicks]],0)</f>
        <v>3.9086687306501548E-2</v>
      </c>
      <c r="L44" s="6">
        <f>IF(Table1[[#This Row],[Conversions]]=0,0,Table1[[#This Row],[Ad Spend]]/Table1[[#This Row],[Conversions]])</f>
        <v>4.0185148514851488</v>
      </c>
      <c r="M44" s="8">
        <f>IF(Table1[[#This Row],[Ad Spend]]=0,0,Table1[[#This Row],[Revenue]]/Table1[[#This Row],[Ad Spend]])</f>
        <v>12.64791682065686</v>
      </c>
      <c r="N44">
        <f>YEAR(Table1[[#This Row],[Date]])</f>
        <v>2024</v>
      </c>
      <c r="O44" t="str">
        <f>TEXT(Table1[[#This Row],[Date]],"mmm")</f>
        <v>Jan</v>
      </c>
      <c r="P44">
        <f>MONTH(Table1[[#This Row],[Date]])</f>
        <v>1</v>
      </c>
    </row>
    <row r="45" spans="1:16" x14ac:dyDescent="0.25">
      <c r="A45" t="s">
        <v>64</v>
      </c>
      <c r="B45" t="s">
        <v>31</v>
      </c>
      <c r="C45" t="s">
        <v>19</v>
      </c>
      <c r="D45" s="1">
        <v>45399</v>
      </c>
      <c r="E45">
        <v>70412</v>
      </c>
      <c r="F45">
        <v>3991</v>
      </c>
      <c r="G45">
        <v>263</v>
      </c>
      <c r="H45" s="4">
        <v>2887.44</v>
      </c>
      <c r="I45" s="4">
        <v>28264.94</v>
      </c>
      <c r="J45" s="7">
        <f>Table1[[#This Row],[Clicks]]/Table1[[#This Row],[Impressions]]</f>
        <v>5.6680679429642673E-2</v>
      </c>
      <c r="K45" s="7">
        <f>IFERROR(Table1[[#This Row],[Conversions]]/Table1[[#This Row],[Clicks]],0)</f>
        <v>6.5898271109997492E-2</v>
      </c>
      <c r="L45" s="6">
        <f>IF(Table1[[#This Row],[Conversions]]=0,0,Table1[[#This Row],[Ad Spend]]/Table1[[#This Row],[Conversions]])</f>
        <v>10.978859315589354</v>
      </c>
      <c r="M45" s="8">
        <f>IF(Table1[[#This Row],[Ad Spend]]=0,0,Table1[[#This Row],[Revenue]]/Table1[[#This Row],[Ad Spend]])</f>
        <v>9.7889272158036178</v>
      </c>
      <c r="N45">
        <f>YEAR(Table1[[#This Row],[Date]])</f>
        <v>2024</v>
      </c>
      <c r="O45" t="str">
        <f>TEXT(Table1[[#This Row],[Date]],"mmm")</f>
        <v>Apr</v>
      </c>
      <c r="P45">
        <f>MONTH(Table1[[#This Row],[Date]])</f>
        <v>4</v>
      </c>
    </row>
    <row r="46" spans="1:16" x14ac:dyDescent="0.25">
      <c r="A46" t="s">
        <v>65</v>
      </c>
      <c r="B46" t="s">
        <v>16</v>
      </c>
      <c r="C46" t="s">
        <v>37</v>
      </c>
      <c r="D46" s="1">
        <v>45375</v>
      </c>
      <c r="E46">
        <v>51413</v>
      </c>
      <c r="F46">
        <v>3686</v>
      </c>
      <c r="G46">
        <v>85</v>
      </c>
      <c r="H46" s="4">
        <v>3735.51</v>
      </c>
      <c r="I46" s="4">
        <v>4523.58</v>
      </c>
      <c r="J46" s="7">
        <f>Table1[[#This Row],[Clicks]]/Table1[[#This Row],[Impressions]]</f>
        <v>7.1693929550891794E-2</v>
      </c>
      <c r="K46" s="7">
        <f>IFERROR(Table1[[#This Row],[Conversions]]/Table1[[#This Row],[Clicks]],0)</f>
        <v>2.3060227889310905E-2</v>
      </c>
      <c r="L46" s="6">
        <f>IF(Table1[[#This Row],[Conversions]]=0,0,Table1[[#This Row],[Ad Spend]]/Table1[[#This Row],[Conversions]])</f>
        <v>43.947176470588239</v>
      </c>
      <c r="M46" s="8">
        <f>IF(Table1[[#This Row],[Ad Spend]]=0,0,Table1[[#This Row],[Revenue]]/Table1[[#This Row],[Ad Spend]])</f>
        <v>1.2109671771725947</v>
      </c>
      <c r="N46">
        <f>YEAR(Table1[[#This Row],[Date]])</f>
        <v>2024</v>
      </c>
      <c r="O46" t="str">
        <f>TEXT(Table1[[#This Row],[Date]],"mmm")</f>
        <v>Mar</v>
      </c>
      <c r="P46">
        <f>MONTH(Table1[[#This Row],[Date]])</f>
        <v>3</v>
      </c>
    </row>
    <row r="47" spans="1:16" x14ac:dyDescent="0.25">
      <c r="A47" t="s">
        <v>66</v>
      </c>
      <c r="B47" t="s">
        <v>21</v>
      </c>
      <c r="C47" t="s">
        <v>37</v>
      </c>
      <c r="D47" s="1">
        <v>45428</v>
      </c>
      <c r="E47">
        <v>46732</v>
      </c>
      <c r="F47">
        <v>3043</v>
      </c>
      <c r="G47">
        <v>103</v>
      </c>
      <c r="H47" s="4">
        <v>4386.3999999999996</v>
      </c>
      <c r="I47" s="4">
        <v>10903.51</v>
      </c>
      <c r="J47" s="7">
        <f>Table1[[#This Row],[Clicks]]/Table1[[#This Row],[Impressions]]</f>
        <v>6.5115980484464611E-2</v>
      </c>
      <c r="K47" s="7">
        <f>IFERROR(Table1[[#This Row],[Conversions]]/Table1[[#This Row],[Clicks]],0)</f>
        <v>3.3848176141965163E-2</v>
      </c>
      <c r="L47" s="6">
        <f>IF(Table1[[#This Row],[Conversions]]=0,0,Table1[[#This Row],[Ad Spend]]/Table1[[#This Row],[Conversions]])</f>
        <v>42.586407766990291</v>
      </c>
      <c r="M47" s="8">
        <f>IF(Table1[[#This Row],[Ad Spend]]=0,0,Table1[[#This Row],[Revenue]]/Table1[[#This Row],[Ad Spend]])</f>
        <v>2.4857536932336313</v>
      </c>
      <c r="N47">
        <f>YEAR(Table1[[#This Row],[Date]])</f>
        <v>2024</v>
      </c>
      <c r="O47" t="str">
        <f>TEXT(Table1[[#This Row],[Date]],"mmm")</f>
        <v>May</v>
      </c>
      <c r="P47">
        <f>MONTH(Table1[[#This Row],[Date]])</f>
        <v>5</v>
      </c>
    </row>
    <row r="48" spans="1:16" x14ac:dyDescent="0.25">
      <c r="A48" t="s">
        <v>67</v>
      </c>
      <c r="B48" t="s">
        <v>14</v>
      </c>
      <c r="C48" t="s">
        <v>37</v>
      </c>
      <c r="D48" s="1">
        <v>45710</v>
      </c>
      <c r="E48">
        <v>125665</v>
      </c>
      <c r="F48">
        <v>4332</v>
      </c>
      <c r="G48">
        <v>548</v>
      </c>
      <c r="H48" s="4">
        <v>4382.3500000000004</v>
      </c>
      <c r="I48" s="4">
        <v>23176.21</v>
      </c>
      <c r="J48" s="7">
        <f>Table1[[#This Row],[Clicks]]/Table1[[#This Row],[Impressions]]</f>
        <v>3.4472605737476625E-2</v>
      </c>
      <c r="K48" s="7">
        <f>IFERROR(Table1[[#This Row],[Conversions]]/Table1[[#This Row],[Clicks]],0)</f>
        <v>0.1265004616805171</v>
      </c>
      <c r="L48" s="6">
        <f>IF(Table1[[#This Row],[Conversions]]=0,0,Table1[[#This Row],[Ad Spend]]/Table1[[#This Row],[Conversions]])</f>
        <v>7.9969890510948911</v>
      </c>
      <c r="M48" s="8">
        <f>IF(Table1[[#This Row],[Ad Spend]]=0,0,Table1[[#This Row],[Revenue]]/Table1[[#This Row],[Ad Spend]])</f>
        <v>5.2885346902917378</v>
      </c>
      <c r="N48">
        <f>YEAR(Table1[[#This Row],[Date]])</f>
        <v>2025</v>
      </c>
      <c r="O48" t="str">
        <f>TEXT(Table1[[#This Row],[Date]],"mmm")</f>
        <v>Feb</v>
      </c>
      <c r="P48">
        <f>MONTH(Table1[[#This Row],[Date]])</f>
        <v>2</v>
      </c>
    </row>
    <row r="49" spans="1:16" x14ac:dyDescent="0.25">
      <c r="A49" t="s">
        <v>68</v>
      </c>
      <c r="B49" t="s">
        <v>14</v>
      </c>
      <c r="C49" t="s">
        <v>17</v>
      </c>
      <c r="D49" s="1">
        <v>45460</v>
      </c>
      <c r="E49">
        <v>78034</v>
      </c>
      <c r="F49">
        <v>5501</v>
      </c>
      <c r="G49">
        <v>801</v>
      </c>
      <c r="H49" s="4">
        <v>1539.8</v>
      </c>
      <c r="I49" s="4">
        <v>67402.69</v>
      </c>
      <c r="J49" s="7">
        <f>Table1[[#This Row],[Clicks]]/Table1[[#This Row],[Impressions]]</f>
        <v>7.0494912474049778E-2</v>
      </c>
      <c r="K49" s="7">
        <f>IFERROR(Table1[[#This Row],[Conversions]]/Table1[[#This Row],[Clicks]],0)</f>
        <v>0.1456098891110707</v>
      </c>
      <c r="L49" s="6">
        <f>IF(Table1[[#This Row],[Conversions]]=0,0,Table1[[#This Row],[Ad Spend]]/Table1[[#This Row],[Conversions]])</f>
        <v>1.9223470661672908</v>
      </c>
      <c r="M49" s="8">
        <f>IF(Table1[[#This Row],[Ad Spend]]=0,0,Table1[[#This Row],[Revenue]]/Table1[[#This Row],[Ad Spend]])</f>
        <v>43.773665411092352</v>
      </c>
      <c r="N49">
        <f>YEAR(Table1[[#This Row],[Date]])</f>
        <v>2024</v>
      </c>
      <c r="O49" t="str">
        <f>TEXT(Table1[[#This Row],[Date]],"mmm")</f>
        <v>Jun</v>
      </c>
      <c r="P49">
        <f>MONTH(Table1[[#This Row],[Date]])</f>
        <v>6</v>
      </c>
    </row>
    <row r="50" spans="1:16" x14ac:dyDescent="0.25">
      <c r="A50" t="s">
        <v>69</v>
      </c>
      <c r="B50" t="s">
        <v>21</v>
      </c>
      <c r="C50" t="s">
        <v>12</v>
      </c>
      <c r="D50" s="1">
        <v>45461</v>
      </c>
      <c r="E50">
        <v>12235</v>
      </c>
      <c r="F50">
        <v>221</v>
      </c>
      <c r="G50">
        <v>32</v>
      </c>
      <c r="H50" s="4">
        <v>1057.1300000000001</v>
      </c>
      <c r="I50" s="4">
        <v>3720.11</v>
      </c>
      <c r="J50" s="7">
        <f>Table1[[#This Row],[Clicks]]/Table1[[#This Row],[Impressions]]</f>
        <v>1.8062934205149161E-2</v>
      </c>
      <c r="K50" s="7">
        <f>IFERROR(Table1[[#This Row],[Conversions]]/Table1[[#This Row],[Clicks]],0)</f>
        <v>0.14479638009049775</v>
      </c>
      <c r="L50" s="6">
        <f>IF(Table1[[#This Row],[Conversions]]=0,0,Table1[[#This Row],[Ad Spend]]/Table1[[#This Row],[Conversions]])</f>
        <v>33.035312500000003</v>
      </c>
      <c r="M50" s="8">
        <f>IF(Table1[[#This Row],[Ad Spend]]=0,0,Table1[[#This Row],[Revenue]]/Table1[[#This Row],[Ad Spend]])</f>
        <v>3.5190657724215564</v>
      </c>
      <c r="N50">
        <f>YEAR(Table1[[#This Row],[Date]])</f>
        <v>2024</v>
      </c>
      <c r="O50" t="str">
        <f>TEXT(Table1[[#This Row],[Date]],"mmm")</f>
        <v>Jun</v>
      </c>
      <c r="P50">
        <f>MONTH(Table1[[#This Row],[Date]])</f>
        <v>6</v>
      </c>
    </row>
    <row r="51" spans="1:16" x14ac:dyDescent="0.25">
      <c r="A51" t="s">
        <v>70</v>
      </c>
      <c r="B51" t="s">
        <v>34</v>
      </c>
      <c r="C51" t="s">
        <v>10</v>
      </c>
      <c r="D51" s="1">
        <v>45347</v>
      </c>
      <c r="E51">
        <v>118918</v>
      </c>
      <c r="F51">
        <v>4066</v>
      </c>
      <c r="G51">
        <v>497</v>
      </c>
      <c r="H51" s="4">
        <v>2294.69</v>
      </c>
      <c r="I51" s="4">
        <v>58856.52</v>
      </c>
      <c r="J51" s="7">
        <f>Table1[[#This Row],[Clicks]]/Table1[[#This Row],[Impressions]]</f>
        <v>3.4191627844396978E-2</v>
      </c>
      <c r="K51" s="7">
        <f>IFERROR(Table1[[#This Row],[Conversions]]/Table1[[#This Row],[Clicks]],0)</f>
        <v>0.12223315297589769</v>
      </c>
      <c r="L51" s="6">
        <f>IF(Table1[[#This Row],[Conversions]]=0,0,Table1[[#This Row],[Ad Spend]]/Table1[[#This Row],[Conversions]])</f>
        <v>4.6170824949698188</v>
      </c>
      <c r="M51" s="8">
        <f>IF(Table1[[#This Row],[Ad Spend]]=0,0,Table1[[#This Row],[Revenue]]/Table1[[#This Row],[Ad Spend]])</f>
        <v>25.649007055419247</v>
      </c>
      <c r="N51">
        <f>YEAR(Table1[[#This Row],[Date]])</f>
        <v>2024</v>
      </c>
      <c r="O51" t="str">
        <f>TEXT(Table1[[#This Row],[Date]],"mmm")</f>
        <v>Feb</v>
      </c>
      <c r="P51">
        <f>MONTH(Table1[[#This Row],[Date]])</f>
        <v>2</v>
      </c>
    </row>
    <row r="52" spans="1:16" x14ac:dyDescent="0.25">
      <c r="A52" t="s">
        <v>71</v>
      </c>
      <c r="B52" t="s">
        <v>9</v>
      </c>
      <c r="C52" t="s">
        <v>17</v>
      </c>
      <c r="D52" s="1">
        <v>45587</v>
      </c>
      <c r="E52">
        <v>54828</v>
      </c>
      <c r="F52">
        <v>1525</v>
      </c>
      <c r="G52">
        <v>171</v>
      </c>
      <c r="H52" s="4">
        <v>208.12</v>
      </c>
      <c r="I52" s="4">
        <v>19247.34</v>
      </c>
      <c r="J52" s="7">
        <f>Table1[[#This Row],[Clicks]]/Table1[[#This Row],[Impressions]]</f>
        <v>2.7814255489895672E-2</v>
      </c>
      <c r="K52" s="7">
        <f>IFERROR(Table1[[#This Row],[Conversions]]/Table1[[#This Row],[Clicks]],0)</f>
        <v>0.11213114754098361</v>
      </c>
      <c r="L52" s="6">
        <f>IF(Table1[[#This Row],[Conversions]]=0,0,Table1[[#This Row],[Ad Spend]]/Table1[[#This Row],[Conversions]])</f>
        <v>1.217076023391813</v>
      </c>
      <c r="M52" s="8">
        <f>IF(Table1[[#This Row],[Ad Spend]]=0,0,Table1[[#This Row],[Revenue]]/Table1[[#This Row],[Ad Spend]])</f>
        <v>92.481933499903903</v>
      </c>
      <c r="N52">
        <f>YEAR(Table1[[#This Row],[Date]])</f>
        <v>2024</v>
      </c>
      <c r="O52" t="str">
        <f>TEXT(Table1[[#This Row],[Date]],"mmm")</f>
        <v>Oct</v>
      </c>
      <c r="P52">
        <f>MONTH(Table1[[#This Row],[Date]])</f>
        <v>10</v>
      </c>
    </row>
    <row r="53" spans="1:16" x14ac:dyDescent="0.25">
      <c r="A53" t="s">
        <v>72</v>
      </c>
      <c r="B53" t="s">
        <v>14</v>
      </c>
      <c r="C53" t="s">
        <v>19</v>
      </c>
      <c r="D53" s="1">
        <v>45512</v>
      </c>
      <c r="E53">
        <v>23343</v>
      </c>
      <c r="F53">
        <v>1783</v>
      </c>
      <c r="G53">
        <v>249</v>
      </c>
      <c r="H53" s="4">
        <v>3191.15</v>
      </c>
      <c r="I53" s="4">
        <v>21498.35</v>
      </c>
      <c r="J53" s="7">
        <f>Table1[[#This Row],[Clicks]]/Table1[[#This Row],[Impressions]]</f>
        <v>7.6382641477102345E-2</v>
      </c>
      <c r="K53" s="7">
        <f>IFERROR(Table1[[#This Row],[Conversions]]/Table1[[#This Row],[Clicks]],0)</f>
        <v>0.13965227145260797</v>
      </c>
      <c r="L53" s="6">
        <f>IF(Table1[[#This Row],[Conversions]]=0,0,Table1[[#This Row],[Ad Spend]]/Table1[[#This Row],[Conversions]])</f>
        <v>12.815863453815261</v>
      </c>
      <c r="M53" s="8">
        <f>IF(Table1[[#This Row],[Ad Spend]]=0,0,Table1[[#This Row],[Revenue]]/Table1[[#This Row],[Ad Spend]])</f>
        <v>6.7368660200868016</v>
      </c>
      <c r="N53">
        <f>YEAR(Table1[[#This Row],[Date]])</f>
        <v>2024</v>
      </c>
      <c r="O53" t="str">
        <f>TEXT(Table1[[#This Row],[Date]],"mmm")</f>
        <v>Aug</v>
      </c>
      <c r="P53">
        <f>MONTH(Table1[[#This Row],[Date]])</f>
        <v>8</v>
      </c>
    </row>
    <row r="54" spans="1:16" x14ac:dyDescent="0.25">
      <c r="A54" t="s">
        <v>73</v>
      </c>
      <c r="B54" t="s">
        <v>9</v>
      </c>
      <c r="C54" t="s">
        <v>19</v>
      </c>
      <c r="D54" s="1">
        <v>45551</v>
      </c>
      <c r="E54">
        <v>86077</v>
      </c>
      <c r="F54">
        <v>4879</v>
      </c>
      <c r="G54">
        <v>304</v>
      </c>
      <c r="H54" s="4">
        <v>3546.6</v>
      </c>
      <c r="I54" s="4">
        <v>22934.14</v>
      </c>
      <c r="J54" s="7">
        <f>Table1[[#This Row],[Clicks]]/Table1[[#This Row],[Impressions]]</f>
        <v>5.6681808148518184E-2</v>
      </c>
      <c r="K54" s="7">
        <f>IFERROR(Table1[[#This Row],[Conversions]]/Table1[[#This Row],[Clicks]],0)</f>
        <v>6.2307849969255993E-2</v>
      </c>
      <c r="L54" s="6">
        <f>IF(Table1[[#This Row],[Conversions]]=0,0,Table1[[#This Row],[Ad Spend]]/Table1[[#This Row],[Conversions]])</f>
        <v>11.666447368421052</v>
      </c>
      <c r="M54" s="8">
        <f>IF(Table1[[#This Row],[Ad Spend]]=0,0,Table1[[#This Row],[Revenue]]/Table1[[#This Row],[Ad Spend]])</f>
        <v>6.4665144081655672</v>
      </c>
      <c r="N54">
        <f>YEAR(Table1[[#This Row],[Date]])</f>
        <v>2024</v>
      </c>
      <c r="O54" t="str">
        <f>TEXT(Table1[[#This Row],[Date]],"mmm")</f>
        <v>Sept</v>
      </c>
      <c r="P54">
        <f>MONTH(Table1[[#This Row],[Date]])</f>
        <v>9</v>
      </c>
    </row>
    <row r="55" spans="1:16" x14ac:dyDescent="0.25">
      <c r="A55" t="s">
        <v>74</v>
      </c>
      <c r="B55" t="s">
        <v>14</v>
      </c>
      <c r="C55" t="s">
        <v>17</v>
      </c>
      <c r="D55" s="1">
        <v>45632</v>
      </c>
      <c r="E55">
        <v>104390</v>
      </c>
      <c r="F55">
        <v>5993</v>
      </c>
      <c r="G55">
        <v>823</v>
      </c>
      <c r="H55" s="4">
        <v>3154.47</v>
      </c>
      <c r="I55" s="4">
        <v>41228.17</v>
      </c>
      <c r="J55" s="7">
        <f>Table1[[#This Row],[Clicks]]/Table1[[#This Row],[Impressions]]</f>
        <v>5.7409713574097139E-2</v>
      </c>
      <c r="K55" s="7">
        <f>IFERROR(Table1[[#This Row],[Conversions]]/Table1[[#This Row],[Clicks]],0)</f>
        <v>0.13732688136158852</v>
      </c>
      <c r="L55" s="6">
        <f>IF(Table1[[#This Row],[Conversions]]=0,0,Table1[[#This Row],[Ad Spend]]/Table1[[#This Row],[Conversions]])</f>
        <v>3.8328918590522476</v>
      </c>
      <c r="M55" s="8">
        <f>IF(Table1[[#This Row],[Ad Spend]]=0,0,Table1[[#This Row],[Revenue]]/Table1[[#This Row],[Ad Spend]])</f>
        <v>13.069761322821266</v>
      </c>
      <c r="N55">
        <f>YEAR(Table1[[#This Row],[Date]])</f>
        <v>2024</v>
      </c>
      <c r="O55" t="str">
        <f>TEXT(Table1[[#This Row],[Date]],"mmm")</f>
        <v>Dec</v>
      </c>
      <c r="P55">
        <f>MONTH(Table1[[#This Row],[Date]])</f>
        <v>12</v>
      </c>
    </row>
    <row r="56" spans="1:16" x14ac:dyDescent="0.25">
      <c r="A56" t="s">
        <v>75</v>
      </c>
      <c r="B56" t="s">
        <v>31</v>
      </c>
      <c r="C56" t="s">
        <v>19</v>
      </c>
      <c r="D56" s="1">
        <v>45438</v>
      </c>
      <c r="E56">
        <v>60098</v>
      </c>
      <c r="F56">
        <v>2409</v>
      </c>
      <c r="G56">
        <v>229</v>
      </c>
      <c r="H56" s="4">
        <v>3342.59</v>
      </c>
      <c r="I56" s="4">
        <v>15228.23</v>
      </c>
      <c r="J56" s="7">
        <f>Table1[[#This Row],[Clicks]]/Table1[[#This Row],[Impressions]]</f>
        <v>4.0084528603281308E-2</v>
      </c>
      <c r="K56" s="7">
        <f>IFERROR(Table1[[#This Row],[Conversions]]/Table1[[#This Row],[Clicks]],0)</f>
        <v>9.5060190950601905E-2</v>
      </c>
      <c r="L56" s="6">
        <f>IF(Table1[[#This Row],[Conversions]]=0,0,Table1[[#This Row],[Ad Spend]]/Table1[[#This Row],[Conversions]])</f>
        <v>14.59646288209607</v>
      </c>
      <c r="M56" s="8">
        <f>IF(Table1[[#This Row],[Ad Spend]]=0,0,Table1[[#This Row],[Revenue]]/Table1[[#This Row],[Ad Spend]])</f>
        <v>4.5558174948168935</v>
      </c>
      <c r="N56">
        <f>YEAR(Table1[[#This Row],[Date]])</f>
        <v>2024</v>
      </c>
      <c r="O56" t="str">
        <f>TEXT(Table1[[#This Row],[Date]],"mmm")</f>
        <v>May</v>
      </c>
      <c r="P56">
        <f>MONTH(Table1[[#This Row],[Date]])</f>
        <v>5</v>
      </c>
    </row>
    <row r="57" spans="1:16" x14ac:dyDescent="0.25">
      <c r="A57" t="s">
        <v>76</v>
      </c>
      <c r="B57" t="s">
        <v>41</v>
      </c>
      <c r="C57" t="s">
        <v>37</v>
      </c>
      <c r="D57" s="1">
        <v>45553</v>
      </c>
      <c r="E57">
        <v>129042</v>
      </c>
      <c r="F57">
        <v>8460</v>
      </c>
      <c r="G57">
        <v>1224</v>
      </c>
      <c r="H57" s="4">
        <v>3732.61</v>
      </c>
      <c r="I57" s="4">
        <v>105123.33</v>
      </c>
      <c r="J57" s="7">
        <f>Table1[[#This Row],[Clicks]]/Table1[[#This Row],[Impressions]]</f>
        <v>6.5560050216208671E-2</v>
      </c>
      <c r="K57" s="7">
        <f>IFERROR(Table1[[#This Row],[Conversions]]/Table1[[#This Row],[Clicks]],0)</f>
        <v>0.14468085106382977</v>
      </c>
      <c r="L57" s="6">
        <f>IF(Table1[[#This Row],[Conversions]]=0,0,Table1[[#This Row],[Ad Spend]]/Table1[[#This Row],[Conversions]])</f>
        <v>3.0495179738562093</v>
      </c>
      <c r="M57" s="8">
        <f>IF(Table1[[#This Row],[Ad Spend]]=0,0,Table1[[#This Row],[Revenue]]/Table1[[#This Row],[Ad Spend]])</f>
        <v>28.163491497906289</v>
      </c>
      <c r="N57">
        <f>YEAR(Table1[[#This Row],[Date]])</f>
        <v>2024</v>
      </c>
      <c r="O57" t="str">
        <f>TEXT(Table1[[#This Row],[Date]],"mmm")</f>
        <v>Sept</v>
      </c>
      <c r="P57">
        <f>MONTH(Table1[[#This Row],[Date]])</f>
        <v>9</v>
      </c>
    </row>
    <row r="58" spans="1:16" x14ac:dyDescent="0.25">
      <c r="A58" t="s">
        <v>77</v>
      </c>
      <c r="B58" t="s">
        <v>34</v>
      </c>
      <c r="C58" t="s">
        <v>12</v>
      </c>
      <c r="D58" s="1">
        <v>45631</v>
      </c>
      <c r="E58">
        <v>92867</v>
      </c>
      <c r="F58">
        <v>1535</v>
      </c>
      <c r="G58">
        <v>220</v>
      </c>
      <c r="H58" s="4">
        <v>1327.37</v>
      </c>
      <c r="I58" s="4">
        <v>11229.23</v>
      </c>
      <c r="J58" s="7">
        <f>Table1[[#This Row],[Clicks]]/Table1[[#This Row],[Impressions]]</f>
        <v>1.6529014612295001E-2</v>
      </c>
      <c r="K58" s="7">
        <f>IFERROR(Table1[[#This Row],[Conversions]]/Table1[[#This Row],[Clicks]],0)</f>
        <v>0.14332247557003258</v>
      </c>
      <c r="L58" s="6">
        <f>IF(Table1[[#This Row],[Conversions]]=0,0,Table1[[#This Row],[Ad Spend]]/Table1[[#This Row],[Conversions]])</f>
        <v>6.0334999999999992</v>
      </c>
      <c r="M58" s="8">
        <f>IF(Table1[[#This Row],[Ad Spend]]=0,0,Table1[[#This Row],[Revenue]]/Table1[[#This Row],[Ad Spend]])</f>
        <v>8.4597587711037612</v>
      </c>
      <c r="N58">
        <f>YEAR(Table1[[#This Row],[Date]])</f>
        <v>2024</v>
      </c>
      <c r="O58" t="str">
        <f>TEXT(Table1[[#This Row],[Date]],"mmm")</f>
        <v>Dec</v>
      </c>
      <c r="P58">
        <f>MONTH(Table1[[#This Row],[Date]])</f>
        <v>12</v>
      </c>
    </row>
    <row r="59" spans="1:16" x14ac:dyDescent="0.25">
      <c r="A59" t="s">
        <v>78</v>
      </c>
      <c r="B59" t="s">
        <v>14</v>
      </c>
      <c r="C59" t="s">
        <v>37</v>
      </c>
      <c r="D59" s="1">
        <v>45304</v>
      </c>
      <c r="E59">
        <v>17114</v>
      </c>
      <c r="F59">
        <v>464</v>
      </c>
      <c r="G59">
        <v>37</v>
      </c>
      <c r="H59" s="4">
        <v>4278.74</v>
      </c>
      <c r="I59" s="4">
        <v>1009.46</v>
      </c>
      <c r="J59" s="7">
        <f>Table1[[#This Row],[Clicks]]/Table1[[#This Row],[Impressions]]</f>
        <v>2.711230571461961E-2</v>
      </c>
      <c r="K59" s="7">
        <f>IFERROR(Table1[[#This Row],[Conversions]]/Table1[[#This Row],[Clicks]],0)</f>
        <v>7.9741379310344834E-2</v>
      </c>
      <c r="L59" s="6">
        <f>IF(Table1[[#This Row],[Conversions]]=0,0,Table1[[#This Row],[Ad Spend]]/Table1[[#This Row],[Conversions]])</f>
        <v>115.64162162162161</v>
      </c>
      <c r="M59" s="8">
        <f>IF(Table1[[#This Row],[Ad Spend]]=0,0,Table1[[#This Row],[Revenue]]/Table1[[#This Row],[Ad Spend]])</f>
        <v>0.2359245946236509</v>
      </c>
      <c r="N59">
        <f>YEAR(Table1[[#This Row],[Date]])</f>
        <v>2024</v>
      </c>
      <c r="O59" t="str">
        <f>TEXT(Table1[[#This Row],[Date]],"mmm")</f>
        <v>Jan</v>
      </c>
      <c r="P59">
        <f>MONTH(Table1[[#This Row],[Date]])</f>
        <v>1</v>
      </c>
    </row>
    <row r="60" spans="1:16" x14ac:dyDescent="0.25">
      <c r="A60" t="s">
        <v>79</v>
      </c>
      <c r="B60" t="s">
        <v>21</v>
      </c>
      <c r="C60" t="s">
        <v>12</v>
      </c>
      <c r="D60" s="1">
        <v>45391</v>
      </c>
      <c r="E60">
        <v>105657</v>
      </c>
      <c r="F60">
        <v>4712</v>
      </c>
      <c r="G60">
        <v>243</v>
      </c>
      <c r="H60" s="4">
        <v>3349.08</v>
      </c>
      <c r="I60" s="4">
        <v>4994.74</v>
      </c>
      <c r="J60" s="7">
        <f>Table1[[#This Row],[Clicks]]/Table1[[#This Row],[Impressions]]</f>
        <v>4.4597139801432942E-2</v>
      </c>
      <c r="K60" s="7">
        <f>IFERROR(Table1[[#This Row],[Conversions]]/Table1[[#This Row],[Clicks]],0)</f>
        <v>5.1570458404074704E-2</v>
      </c>
      <c r="L60" s="6">
        <f>IF(Table1[[#This Row],[Conversions]]=0,0,Table1[[#This Row],[Ad Spend]]/Table1[[#This Row],[Conversions]])</f>
        <v>13.782222222222222</v>
      </c>
      <c r="M60" s="8">
        <f>IF(Table1[[#This Row],[Ad Spend]]=0,0,Table1[[#This Row],[Revenue]]/Table1[[#This Row],[Ad Spend]])</f>
        <v>1.4913767362977295</v>
      </c>
      <c r="N60">
        <f>YEAR(Table1[[#This Row],[Date]])</f>
        <v>2024</v>
      </c>
      <c r="O60" t="str">
        <f>TEXT(Table1[[#This Row],[Date]],"mmm")</f>
        <v>Apr</v>
      </c>
      <c r="P60">
        <f>MONTH(Table1[[#This Row],[Date]])</f>
        <v>4</v>
      </c>
    </row>
    <row r="61" spans="1:16" x14ac:dyDescent="0.25">
      <c r="A61" t="s">
        <v>80</v>
      </c>
      <c r="B61" t="s">
        <v>9</v>
      </c>
      <c r="C61" t="s">
        <v>17</v>
      </c>
      <c r="D61" s="1">
        <v>45404</v>
      </c>
      <c r="E61">
        <v>51107</v>
      </c>
      <c r="F61">
        <v>3387</v>
      </c>
      <c r="G61">
        <v>374</v>
      </c>
      <c r="H61" s="4">
        <v>2429.84</v>
      </c>
      <c r="I61" s="4">
        <v>28326.98</v>
      </c>
      <c r="J61" s="7">
        <f>Table1[[#This Row],[Clicks]]/Table1[[#This Row],[Impressions]]</f>
        <v>6.6272721936329659E-2</v>
      </c>
      <c r="K61" s="7">
        <f>IFERROR(Table1[[#This Row],[Conversions]]/Table1[[#This Row],[Clicks]],0)</f>
        <v>0.11042220253912016</v>
      </c>
      <c r="L61" s="6">
        <f>IF(Table1[[#This Row],[Conversions]]=0,0,Table1[[#This Row],[Ad Spend]]/Table1[[#This Row],[Conversions]])</f>
        <v>6.4968983957219253</v>
      </c>
      <c r="M61" s="8">
        <f>IF(Table1[[#This Row],[Ad Spend]]=0,0,Table1[[#This Row],[Revenue]]/Table1[[#This Row],[Ad Spend]])</f>
        <v>11.657961018009415</v>
      </c>
      <c r="N61">
        <f>YEAR(Table1[[#This Row],[Date]])</f>
        <v>2024</v>
      </c>
      <c r="O61" t="str">
        <f>TEXT(Table1[[#This Row],[Date]],"mmm")</f>
        <v>Apr</v>
      </c>
      <c r="P61">
        <f>MONTH(Table1[[#This Row],[Date]])</f>
        <v>4</v>
      </c>
    </row>
    <row r="62" spans="1:16" x14ac:dyDescent="0.25">
      <c r="A62" t="s">
        <v>81</v>
      </c>
      <c r="B62" t="s">
        <v>9</v>
      </c>
      <c r="C62" t="s">
        <v>17</v>
      </c>
      <c r="D62" s="1">
        <v>45360</v>
      </c>
      <c r="E62">
        <v>126803</v>
      </c>
      <c r="F62">
        <v>7193</v>
      </c>
      <c r="G62">
        <v>1067</v>
      </c>
      <c r="H62" s="4">
        <v>3058.17</v>
      </c>
      <c r="I62" s="4">
        <v>122709.23</v>
      </c>
      <c r="J62" s="7">
        <f>Table1[[#This Row],[Clicks]]/Table1[[#This Row],[Impressions]]</f>
        <v>5.6725787244781278E-2</v>
      </c>
      <c r="K62" s="7">
        <f>IFERROR(Table1[[#This Row],[Conversions]]/Table1[[#This Row],[Clicks]],0)</f>
        <v>0.14833866258862782</v>
      </c>
      <c r="L62" s="6">
        <f>IF(Table1[[#This Row],[Conversions]]=0,0,Table1[[#This Row],[Ad Spend]]/Table1[[#This Row],[Conversions]])</f>
        <v>2.8661387066541706</v>
      </c>
      <c r="M62" s="8">
        <f>IF(Table1[[#This Row],[Ad Spend]]=0,0,Table1[[#This Row],[Revenue]]/Table1[[#This Row],[Ad Spend]])</f>
        <v>40.125051910129258</v>
      </c>
      <c r="N62">
        <f>YEAR(Table1[[#This Row],[Date]])</f>
        <v>2024</v>
      </c>
      <c r="O62" t="str">
        <f>TEXT(Table1[[#This Row],[Date]],"mmm")</f>
        <v>Mar</v>
      </c>
      <c r="P62">
        <f>MONTH(Table1[[#This Row],[Date]])</f>
        <v>3</v>
      </c>
    </row>
    <row r="63" spans="1:16" x14ac:dyDescent="0.25">
      <c r="A63" t="s">
        <v>82</v>
      </c>
      <c r="B63" t="s">
        <v>41</v>
      </c>
      <c r="C63" t="s">
        <v>12</v>
      </c>
      <c r="D63" s="1">
        <v>45709</v>
      </c>
      <c r="E63">
        <v>137324</v>
      </c>
      <c r="F63">
        <v>5475</v>
      </c>
      <c r="G63">
        <v>754</v>
      </c>
      <c r="H63" s="4">
        <v>2340.39</v>
      </c>
      <c r="I63" s="4">
        <v>27080.51</v>
      </c>
      <c r="J63" s="7">
        <f>Table1[[#This Row],[Clicks]]/Table1[[#This Row],[Impressions]]</f>
        <v>3.9869214412629986E-2</v>
      </c>
      <c r="K63" s="7">
        <f>IFERROR(Table1[[#This Row],[Conversions]]/Table1[[#This Row],[Clicks]],0)</f>
        <v>0.13771689497716896</v>
      </c>
      <c r="L63" s="6">
        <f>IF(Table1[[#This Row],[Conversions]]=0,0,Table1[[#This Row],[Ad Spend]]/Table1[[#This Row],[Conversions]])</f>
        <v>3.1039655172413791</v>
      </c>
      <c r="M63" s="8">
        <f>IF(Table1[[#This Row],[Ad Spend]]=0,0,Table1[[#This Row],[Revenue]]/Table1[[#This Row],[Ad Spend]])</f>
        <v>11.570939031528933</v>
      </c>
      <c r="N63">
        <f>YEAR(Table1[[#This Row],[Date]])</f>
        <v>2025</v>
      </c>
      <c r="O63" t="str">
        <f>TEXT(Table1[[#This Row],[Date]],"mmm")</f>
        <v>Feb</v>
      </c>
      <c r="P63">
        <f>MONTH(Table1[[#This Row],[Date]])</f>
        <v>2</v>
      </c>
    </row>
    <row r="64" spans="1:16" x14ac:dyDescent="0.25">
      <c r="A64" t="s">
        <v>83</v>
      </c>
      <c r="B64" t="s">
        <v>41</v>
      </c>
      <c r="C64" t="s">
        <v>17</v>
      </c>
      <c r="D64" s="1">
        <v>45424</v>
      </c>
      <c r="E64">
        <v>69812</v>
      </c>
      <c r="F64">
        <v>4802</v>
      </c>
      <c r="G64">
        <v>269</v>
      </c>
      <c r="H64" s="4">
        <v>3932.84</v>
      </c>
      <c r="I64" s="4">
        <v>18415.66</v>
      </c>
      <c r="J64" s="7">
        <f>Table1[[#This Row],[Clicks]]/Table1[[#This Row],[Impressions]]</f>
        <v>6.8784736148513145E-2</v>
      </c>
      <c r="K64" s="7">
        <f>IFERROR(Table1[[#This Row],[Conversions]]/Table1[[#This Row],[Clicks]],0)</f>
        <v>5.6018325697625992E-2</v>
      </c>
      <c r="L64" s="6">
        <f>IF(Table1[[#This Row],[Conversions]]=0,0,Table1[[#This Row],[Ad Spend]]/Table1[[#This Row],[Conversions]])</f>
        <v>14.620223048327139</v>
      </c>
      <c r="M64" s="8">
        <f>IF(Table1[[#This Row],[Ad Spend]]=0,0,Table1[[#This Row],[Revenue]]/Table1[[#This Row],[Ad Spend]])</f>
        <v>4.6825347585968409</v>
      </c>
      <c r="N64">
        <f>YEAR(Table1[[#This Row],[Date]])</f>
        <v>2024</v>
      </c>
      <c r="O64" t="str">
        <f>TEXT(Table1[[#This Row],[Date]],"mmm")</f>
        <v>May</v>
      </c>
      <c r="P64">
        <f>MONTH(Table1[[#This Row],[Date]])</f>
        <v>5</v>
      </c>
    </row>
    <row r="65" spans="1:16" x14ac:dyDescent="0.25">
      <c r="A65" t="s">
        <v>84</v>
      </c>
      <c r="B65" t="s">
        <v>14</v>
      </c>
      <c r="C65" t="s">
        <v>19</v>
      </c>
      <c r="D65" s="1">
        <v>45517</v>
      </c>
      <c r="E65">
        <v>25311</v>
      </c>
      <c r="F65">
        <v>1517</v>
      </c>
      <c r="G65">
        <v>76</v>
      </c>
      <c r="H65" s="4">
        <v>1812.07</v>
      </c>
      <c r="I65" s="4">
        <v>8307</v>
      </c>
      <c r="J65" s="7">
        <f>Table1[[#This Row],[Clicks]]/Table1[[#This Row],[Impressions]]</f>
        <v>5.9934415866619253E-2</v>
      </c>
      <c r="K65" s="7">
        <f>IFERROR(Table1[[#This Row],[Conversions]]/Table1[[#This Row],[Clicks]],0)</f>
        <v>5.0098879367172049E-2</v>
      </c>
      <c r="L65" s="6">
        <f>IF(Table1[[#This Row],[Conversions]]=0,0,Table1[[#This Row],[Ad Spend]]/Table1[[#This Row],[Conversions]])</f>
        <v>23.843026315789473</v>
      </c>
      <c r="M65" s="8">
        <f>IF(Table1[[#This Row],[Ad Spend]]=0,0,Table1[[#This Row],[Revenue]]/Table1[[#This Row],[Ad Spend]])</f>
        <v>4.5842599899562382</v>
      </c>
      <c r="N65">
        <f>YEAR(Table1[[#This Row],[Date]])</f>
        <v>2024</v>
      </c>
      <c r="O65" t="str">
        <f>TEXT(Table1[[#This Row],[Date]],"mmm")</f>
        <v>Aug</v>
      </c>
      <c r="P65">
        <f>MONTH(Table1[[#This Row],[Date]])</f>
        <v>8</v>
      </c>
    </row>
    <row r="66" spans="1:16" x14ac:dyDescent="0.25">
      <c r="A66" t="s">
        <v>85</v>
      </c>
      <c r="B66" t="s">
        <v>9</v>
      </c>
      <c r="C66" t="s">
        <v>37</v>
      </c>
      <c r="D66" s="1">
        <v>45369</v>
      </c>
      <c r="E66">
        <v>65623</v>
      </c>
      <c r="F66">
        <v>2415</v>
      </c>
      <c r="G66">
        <v>96</v>
      </c>
      <c r="H66" s="4">
        <v>1226.97</v>
      </c>
      <c r="I66" s="4">
        <v>5902.73</v>
      </c>
      <c r="J66" s="7">
        <f>Table1[[#This Row],[Clicks]]/Table1[[#This Row],[Impressions]]</f>
        <v>3.6801121557990341E-2</v>
      </c>
      <c r="K66" s="7">
        <f>IFERROR(Table1[[#This Row],[Conversions]]/Table1[[#This Row],[Clicks]],0)</f>
        <v>3.9751552795031057E-2</v>
      </c>
      <c r="L66" s="6">
        <f>IF(Table1[[#This Row],[Conversions]]=0,0,Table1[[#This Row],[Ad Spend]]/Table1[[#This Row],[Conversions]])</f>
        <v>12.7809375</v>
      </c>
      <c r="M66" s="8">
        <f>IF(Table1[[#This Row],[Ad Spend]]=0,0,Table1[[#This Row],[Revenue]]/Table1[[#This Row],[Ad Spend]])</f>
        <v>4.8108185204202218</v>
      </c>
      <c r="N66">
        <f>YEAR(Table1[[#This Row],[Date]])</f>
        <v>2024</v>
      </c>
      <c r="O66" t="str">
        <f>TEXT(Table1[[#This Row],[Date]],"mmm")</f>
        <v>Mar</v>
      </c>
      <c r="P66">
        <f>MONTH(Table1[[#This Row],[Date]])</f>
        <v>3</v>
      </c>
    </row>
    <row r="67" spans="1:16" x14ac:dyDescent="0.25">
      <c r="A67" t="s">
        <v>86</v>
      </c>
      <c r="B67" t="s">
        <v>47</v>
      </c>
      <c r="C67" t="s">
        <v>12</v>
      </c>
      <c r="D67" s="1">
        <v>45530</v>
      </c>
      <c r="E67">
        <v>113992</v>
      </c>
      <c r="F67">
        <v>1636</v>
      </c>
      <c r="G67">
        <v>209</v>
      </c>
      <c r="H67" s="4">
        <v>2069.4899999999998</v>
      </c>
      <c r="I67" s="4">
        <v>20268.73</v>
      </c>
      <c r="J67" s="7">
        <f>Table1[[#This Row],[Clicks]]/Table1[[#This Row],[Impressions]]</f>
        <v>1.4351884342760895E-2</v>
      </c>
      <c r="K67" s="7">
        <f>IFERROR(Table1[[#This Row],[Conversions]]/Table1[[#This Row],[Clicks]],0)</f>
        <v>0.12775061124694376</v>
      </c>
      <c r="L67" s="6">
        <f>IF(Table1[[#This Row],[Conversions]]=0,0,Table1[[#This Row],[Ad Spend]]/Table1[[#This Row],[Conversions]])</f>
        <v>9.9018660287081328</v>
      </c>
      <c r="M67" s="8">
        <f>IF(Table1[[#This Row],[Ad Spend]]=0,0,Table1[[#This Row],[Revenue]]/Table1[[#This Row],[Ad Spend]])</f>
        <v>9.7940700365790612</v>
      </c>
      <c r="N67">
        <f>YEAR(Table1[[#This Row],[Date]])</f>
        <v>2024</v>
      </c>
      <c r="O67" t="str">
        <f>TEXT(Table1[[#This Row],[Date]],"mmm")</f>
        <v>Aug</v>
      </c>
      <c r="P67">
        <f>MONTH(Table1[[#This Row],[Date]])</f>
        <v>8</v>
      </c>
    </row>
    <row r="68" spans="1:16" x14ac:dyDescent="0.25">
      <c r="A68" t="s">
        <v>87</v>
      </c>
      <c r="B68" t="s">
        <v>31</v>
      </c>
      <c r="C68" t="s">
        <v>12</v>
      </c>
      <c r="D68" s="1">
        <v>45486</v>
      </c>
      <c r="E68">
        <v>130037</v>
      </c>
      <c r="F68">
        <v>1354</v>
      </c>
      <c r="G68">
        <v>88</v>
      </c>
      <c r="H68" s="4">
        <v>3816.68</v>
      </c>
      <c r="I68" s="4">
        <v>9270.34</v>
      </c>
      <c r="J68" s="7">
        <f>Table1[[#This Row],[Clicks]]/Table1[[#This Row],[Impressions]]</f>
        <v>1.0412421080154111E-2</v>
      </c>
      <c r="K68" s="7">
        <f>IFERROR(Table1[[#This Row],[Conversions]]/Table1[[#This Row],[Clicks]],0)</f>
        <v>6.4992614475627764E-2</v>
      </c>
      <c r="L68" s="6">
        <f>IF(Table1[[#This Row],[Conversions]]=0,0,Table1[[#This Row],[Ad Spend]]/Table1[[#This Row],[Conversions]])</f>
        <v>43.371363636363633</v>
      </c>
      <c r="M68" s="8">
        <f>IF(Table1[[#This Row],[Ad Spend]]=0,0,Table1[[#This Row],[Revenue]]/Table1[[#This Row],[Ad Spend]])</f>
        <v>2.4289015584225035</v>
      </c>
      <c r="N68">
        <f>YEAR(Table1[[#This Row],[Date]])</f>
        <v>2024</v>
      </c>
      <c r="O68" t="str">
        <f>TEXT(Table1[[#This Row],[Date]],"mmm")</f>
        <v>Jul</v>
      </c>
      <c r="P68">
        <f>MONTH(Table1[[#This Row],[Date]])</f>
        <v>7</v>
      </c>
    </row>
    <row r="69" spans="1:16" x14ac:dyDescent="0.25">
      <c r="A69" t="s">
        <v>88</v>
      </c>
      <c r="B69" t="s">
        <v>21</v>
      </c>
      <c r="C69" t="s">
        <v>12</v>
      </c>
      <c r="D69" s="1">
        <v>45674</v>
      </c>
      <c r="E69">
        <v>148165</v>
      </c>
      <c r="F69">
        <v>9777</v>
      </c>
      <c r="G69">
        <v>1336</v>
      </c>
      <c r="H69" s="4">
        <v>2543.5</v>
      </c>
      <c r="I69" s="4">
        <v>63184.160000000003</v>
      </c>
      <c r="J69" s="7">
        <f>Table1[[#This Row],[Clicks]]/Table1[[#This Row],[Impressions]]</f>
        <v>6.5987243951000571E-2</v>
      </c>
      <c r="K69" s="7">
        <f>IFERROR(Table1[[#This Row],[Conversions]]/Table1[[#This Row],[Clicks]],0)</f>
        <v>0.13664723330264908</v>
      </c>
      <c r="L69" s="6">
        <f>IF(Table1[[#This Row],[Conversions]]=0,0,Table1[[#This Row],[Ad Spend]]/Table1[[#This Row],[Conversions]])</f>
        <v>1.903817365269461</v>
      </c>
      <c r="M69" s="8">
        <f>IF(Table1[[#This Row],[Ad Spend]]=0,0,Table1[[#This Row],[Revenue]]/Table1[[#This Row],[Ad Spend]])</f>
        <v>24.841423235698841</v>
      </c>
      <c r="N69">
        <f>YEAR(Table1[[#This Row],[Date]])</f>
        <v>2025</v>
      </c>
      <c r="O69" t="str">
        <f>TEXT(Table1[[#This Row],[Date]],"mmm")</f>
        <v>Jan</v>
      </c>
      <c r="P69">
        <f>MONTH(Table1[[#This Row],[Date]])</f>
        <v>1</v>
      </c>
    </row>
    <row r="70" spans="1:16" x14ac:dyDescent="0.25">
      <c r="A70" t="s">
        <v>89</v>
      </c>
      <c r="B70" t="s">
        <v>41</v>
      </c>
      <c r="C70" t="s">
        <v>10</v>
      </c>
      <c r="D70" s="1">
        <v>45491</v>
      </c>
      <c r="E70">
        <v>93114</v>
      </c>
      <c r="F70">
        <v>5290</v>
      </c>
      <c r="G70">
        <v>654</v>
      </c>
      <c r="H70" s="4">
        <v>3676.07</v>
      </c>
      <c r="I70" s="4">
        <v>68049.070000000007</v>
      </c>
      <c r="J70" s="7">
        <f>Table1[[#This Row],[Clicks]]/Table1[[#This Row],[Impressions]]</f>
        <v>5.6812079816139359E-2</v>
      </c>
      <c r="K70" s="7">
        <f>IFERROR(Table1[[#This Row],[Conversions]]/Table1[[#This Row],[Clicks]],0)</f>
        <v>0.12362948960302457</v>
      </c>
      <c r="L70" s="6">
        <f>IF(Table1[[#This Row],[Conversions]]=0,0,Table1[[#This Row],[Ad Spend]]/Table1[[#This Row],[Conversions]])</f>
        <v>5.6209021406727828</v>
      </c>
      <c r="M70" s="8">
        <f>IF(Table1[[#This Row],[Ad Spend]]=0,0,Table1[[#This Row],[Revenue]]/Table1[[#This Row],[Ad Spend]])</f>
        <v>18.511364038225604</v>
      </c>
      <c r="N70">
        <f>YEAR(Table1[[#This Row],[Date]])</f>
        <v>2024</v>
      </c>
      <c r="O70" t="str">
        <f>TEXT(Table1[[#This Row],[Date]],"mmm")</f>
        <v>Jul</v>
      </c>
      <c r="P70">
        <f>MONTH(Table1[[#This Row],[Date]])</f>
        <v>7</v>
      </c>
    </row>
    <row r="71" spans="1:16" x14ac:dyDescent="0.25">
      <c r="A71" t="s">
        <v>90</v>
      </c>
      <c r="B71" t="s">
        <v>16</v>
      </c>
      <c r="C71" t="s">
        <v>12</v>
      </c>
      <c r="D71" s="1">
        <v>45565</v>
      </c>
      <c r="E71">
        <v>12069</v>
      </c>
      <c r="F71">
        <v>886</v>
      </c>
      <c r="G71">
        <v>85</v>
      </c>
      <c r="H71" s="4">
        <v>3382.4</v>
      </c>
      <c r="I71" s="4">
        <v>2413.5500000000002</v>
      </c>
      <c r="J71" s="7">
        <f>Table1[[#This Row],[Clicks]]/Table1[[#This Row],[Impressions]]</f>
        <v>7.3411218825089067E-2</v>
      </c>
      <c r="K71" s="7">
        <f>IFERROR(Table1[[#This Row],[Conversions]]/Table1[[#This Row],[Clicks]],0)</f>
        <v>9.5936794582392779E-2</v>
      </c>
      <c r="L71" s="6">
        <f>IF(Table1[[#This Row],[Conversions]]=0,0,Table1[[#This Row],[Ad Spend]]/Table1[[#This Row],[Conversions]])</f>
        <v>39.792941176470592</v>
      </c>
      <c r="M71" s="8">
        <f>IF(Table1[[#This Row],[Ad Spend]]=0,0,Table1[[#This Row],[Revenue]]/Table1[[#This Row],[Ad Spend]])</f>
        <v>0.71356137653736995</v>
      </c>
      <c r="N71">
        <f>YEAR(Table1[[#This Row],[Date]])</f>
        <v>2024</v>
      </c>
      <c r="O71" t="str">
        <f>TEXT(Table1[[#This Row],[Date]],"mmm")</f>
        <v>Sept</v>
      </c>
      <c r="P71">
        <f>MONTH(Table1[[#This Row],[Date]])</f>
        <v>9</v>
      </c>
    </row>
    <row r="72" spans="1:16" x14ac:dyDescent="0.25">
      <c r="A72" t="s">
        <v>91</v>
      </c>
      <c r="B72" t="s">
        <v>21</v>
      </c>
      <c r="C72" t="s">
        <v>37</v>
      </c>
      <c r="D72" s="1">
        <v>45528</v>
      </c>
      <c r="E72">
        <v>52639</v>
      </c>
      <c r="F72">
        <v>711</v>
      </c>
      <c r="G72">
        <v>49</v>
      </c>
      <c r="H72" s="4">
        <v>1215.97</v>
      </c>
      <c r="I72" s="4">
        <v>2581.54</v>
      </c>
      <c r="J72" s="7">
        <f>Table1[[#This Row],[Clicks]]/Table1[[#This Row],[Impressions]]</f>
        <v>1.3507095499534565E-2</v>
      </c>
      <c r="K72" s="7">
        <f>IFERROR(Table1[[#This Row],[Conversions]]/Table1[[#This Row],[Clicks]],0)</f>
        <v>6.8917018284106887E-2</v>
      </c>
      <c r="L72" s="6">
        <f>IF(Table1[[#This Row],[Conversions]]=0,0,Table1[[#This Row],[Ad Spend]]/Table1[[#This Row],[Conversions]])</f>
        <v>24.815714285714286</v>
      </c>
      <c r="M72" s="8">
        <f>IF(Table1[[#This Row],[Ad Spend]]=0,0,Table1[[#This Row],[Revenue]]/Table1[[#This Row],[Ad Spend]])</f>
        <v>2.1230293510530687</v>
      </c>
      <c r="N72">
        <f>YEAR(Table1[[#This Row],[Date]])</f>
        <v>2024</v>
      </c>
      <c r="O72" t="str">
        <f>TEXT(Table1[[#This Row],[Date]],"mmm")</f>
        <v>Aug</v>
      </c>
      <c r="P72">
        <f>MONTH(Table1[[#This Row],[Date]])</f>
        <v>8</v>
      </c>
    </row>
    <row r="73" spans="1:16" x14ac:dyDescent="0.25">
      <c r="A73" t="s">
        <v>92</v>
      </c>
      <c r="B73" t="s">
        <v>21</v>
      </c>
      <c r="C73" t="s">
        <v>19</v>
      </c>
      <c r="D73" s="1">
        <v>45677</v>
      </c>
      <c r="E73">
        <v>115510</v>
      </c>
      <c r="F73">
        <v>3194</v>
      </c>
      <c r="G73">
        <v>97</v>
      </c>
      <c r="H73" s="4">
        <v>293.04000000000002</v>
      </c>
      <c r="I73" s="4">
        <v>7172.36</v>
      </c>
      <c r="J73" s="7">
        <f>Table1[[#This Row],[Clicks]]/Table1[[#This Row],[Impressions]]</f>
        <v>2.7651285602978096E-2</v>
      </c>
      <c r="K73" s="7">
        <f>IFERROR(Table1[[#This Row],[Conversions]]/Table1[[#This Row],[Clicks]],0)</f>
        <v>3.0369442705072011E-2</v>
      </c>
      <c r="L73" s="6">
        <f>IF(Table1[[#This Row],[Conversions]]=0,0,Table1[[#This Row],[Ad Spend]]/Table1[[#This Row],[Conversions]])</f>
        <v>3.0210309278350516</v>
      </c>
      <c r="M73" s="8">
        <f>IF(Table1[[#This Row],[Ad Spend]]=0,0,Table1[[#This Row],[Revenue]]/Table1[[#This Row],[Ad Spend]])</f>
        <v>24.475702975702973</v>
      </c>
      <c r="N73">
        <f>YEAR(Table1[[#This Row],[Date]])</f>
        <v>2025</v>
      </c>
      <c r="O73" t="str">
        <f>TEXT(Table1[[#This Row],[Date]],"mmm")</f>
        <v>Jan</v>
      </c>
      <c r="P73">
        <f>MONTH(Table1[[#This Row],[Date]])</f>
        <v>1</v>
      </c>
    </row>
    <row r="74" spans="1:16" x14ac:dyDescent="0.25">
      <c r="A74" t="s">
        <v>93</v>
      </c>
      <c r="B74" t="s">
        <v>47</v>
      </c>
      <c r="C74" t="s">
        <v>37</v>
      </c>
      <c r="D74" s="1">
        <v>45624</v>
      </c>
      <c r="E74">
        <v>22987</v>
      </c>
      <c r="F74">
        <v>1486</v>
      </c>
      <c r="G74">
        <v>155</v>
      </c>
      <c r="H74" s="4">
        <v>3820.32</v>
      </c>
      <c r="I74" s="4">
        <v>17818.98</v>
      </c>
      <c r="J74" s="7">
        <f>Table1[[#This Row],[Clicks]]/Table1[[#This Row],[Impressions]]</f>
        <v>6.4645234262844214E-2</v>
      </c>
      <c r="K74" s="7">
        <f>IFERROR(Table1[[#This Row],[Conversions]]/Table1[[#This Row],[Clicks]],0)</f>
        <v>0.10430686406460296</v>
      </c>
      <c r="L74" s="6">
        <f>IF(Table1[[#This Row],[Conversions]]=0,0,Table1[[#This Row],[Ad Spend]]/Table1[[#This Row],[Conversions]])</f>
        <v>24.647225806451615</v>
      </c>
      <c r="M74" s="8">
        <f>IF(Table1[[#This Row],[Ad Spend]]=0,0,Table1[[#This Row],[Revenue]]/Table1[[#This Row],[Ad Spend]])</f>
        <v>4.6642637265988185</v>
      </c>
      <c r="N74">
        <f>YEAR(Table1[[#This Row],[Date]])</f>
        <v>2024</v>
      </c>
      <c r="O74" t="str">
        <f>TEXT(Table1[[#This Row],[Date]],"mmm")</f>
        <v>Nov</v>
      </c>
      <c r="P74">
        <f>MONTH(Table1[[#This Row],[Date]])</f>
        <v>11</v>
      </c>
    </row>
    <row r="75" spans="1:16" x14ac:dyDescent="0.25">
      <c r="A75" t="s">
        <v>94</v>
      </c>
      <c r="B75" t="s">
        <v>14</v>
      </c>
      <c r="C75" t="s">
        <v>10</v>
      </c>
      <c r="D75" s="1">
        <v>45610</v>
      </c>
      <c r="E75">
        <v>44946</v>
      </c>
      <c r="F75">
        <v>1199</v>
      </c>
      <c r="G75">
        <v>97</v>
      </c>
      <c r="H75" s="4">
        <v>749.07</v>
      </c>
      <c r="I75" s="4">
        <v>11133.24</v>
      </c>
      <c r="J75" s="7">
        <f>Table1[[#This Row],[Clicks]]/Table1[[#This Row],[Impressions]]</f>
        <v>2.6676456191874694E-2</v>
      </c>
      <c r="K75" s="7">
        <f>IFERROR(Table1[[#This Row],[Conversions]]/Table1[[#This Row],[Clicks]],0)</f>
        <v>8.0900750625521267E-2</v>
      </c>
      <c r="L75" s="6">
        <f>IF(Table1[[#This Row],[Conversions]]=0,0,Table1[[#This Row],[Ad Spend]]/Table1[[#This Row],[Conversions]])</f>
        <v>7.7223711340206194</v>
      </c>
      <c r="M75" s="8">
        <f>IF(Table1[[#This Row],[Ad Spend]]=0,0,Table1[[#This Row],[Revenue]]/Table1[[#This Row],[Ad Spend]])</f>
        <v>14.862749809764106</v>
      </c>
      <c r="N75">
        <f>YEAR(Table1[[#This Row],[Date]])</f>
        <v>2024</v>
      </c>
      <c r="O75" t="str">
        <f>TEXT(Table1[[#This Row],[Date]],"mmm")</f>
        <v>Nov</v>
      </c>
      <c r="P75">
        <f>MONTH(Table1[[#This Row],[Date]])</f>
        <v>11</v>
      </c>
    </row>
    <row r="76" spans="1:16" x14ac:dyDescent="0.25">
      <c r="A76" t="s">
        <v>95</v>
      </c>
      <c r="B76" t="s">
        <v>41</v>
      </c>
      <c r="C76" t="s">
        <v>19</v>
      </c>
      <c r="D76" s="1">
        <v>45684</v>
      </c>
      <c r="E76">
        <v>101703</v>
      </c>
      <c r="F76">
        <v>2211</v>
      </c>
      <c r="G76">
        <v>218</v>
      </c>
      <c r="H76" s="4">
        <v>3790.04</v>
      </c>
      <c r="I76" s="4">
        <v>6856.82</v>
      </c>
      <c r="J76" s="7">
        <f>Table1[[#This Row],[Clicks]]/Table1[[#This Row],[Impressions]]</f>
        <v>2.1739771688150791E-2</v>
      </c>
      <c r="K76" s="7">
        <f>IFERROR(Table1[[#This Row],[Conversions]]/Table1[[#This Row],[Clicks]],0)</f>
        <v>9.8597919493441877E-2</v>
      </c>
      <c r="L76" s="6">
        <f>IF(Table1[[#This Row],[Conversions]]=0,0,Table1[[#This Row],[Ad Spend]]/Table1[[#This Row],[Conversions]])</f>
        <v>17.385504587155964</v>
      </c>
      <c r="M76" s="8">
        <f>IF(Table1[[#This Row],[Ad Spend]]=0,0,Table1[[#This Row],[Revenue]]/Table1[[#This Row],[Ad Spend]])</f>
        <v>1.8091682409684331</v>
      </c>
      <c r="N76">
        <f>YEAR(Table1[[#This Row],[Date]])</f>
        <v>2025</v>
      </c>
      <c r="O76" t="str">
        <f>TEXT(Table1[[#This Row],[Date]],"mmm")</f>
        <v>Jan</v>
      </c>
      <c r="P76">
        <f>MONTH(Table1[[#This Row],[Date]])</f>
        <v>1</v>
      </c>
    </row>
    <row r="77" spans="1:16" x14ac:dyDescent="0.25">
      <c r="A77" t="s">
        <v>96</v>
      </c>
      <c r="B77" t="s">
        <v>16</v>
      </c>
      <c r="C77" t="s">
        <v>19</v>
      </c>
      <c r="D77" s="1">
        <v>45347</v>
      </c>
      <c r="E77">
        <v>11731</v>
      </c>
      <c r="F77">
        <v>880</v>
      </c>
      <c r="G77">
        <v>83</v>
      </c>
      <c r="H77" s="4">
        <v>4558.53</v>
      </c>
      <c r="I77" s="4">
        <v>4775.05</v>
      </c>
      <c r="J77" s="7">
        <f>Table1[[#This Row],[Clicks]]/Table1[[#This Row],[Impressions]]</f>
        <v>7.5014917739323159E-2</v>
      </c>
      <c r="K77" s="7">
        <f>IFERROR(Table1[[#This Row],[Conversions]]/Table1[[#This Row],[Clicks]],0)</f>
        <v>9.4318181818181815E-2</v>
      </c>
      <c r="L77" s="6">
        <f>IF(Table1[[#This Row],[Conversions]]=0,0,Table1[[#This Row],[Ad Spend]]/Table1[[#This Row],[Conversions]])</f>
        <v>54.922048192771079</v>
      </c>
      <c r="M77" s="8">
        <f>IF(Table1[[#This Row],[Ad Spend]]=0,0,Table1[[#This Row],[Revenue]]/Table1[[#This Row],[Ad Spend]])</f>
        <v>1.0474977679207991</v>
      </c>
      <c r="N77">
        <f>YEAR(Table1[[#This Row],[Date]])</f>
        <v>2024</v>
      </c>
      <c r="O77" t="str">
        <f>TEXT(Table1[[#This Row],[Date]],"mmm")</f>
        <v>Feb</v>
      </c>
      <c r="P77">
        <f>MONTH(Table1[[#This Row],[Date]])</f>
        <v>2</v>
      </c>
    </row>
    <row r="78" spans="1:16" x14ac:dyDescent="0.25">
      <c r="A78" t="s">
        <v>97</v>
      </c>
      <c r="B78" t="s">
        <v>14</v>
      </c>
      <c r="C78" t="s">
        <v>10</v>
      </c>
      <c r="D78" s="1">
        <v>45595</v>
      </c>
      <c r="E78">
        <v>68661</v>
      </c>
      <c r="F78">
        <v>1176</v>
      </c>
      <c r="G78">
        <v>141</v>
      </c>
      <c r="H78" s="4">
        <v>4281.41</v>
      </c>
      <c r="I78" s="4">
        <v>11285.8</v>
      </c>
      <c r="J78" s="7">
        <f>Table1[[#This Row],[Clicks]]/Table1[[#This Row],[Impressions]]</f>
        <v>1.712762703718268E-2</v>
      </c>
      <c r="K78" s="7">
        <f>IFERROR(Table1[[#This Row],[Conversions]]/Table1[[#This Row],[Clicks]],0)</f>
        <v>0.11989795918367346</v>
      </c>
      <c r="L78" s="6">
        <f>IF(Table1[[#This Row],[Conversions]]=0,0,Table1[[#This Row],[Ad Spend]]/Table1[[#This Row],[Conversions]])</f>
        <v>30.364609929078014</v>
      </c>
      <c r="M78" s="8">
        <f>IF(Table1[[#This Row],[Ad Spend]]=0,0,Table1[[#This Row],[Revenue]]/Table1[[#This Row],[Ad Spend]])</f>
        <v>2.6360007567600392</v>
      </c>
      <c r="N78">
        <f>YEAR(Table1[[#This Row],[Date]])</f>
        <v>2024</v>
      </c>
      <c r="O78" t="str">
        <f>TEXT(Table1[[#This Row],[Date]],"mmm")</f>
        <v>Oct</v>
      </c>
      <c r="P78">
        <f>MONTH(Table1[[#This Row],[Date]])</f>
        <v>10</v>
      </c>
    </row>
    <row r="79" spans="1:16" x14ac:dyDescent="0.25">
      <c r="A79" t="s">
        <v>98</v>
      </c>
      <c r="B79" t="s">
        <v>9</v>
      </c>
      <c r="C79" t="s">
        <v>12</v>
      </c>
      <c r="D79" s="1">
        <v>45692</v>
      </c>
      <c r="E79">
        <v>15766</v>
      </c>
      <c r="F79">
        <v>540</v>
      </c>
      <c r="G79">
        <v>40</v>
      </c>
      <c r="H79" s="4">
        <v>1978.74</v>
      </c>
      <c r="I79" s="4">
        <v>2823.84</v>
      </c>
      <c r="J79" s="7">
        <f>Table1[[#This Row],[Clicks]]/Table1[[#This Row],[Impressions]]</f>
        <v>3.4250919700621593E-2</v>
      </c>
      <c r="K79" s="7">
        <f>IFERROR(Table1[[#This Row],[Conversions]]/Table1[[#This Row],[Clicks]],0)</f>
        <v>7.407407407407407E-2</v>
      </c>
      <c r="L79" s="6">
        <f>IF(Table1[[#This Row],[Conversions]]=0,0,Table1[[#This Row],[Ad Spend]]/Table1[[#This Row],[Conversions]])</f>
        <v>49.468499999999999</v>
      </c>
      <c r="M79" s="8">
        <f>IF(Table1[[#This Row],[Ad Spend]]=0,0,Table1[[#This Row],[Revenue]]/Table1[[#This Row],[Ad Spend]])</f>
        <v>1.4270899663422179</v>
      </c>
      <c r="N79">
        <f>YEAR(Table1[[#This Row],[Date]])</f>
        <v>2025</v>
      </c>
      <c r="O79" t="str">
        <f>TEXT(Table1[[#This Row],[Date]],"mmm")</f>
        <v>Feb</v>
      </c>
      <c r="P79">
        <f>MONTH(Table1[[#This Row],[Date]])</f>
        <v>2</v>
      </c>
    </row>
    <row r="80" spans="1:16" x14ac:dyDescent="0.25">
      <c r="A80" t="s">
        <v>99</v>
      </c>
      <c r="B80" t="s">
        <v>47</v>
      </c>
      <c r="C80" t="s">
        <v>10</v>
      </c>
      <c r="D80" s="1">
        <v>45507</v>
      </c>
      <c r="E80">
        <v>133503</v>
      </c>
      <c r="F80">
        <v>2321</v>
      </c>
      <c r="G80">
        <v>336</v>
      </c>
      <c r="H80" s="4">
        <v>3250.81</v>
      </c>
      <c r="I80" s="4">
        <v>34564.57</v>
      </c>
      <c r="J80" s="7">
        <f>Table1[[#This Row],[Clicks]]/Table1[[#This Row],[Impressions]]</f>
        <v>1.738537710763054E-2</v>
      </c>
      <c r="K80" s="7">
        <f>IFERROR(Table1[[#This Row],[Conversions]]/Table1[[#This Row],[Clicks]],0)</f>
        <v>0.14476518741921585</v>
      </c>
      <c r="L80" s="6">
        <f>IF(Table1[[#This Row],[Conversions]]=0,0,Table1[[#This Row],[Ad Spend]]/Table1[[#This Row],[Conversions]])</f>
        <v>9.6750297619047618</v>
      </c>
      <c r="M80" s="8">
        <f>IF(Table1[[#This Row],[Ad Spend]]=0,0,Table1[[#This Row],[Revenue]]/Table1[[#This Row],[Ad Spend]])</f>
        <v>10.632602336033173</v>
      </c>
      <c r="N80">
        <f>YEAR(Table1[[#This Row],[Date]])</f>
        <v>2024</v>
      </c>
      <c r="O80" t="str">
        <f>TEXT(Table1[[#This Row],[Date]],"mmm")</f>
        <v>Aug</v>
      </c>
      <c r="P80">
        <f>MONTH(Table1[[#This Row],[Date]])</f>
        <v>8</v>
      </c>
    </row>
    <row r="81" spans="1:16" x14ac:dyDescent="0.25">
      <c r="A81" t="s">
        <v>100</v>
      </c>
      <c r="B81" t="s">
        <v>16</v>
      </c>
      <c r="C81" t="s">
        <v>17</v>
      </c>
      <c r="D81" s="1">
        <v>45382</v>
      </c>
      <c r="E81">
        <v>141772</v>
      </c>
      <c r="F81">
        <v>10999</v>
      </c>
      <c r="G81">
        <v>606</v>
      </c>
      <c r="H81" s="4">
        <v>4079.36</v>
      </c>
      <c r="I81" s="4">
        <v>44733.279999999999</v>
      </c>
      <c r="J81" s="7">
        <f>Table1[[#This Row],[Clicks]]/Table1[[#This Row],[Impressions]]</f>
        <v>7.7582315266766358E-2</v>
      </c>
      <c r="K81" s="7">
        <f>IFERROR(Table1[[#This Row],[Conversions]]/Table1[[#This Row],[Clicks]],0)</f>
        <v>5.5095917810710063E-2</v>
      </c>
      <c r="L81" s="6">
        <f>IF(Table1[[#This Row],[Conversions]]=0,0,Table1[[#This Row],[Ad Spend]]/Table1[[#This Row],[Conversions]])</f>
        <v>6.731617161716172</v>
      </c>
      <c r="M81" s="8">
        <f>IF(Table1[[#This Row],[Ad Spend]]=0,0,Table1[[#This Row],[Revenue]]/Table1[[#This Row],[Ad Spend]])</f>
        <v>10.965759334797614</v>
      </c>
      <c r="N81">
        <f>YEAR(Table1[[#This Row],[Date]])</f>
        <v>2024</v>
      </c>
      <c r="O81" t="str">
        <f>TEXT(Table1[[#This Row],[Date]],"mmm")</f>
        <v>Mar</v>
      </c>
      <c r="P81">
        <f>MONTH(Table1[[#This Row],[Date]])</f>
        <v>3</v>
      </c>
    </row>
    <row r="82" spans="1:16" x14ac:dyDescent="0.25">
      <c r="A82" t="s">
        <v>101</v>
      </c>
      <c r="B82" t="s">
        <v>41</v>
      </c>
      <c r="C82" t="s">
        <v>17</v>
      </c>
      <c r="D82" s="1">
        <v>45515</v>
      </c>
      <c r="E82">
        <v>75358</v>
      </c>
      <c r="F82">
        <v>2453</v>
      </c>
      <c r="G82">
        <v>127</v>
      </c>
      <c r="H82" s="4">
        <v>4686.1899999999996</v>
      </c>
      <c r="I82" s="4">
        <v>6082.39</v>
      </c>
      <c r="J82" s="7">
        <f>Table1[[#This Row],[Clicks]]/Table1[[#This Row],[Impressions]]</f>
        <v>3.2551288516149579E-2</v>
      </c>
      <c r="K82" s="7">
        <f>IFERROR(Table1[[#This Row],[Conversions]]/Table1[[#This Row],[Clicks]],0)</f>
        <v>5.1773338768854461E-2</v>
      </c>
      <c r="L82" s="6">
        <f>IF(Table1[[#This Row],[Conversions]]=0,0,Table1[[#This Row],[Ad Spend]]/Table1[[#This Row],[Conversions]])</f>
        <v>36.89913385826771</v>
      </c>
      <c r="M82" s="8">
        <f>IF(Table1[[#This Row],[Ad Spend]]=0,0,Table1[[#This Row],[Revenue]]/Table1[[#This Row],[Ad Spend]])</f>
        <v>1.2979392640930054</v>
      </c>
      <c r="N82">
        <f>YEAR(Table1[[#This Row],[Date]])</f>
        <v>2024</v>
      </c>
      <c r="O82" t="str">
        <f>TEXT(Table1[[#This Row],[Date]],"mmm")</f>
        <v>Aug</v>
      </c>
      <c r="P82">
        <f>MONTH(Table1[[#This Row],[Date]])</f>
        <v>8</v>
      </c>
    </row>
    <row r="83" spans="1:16" x14ac:dyDescent="0.25">
      <c r="A83" t="s">
        <v>102</v>
      </c>
      <c r="B83" t="s">
        <v>41</v>
      </c>
      <c r="C83" t="s">
        <v>37</v>
      </c>
      <c r="D83" s="1">
        <v>45676</v>
      </c>
      <c r="E83">
        <v>126820</v>
      </c>
      <c r="F83">
        <v>6326</v>
      </c>
      <c r="G83">
        <v>676</v>
      </c>
      <c r="H83" s="4">
        <v>1814.7</v>
      </c>
      <c r="I83" s="4">
        <v>46935.12</v>
      </c>
      <c r="J83" s="7">
        <f>Table1[[#This Row],[Clicks]]/Table1[[#This Row],[Impressions]]</f>
        <v>4.9881722125847655E-2</v>
      </c>
      <c r="K83" s="7">
        <f>IFERROR(Table1[[#This Row],[Conversions]]/Table1[[#This Row],[Clicks]],0)</f>
        <v>0.10686057540309832</v>
      </c>
      <c r="L83" s="6">
        <f>IF(Table1[[#This Row],[Conversions]]=0,0,Table1[[#This Row],[Ad Spend]]/Table1[[#This Row],[Conversions]])</f>
        <v>2.6844674556213017</v>
      </c>
      <c r="M83" s="8">
        <f>IF(Table1[[#This Row],[Ad Spend]]=0,0,Table1[[#This Row],[Revenue]]/Table1[[#This Row],[Ad Spend]])</f>
        <v>25.863845263679949</v>
      </c>
      <c r="N83">
        <f>YEAR(Table1[[#This Row],[Date]])</f>
        <v>2025</v>
      </c>
      <c r="O83" t="str">
        <f>TEXT(Table1[[#This Row],[Date]],"mmm")</f>
        <v>Jan</v>
      </c>
      <c r="P83">
        <f>MONTH(Table1[[#This Row],[Date]])</f>
        <v>1</v>
      </c>
    </row>
    <row r="84" spans="1:16" x14ac:dyDescent="0.25">
      <c r="A84" t="s">
        <v>103</v>
      </c>
      <c r="B84" t="s">
        <v>47</v>
      </c>
      <c r="C84" t="s">
        <v>37</v>
      </c>
      <c r="D84" s="1">
        <v>45541</v>
      </c>
      <c r="E84">
        <v>60605</v>
      </c>
      <c r="F84">
        <v>2111</v>
      </c>
      <c r="G84">
        <v>113</v>
      </c>
      <c r="H84" s="4">
        <v>1542.36</v>
      </c>
      <c r="I84" s="4">
        <v>8996.5499999999993</v>
      </c>
      <c r="J84" s="7">
        <f>Table1[[#This Row],[Clicks]]/Table1[[#This Row],[Impressions]]</f>
        <v>3.4832109561917332E-2</v>
      </c>
      <c r="K84" s="7">
        <f>IFERROR(Table1[[#This Row],[Conversions]]/Table1[[#This Row],[Clicks]],0)</f>
        <v>5.3529133112269069E-2</v>
      </c>
      <c r="L84" s="6">
        <f>IF(Table1[[#This Row],[Conversions]]=0,0,Table1[[#This Row],[Ad Spend]]/Table1[[#This Row],[Conversions]])</f>
        <v>13.649203539823008</v>
      </c>
      <c r="M84" s="8">
        <f>IF(Table1[[#This Row],[Ad Spend]]=0,0,Table1[[#This Row],[Revenue]]/Table1[[#This Row],[Ad Spend]])</f>
        <v>5.8329767369485719</v>
      </c>
      <c r="N84">
        <f>YEAR(Table1[[#This Row],[Date]])</f>
        <v>2024</v>
      </c>
      <c r="O84" t="str">
        <f>TEXT(Table1[[#This Row],[Date]],"mmm")</f>
        <v>Sept</v>
      </c>
      <c r="P84">
        <f>MONTH(Table1[[#This Row],[Date]])</f>
        <v>9</v>
      </c>
    </row>
    <row r="85" spans="1:16" x14ac:dyDescent="0.25">
      <c r="A85" t="s">
        <v>104</v>
      </c>
      <c r="B85" t="s">
        <v>34</v>
      </c>
      <c r="C85" t="s">
        <v>12</v>
      </c>
      <c r="D85" s="1">
        <v>45297</v>
      </c>
      <c r="E85">
        <v>140430</v>
      </c>
      <c r="F85">
        <v>10723</v>
      </c>
      <c r="G85">
        <v>333</v>
      </c>
      <c r="H85" s="4">
        <v>3656.36</v>
      </c>
      <c r="I85" s="4">
        <v>22929.64</v>
      </c>
      <c r="J85" s="7">
        <f>Table1[[#This Row],[Clicks]]/Table1[[#This Row],[Impressions]]</f>
        <v>7.6358327992594177E-2</v>
      </c>
      <c r="K85" s="7">
        <f>IFERROR(Table1[[#This Row],[Conversions]]/Table1[[#This Row],[Clicks]],0)</f>
        <v>3.1054742143056979E-2</v>
      </c>
      <c r="L85" s="6">
        <f>IF(Table1[[#This Row],[Conversions]]=0,0,Table1[[#This Row],[Ad Spend]]/Table1[[#This Row],[Conversions]])</f>
        <v>10.98006006006006</v>
      </c>
      <c r="M85" s="8">
        <f>IF(Table1[[#This Row],[Ad Spend]]=0,0,Table1[[#This Row],[Revenue]]/Table1[[#This Row],[Ad Spend]])</f>
        <v>6.2711658589416794</v>
      </c>
      <c r="N85">
        <f>YEAR(Table1[[#This Row],[Date]])</f>
        <v>2024</v>
      </c>
      <c r="O85" t="str">
        <f>TEXT(Table1[[#This Row],[Date]],"mmm")</f>
        <v>Jan</v>
      </c>
      <c r="P85">
        <f>MONTH(Table1[[#This Row],[Date]])</f>
        <v>1</v>
      </c>
    </row>
    <row r="86" spans="1:16" x14ac:dyDescent="0.25">
      <c r="A86" t="s">
        <v>105</v>
      </c>
      <c r="B86" t="s">
        <v>14</v>
      </c>
      <c r="C86" t="s">
        <v>17</v>
      </c>
      <c r="D86" s="1">
        <v>45622</v>
      </c>
      <c r="E86">
        <v>133665</v>
      </c>
      <c r="F86">
        <v>5530</v>
      </c>
      <c r="G86">
        <v>122</v>
      </c>
      <c r="H86" s="4">
        <v>1612.33</v>
      </c>
      <c r="I86" s="4">
        <v>7373.69</v>
      </c>
      <c r="J86" s="7">
        <f>Table1[[#This Row],[Clicks]]/Table1[[#This Row],[Impressions]]</f>
        <v>4.1372086933752293E-2</v>
      </c>
      <c r="K86" s="7">
        <f>IFERROR(Table1[[#This Row],[Conversions]]/Table1[[#This Row],[Clicks]],0)</f>
        <v>2.2061482820976492E-2</v>
      </c>
      <c r="L86" s="6">
        <f>IF(Table1[[#This Row],[Conversions]]=0,0,Table1[[#This Row],[Ad Spend]]/Table1[[#This Row],[Conversions]])</f>
        <v>13.215819672131147</v>
      </c>
      <c r="M86" s="8">
        <f>IF(Table1[[#This Row],[Ad Spend]]=0,0,Table1[[#This Row],[Revenue]]/Table1[[#This Row],[Ad Spend]])</f>
        <v>4.5733131554954634</v>
      </c>
      <c r="N86">
        <f>YEAR(Table1[[#This Row],[Date]])</f>
        <v>2024</v>
      </c>
      <c r="O86" t="str">
        <f>TEXT(Table1[[#This Row],[Date]],"mmm")</f>
        <v>Nov</v>
      </c>
      <c r="P86">
        <f>MONTH(Table1[[#This Row],[Date]])</f>
        <v>11</v>
      </c>
    </row>
    <row r="87" spans="1:16" x14ac:dyDescent="0.25">
      <c r="A87" t="s">
        <v>106</v>
      </c>
      <c r="B87" t="s">
        <v>14</v>
      </c>
      <c r="C87" t="s">
        <v>19</v>
      </c>
      <c r="D87" s="1">
        <v>45631</v>
      </c>
      <c r="E87">
        <v>101736</v>
      </c>
      <c r="F87">
        <v>4387</v>
      </c>
      <c r="G87">
        <v>390</v>
      </c>
      <c r="H87" s="4">
        <v>2242.42</v>
      </c>
      <c r="I87" s="4">
        <v>36891.480000000003</v>
      </c>
      <c r="J87" s="7">
        <f>Table1[[#This Row],[Clicks]]/Table1[[#This Row],[Impressions]]</f>
        <v>4.3121412282771096E-2</v>
      </c>
      <c r="K87" s="7">
        <f>IFERROR(Table1[[#This Row],[Conversions]]/Table1[[#This Row],[Clicks]],0)</f>
        <v>8.8899019831319814E-2</v>
      </c>
      <c r="L87" s="6">
        <f>IF(Table1[[#This Row],[Conversions]]=0,0,Table1[[#This Row],[Ad Spend]]/Table1[[#This Row],[Conversions]])</f>
        <v>5.7497948717948724</v>
      </c>
      <c r="M87" s="8">
        <f>IF(Table1[[#This Row],[Ad Spend]]=0,0,Table1[[#This Row],[Revenue]]/Table1[[#This Row],[Ad Spend]])</f>
        <v>16.451637070664731</v>
      </c>
      <c r="N87">
        <f>YEAR(Table1[[#This Row],[Date]])</f>
        <v>2024</v>
      </c>
      <c r="O87" t="str">
        <f>TEXT(Table1[[#This Row],[Date]],"mmm")</f>
        <v>Dec</v>
      </c>
      <c r="P87">
        <f>MONTH(Table1[[#This Row],[Date]])</f>
        <v>12</v>
      </c>
    </row>
    <row r="88" spans="1:16" x14ac:dyDescent="0.25">
      <c r="A88" t="s">
        <v>107</v>
      </c>
      <c r="B88" t="s">
        <v>47</v>
      </c>
      <c r="C88" t="s">
        <v>19</v>
      </c>
      <c r="D88" s="1">
        <v>45651</v>
      </c>
      <c r="E88">
        <v>123946</v>
      </c>
      <c r="F88">
        <v>3589</v>
      </c>
      <c r="G88">
        <v>189</v>
      </c>
      <c r="H88" s="4">
        <v>779.15</v>
      </c>
      <c r="I88" s="4">
        <v>7419.84</v>
      </c>
      <c r="J88" s="7">
        <f>Table1[[#This Row],[Clicks]]/Table1[[#This Row],[Impressions]]</f>
        <v>2.8956158327013377E-2</v>
      </c>
      <c r="K88" s="7">
        <f>IFERROR(Table1[[#This Row],[Conversions]]/Table1[[#This Row],[Clicks]],0)</f>
        <v>5.2660908331011426E-2</v>
      </c>
      <c r="L88" s="6">
        <f>IF(Table1[[#This Row],[Conversions]]=0,0,Table1[[#This Row],[Ad Spend]]/Table1[[#This Row],[Conversions]])</f>
        <v>4.1224867724867726</v>
      </c>
      <c r="M88" s="8">
        <f>IF(Table1[[#This Row],[Ad Spend]]=0,0,Table1[[#This Row],[Revenue]]/Table1[[#This Row],[Ad Spend]])</f>
        <v>9.5229930051979732</v>
      </c>
      <c r="N88">
        <f>YEAR(Table1[[#This Row],[Date]])</f>
        <v>2024</v>
      </c>
      <c r="O88" t="str">
        <f>TEXT(Table1[[#This Row],[Date]],"mmm")</f>
        <v>Dec</v>
      </c>
      <c r="P88">
        <f>MONTH(Table1[[#This Row],[Date]])</f>
        <v>12</v>
      </c>
    </row>
    <row r="89" spans="1:16" x14ac:dyDescent="0.25">
      <c r="A89" t="s">
        <v>108</v>
      </c>
      <c r="B89" t="s">
        <v>9</v>
      </c>
      <c r="C89" t="s">
        <v>12</v>
      </c>
      <c r="D89" s="1">
        <v>45682</v>
      </c>
      <c r="E89">
        <v>53535</v>
      </c>
      <c r="F89">
        <v>1253</v>
      </c>
      <c r="G89">
        <v>145</v>
      </c>
      <c r="H89" s="4">
        <v>1527.2</v>
      </c>
      <c r="I89" s="4">
        <v>11449.01</v>
      </c>
      <c r="J89" s="7">
        <f>Table1[[#This Row],[Clicks]]/Table1[[#This Row],[Impressions]]</f>
        <v>2.3405248902587092E-2</v>
      </c>
      <c r="K89" s="7">
        <f>IFERROR(Table1[[#This Row],[Conversions]]/Table1[[#This Row],[Clicks]],0)</f>
        <v>0.11572226656025539</v>
      </c>
      <c r="L89" s="6">
        <f>IF(Table1[[#This Row],[Conversions]]=0,0,Table1[[#This Row],[Ad Spend]]/Table1[[#This Row],[Conversions]])</f>
        <v>10.532413793103448</v>
      </c>
      <c r="M89" s="8">
        <f>IF(Table1[[#This Row],[Ad Spend]]=0,0,Table1[[#This Row],[Revenue]]/Table1[[#This Row],[Ad Spend]])</f>
        <v>7.4967325825039284</v>
      </c>
      <c r="N89">
        <f>YEAR(Table1[[#This Row],[Date]])</f>
        <v>2025</v>
      </c>
      <c r="O89" t="str">
        <f>TEXT(Table1[[#This Row],[Date]],"mmm")</f>
        <v>Jan</v>
      </c>
      <c r="P89">
        <f>MONTH(Table1[[#This Row],[Date]])</f>
        <v>1</v>
      </c>
    </row>
    <row r="90" spans="1:16" x14ac:dyDescent="0.25">
      <c r="A90" t="s">
        <v>109</v>
      </c>
      <c r="B90" t="s">
        <v>34</v>
      </c>
      <c r="C90" t="s">
        <v>10</v>
      </c>
      <c r="D90" s="1">
        <v>45391</v>
      </c>
      <c r="E90">
        <v>82659</v>
      </c>
      <c r="F90">
        <v>2142</v>
      </c>
      <c r="G90">
        <v>92</v>
      </c>
      <c r="H90" s="4">
        <v>267.91000000000003</v>
      </c>
      <c r="I90" s="4">
        <v>6754.04</v>
      </c>
      <c r="J90" s="7">
        <f>Table1[[#This Row],[Clicks]]/Table1[[#This Row],[Impressions]]</f>
        <v>2.5913693608681451E-2</v>
      </c>
      <c r="K90" s="7">
        <f>IFERROR(Table1[[#This Row],[Conversions]]/Table1[[#This Row],[Clicks]],0)</f>
        <v>4.2950513538748833E-2</v>
      </c>
      <c r="L90" s="6">
        <f>IF(Table1[[#This Row],[Conversions]]=0,0,Table1[[#This Row],[Ad Spend]]/Table1[[#This Row],[Conversions]])</f>
        <v>2.9120652173913046</v>
      </c>
      <c r="M90" s="8">
        <f>IF(Table1[[#This Row],[Ad Spend]]=0,0,Table1[[#This Row],[Revenue]]/Table1[[#This Row],[Ad Spend]])</f>
        <v>25.210107872046581</v>
      </c>
      <c r="N90">
        <f>YEAR(Table1[[#This Row],[Date]])</f>
        <v>2024</v>
      </c>
      <c r="O90" t="str">
        <f>TEXT(Table1[[#This Row],[Date]],"mmm")</f>
        <v>Apr</v>
      </c>
      <c r="P90">
        <f>MONTH(Table1[[#This Row],[Date]])</f>
        <v>4</v>
      </c>
    </row>
    <row r="91" spans="1:16" x14ac:dyDescent="0.25">
      <c r="A91" t="s">
        <v>110</v>
      </c>
      <c r="B91" t="s">
        <v>34</v>
      </c>
      <c r="C91" t="s">
        <v>10</v>
      </c>
      <c r="D91" s="1">
        <v>45319</v>
      </c>
      <c r="E91">
        <v>81581</v>
      </c>
      <c r="F91">
        <v>4798</v>
      </c>
      <c r="G91">
        <v>174</v>
      </c>
      <c r="H91" s="4">
        <v>4368.6099999999997</v>
      </c>
      <c r="I91" s="4">
        <v>12021.29</v>
      </c>
      <c r="J91" s="7">
        <f>Table1[[#This Row],[Clicks]]/Table1[[#This Row],[Impressions]]</f>
        <v>5.8812713744621908E-2</v>
      </c>
      <c r="K91" s="7">
        <f>IFERROR(Table1[[#This Row],[Conversions]]/Table1[[#This Row],[Clicks]],0)</f>
        <v>3.626511046269279E-2</v>
      </c>
      <c r="L91" s="6">
        <f>IF(Table1[[#This Row],[Conversions]]=0,0,Table1[[#This Row],[Ad Spend]]/Table1[[#This Row],[Conversions]])</f>
        <v>25.106954022988504</v>
      </c>
      <c r="M91" s="8">
        <f>IF(Table1[[#This Row],[Ad Spend]]=0,0,Table1[[#This Row],[Revenue]]/Table1[[#This Row],[Ad Spend]])</f>
        <v>2.7517425451116035</v>
      </c>
      <c r="N91">
        <f>YEAR(Table1[[#This Row],[Date]])</f>
        <v>2024</v>
      </c>
      <c r="O91" t="str">
        <f>TEXT(Table1[[#This Row],[Date]],"mmm")</f>
        <v>Jan</v>
      </c>
      <c r="P91">
        <f>MONTH(Table1[[#This Row],[Date]])</f>
        <v>1</v>
      </c>
    </row>
    <row r="92" spans="1:16" x14ac:dyDescent="0.25">
      <c r="A92" t="s">
        <v>111</v>
      </c>
      <c r="B92" t="s">
        <v>31</v>
      </c>
      <c r="C92" t="s">
        <v>12</v>
      </c>
      <c r="D92" s="1">
        <v>45437</v>
      </c>
      <c r="E92">
        <v>128049</v>
      </c>
      <c r="F92">
        <v>5571</v>
      </c>
      <c r="G92">
        <v>358</v>
      </c>
      <c r="H92" s="4">
        <v>4834.3900000000003</v>
      </c>
      <c r="I92" s="4">
        <v>16198.73</v>
      </c>
      <c r="J92" s="7">
        <f>Table1[[#This Row],[Clicks]]/Table1[[#This Row],[Impressions]]</f>
        <v>4.3506782559801324E-2</v>
      </c>
      <c r="K92" s="7">
        <f>IFERROR(Table1[[#This Row],[Conversions]]/Table1[[#This Row],[Clicks]],0)</f>
        <v>6.4261353437443908E-2</v>
      </c>
      <c r="L92" s="6">
        <f>IF(Table1[[#This Row],[Conversions]]=0,0,Table1[[#This Row],[Ad Spend]]/Table1[[#This Row],[Conversions]])</f>
        <v>13.503882681564246</v>
      </c>
      <c r="M92" s="8">
        <f>IF(Table1[[#This Row],[Ad Spend]]=0,0,Table1[[#This Row],[Revenue]]/Table1[[#This Row],[Ad Spend]])</f>
        <v>3.3507288406603517</v>
      </c>
      <c r="N92">
        <f>YEAR(Table1[[#This Row],[Date]])</f>
        <v>2024</v>
      </c>
      <c r="O92" t="str">
        <f>TEXT(Table1[[#This Row],[Date]],"mmm")</f>
        <v>May</v>
      </c>
      <c r="P92">
        <f>MONTH(Table1[[#This Row],[Date]])</f>
        <v>5</v>
      </c>
    </row>
    <row r="93" spans="1:16" x14ac:dyDescent="0.25">
      <c r="A93" t="s">
        <v>112</v>
      </c>
      <c r="B93" t="s">
        <v>41</v>
      </c>
      <c r="C93" t="s">
        <v>10</v>
      </c>
      <c r="D93" s="1">
        <v>45712</v>
      </c>
      <c r="E93">
        <v>22129</v>
      </c>
      <c r="F93">
        <v>841</v>
      </c>
      <c r="G93">
        <v>24</v>
      </c>
      <c r="H93" s="4">
        <v>3221.34</v>
      </c>
      <c r="I93" s="4">
        <v>608.66</v>
      </c>
      <c r="J93" s="7">
        <f>Table1[[#This Row],[Clicks]]/Table1[[#This Row],[Impressions]]</f>
        <v>3.8004428577884226E-2</v>
      </c>
      <c r="K93" s="7">
        <f>IFERROR(Table1[[#This Row],[Conversions]]/Table1[[#This Row],[Clicks]],0)</f>
        <v>2.8537455410225922E-2</v>
      </c>
      <c r="L93" s="6">
        <f>IF(Table1[[#This Row],[Conversions]]=0,0,Table1[[#This Row],[Ad Spend]]/Table1[[#This Row],[Conversions]])</f>
        <v>134.2225</v>
      </c>
      <c r="M93" s="8">
        <f>IF(Table1[[#This Row],[Ad Spend]]=0,0,Table1[[#This Row],[Revenue]]/Table1[[#This Row],[Ad Spend]])</f>
        <v>0.18894621492919095</v>
      </c>
      <c r="N93">
        <f>YEAR(Table1[[#This Row],[Date]])</f>
        <v>2025</v>
      </c>
      <c r="O93" t="str">
        <f>TEXT(Table1[[#This Row],[Date]],"mmm")</f>
        <v>Feb</v>
      </c>
      <c r="P93">
        <f>MONTH(Table1[[#This Row],[Date]])</f>
        <v>2</v>
      </c>
    </row>
    <row r="94" spans="1:16" x14ac:dyDescent="0.25">
      <c r="A94" t="s">
        <v>113</v>
      </c>
      <c r="B94" t="s">
        <v>16</v>
      </c>
      <c r="C94" t="s">
        <v>12</v>
      </c>
      <c r="D94" s="1">
        <v>45447</v>
      </c>
      <c r="E94">
        <v>27329</v>
      </c>
      <c r="F94">
        <v>2174</v>
      </c>
      <c r="G94">
        <v>76</v>
      </c>
      <c r="H94" s="4">
        <v>3869.33</v>
      </c>
      <c r="I94" s="4">
        <v>6128.01</v>
      </c>
      <c r="J94" s="7">
        <f>Table1[[#This Row],[Clicks]]/Table1[[#This Row],[Impressions]]</f>
        <v>7.9549196823886711E-2</v>
      </c>
      <c r="K94" s="7">
        <f>IFERROR(Table1[[#This Row],[Conversions]]/Table1[[#This Row],[Clicks]],0)</f>
        <v>3.4958601655933765E-2</v>
      </c>
      <c r="L94" s="6">
        <f>IF(Table1[[#This Row],[Conversions]]=0,0,Table1[[#This Row],[Ad Spend]]/Table1[[#This Row],[Conversions]])</f>
        <v>50.912236842105266</v>
      </c>
      <c r="M94" s="8">
        <f>IF(Table1[[#This Row],[Ad Spend]]=0,0,Table1[[#This Row],[Revenue]]/Table1[[#This Row],[Ad Spend]])</f>
        <v>1.5837393037037422</v>
      </c>
      <c r="N94">
        <f>YEAR(Table1[[#This Row],[Date]])</f>
        <v>2024</v>
      </c>
      <c r="O94" t="str">
        <f>TEXT(Table1[[#This Row],[Date]],"mmm")</f>
        <v>Jun</v>
      </c>
      <c r="P94">
        <f>MONTH(Table1[[#This Row],[Date]])</f>
        <v>6</v>
      </c>
    </row>
    <row r="95" spans="1:16" x14ac:dyDescent="0.25">
      <c r="A95" t="s">
        <v>114</v>
      </c>
      <c r="B95" t="s">
        <v>14</v>
      </c>
      <c r="C95" t="s">
        <v>12</v>
      </c>
      <c r="D95" s="1">
        <v>45486</v>
      </c>
      <c r="E95">
        <v>123099</v>
      </c>
      <c r="F95">
        <v>9059</v>
      </c>
      <c r="G95">
        <v>531</v>
      </c>
      <c r="H95" s="4">
        <v>3024.92</v>
      </c>
      <c r="I95" s="4">
        <v>33390.86</v>
      </c>
      <c r="J95" s="7">
        <f>Table1[[#This Row],[Clicks]]/Table1[[#This Row],[Impressions]]</f>
        <v>7.3591174583059166E-2</v>
      </c>
      <c r="K95" s="7">
        <f>IFERROR(Table1[[#This Row],[Conversions]]/Table1[[#This Row],[Clicks]],0)</f>
        <v>5.8615741251793793E-2</v>
      </c>
      <c r="L95" s="6">
        <f>IF(Table1[[#This Row],[Conversions]]=0,0,Table1[[#This Row],[Ad Spend]]/Table1[[#This Row],[Conversions]])</f>
        <v>5.6966478342749527</v>
      </c>
      <c r="M95" s="8">
        <f>IF(Table1[[#This Row],[Ad Spend]]=0,0,Table1[[#This Row],[Revenue]]/Table1[[#This Row],[Ad Spend]])</f>
        <v>11.038592756172063</v>
      </c>
      <c r="N95">
        <f>YEAR(Table1[[#This Row],[Date]])</f>
        <v>2024</v>
      </c>
      <c r="O95" t="str">
        <f>TEXT(Table1[[#This Row],[Date]],"mmm")</f>
        <v>Jul</v>
      </c>
      <c r="P95">
        <f>MONTH(Table1[[#This Row],[Date]])</f>
        <v>7</v>
      </c>
    </row>
    <row r="96" spans="1:16" x14ac:dyDescent="0.25">
      <c r="A96" t="s">
        <v>115</v>
      </c>
      <c r="B96" t="s">
        <v>31</v>
      </c>
      <c r="C96" t="s">
        <v>12</v>
      </c>
      <c r="D96" s="1">
        <v>45670</v>
      </c>
      <c r="E96">
        <v>31013</v>
      </c>
      <c r="F96">
        <v>2367</v>
      </c>
      <c r="G96">
        <v>111</v>
      </c>
      <c r="H96" s="4">
        <v>1212.92</v>
      </c>
      <c r="I96" s="4">
        <v>9550.75</v>
      </c>
      <c r="J96" s="7">
        <f>Table1[[#This Row],[Clicks]]/Table1[[#This Row],[Impressions]]</f>
        <v>7.6322832360622969E-2</v>
      </c>
      <c r="K96" s="7">
        <f>IFERROR(Table1[[#This Row],[Conversions]]/Table1[[#This Row],[Clicks]],0)</f>
        <v>4.6894803548795945E-2</v>
      </c>
      <c r="L96" s="6">
        <f>IF(Table1[[#This Row],[Conversions]]=0,0,Table1[[#This Row],[Ad Spend]]/Table1[[#This Row],[Conversions]])</f>
        <v>10.927207207207207</v>
      </c>
      <c r="M96" s="8">
        <f>IF(Table1[[#This Row],[Ad Spend]]=0,0,Table1[[#This Row],[Revenue]]/Table1[[#This Row],[Ad Spend]])</f>
        <v>7.8741796656003693</v>
      </c>
      <c r="N96">
        <f>YEAR(Table1[[#This Row],[Date]])</f>
        <v>2025</v>
      </c>
      <c r="O96" t="str">
        <f>TEXT(Table1[[#This Row],[Date]],"mmm")</f>
        <v>Jan</v>
      </c>
      <c r="P96">
        <f>MONTH(Table1[[#This Row],[Date]])</f>
        <v>1</v>
      </c>
    </row>
    <row r="97" spans="1:16" x14ac:dyDescent="0.25">
      <c r="A97" t="s">
        <v>116</v>
      </c>
      <c r="B97" t="s">
        <v>16</v>
      </c>
      <c r="C97" t="s">
        <v>37</v>
      </c>
      <c r="D97" s="1">
        <v>45380</v>
      </c>
      <c r="E97">
        <v>149701</v>
      </c>
      <c r="F97">
        <v>2283</v>
      </c>
      <c r="G97">
        <v>46</v>
      </c>
      <c r="H97" s="4">
        <v>2362.42</v>
      </c>
      <c r="I97" s="4">
        <v>3651.53</v>
      </c>
      <c r="J97" s="7">
        <f>Table1[[#This Row],[Clicks]]/Table1[[#This Row],[Impressions]]</f>
        <v>1.5250399128930335E-2</v>
      </c>
      <c r="K97" s="7">
        <f>IFERROR(Table1[[#This Row],[Conversions]]/Table1[[#This Row],[Clicks]],0)</f>
        <v>2.0148926850635129E-2</v>
      </c>
      <c r="L97" s="6">
        <f>IF(Table1[[#This Row],[Conversions]]=0,0,Table1[[#This Row],[Ad Spend]]/Table1[[#This Row],[Conversions]])</f>
        <v>51.356956521739129</v>
      </c>
      <c r="M97" s="8">
        <f>IF(Table1[[#This Row],[Ad Spend]]=0,0,Table1[[#This Row],[Revenue]]/Table1[[#This Row],[Ad Spend]])</f>
        <v>1.5456735042879759</v>
      </c>
      <c r="N97">
        <f>YEAR(Table1[[#This Row],[Date]])</f>
        <v>2024</v>
      </c>
      <c r="O97" t="str">
        <f>TEXT(Table1[[#This Row],[Date]],"mmm")</f>
        <v>Mar</v>
      </c>
      <c r="P97">
        <f>MONTH(Table1[[#This Row],[Date]])</f>
        <v>3</v>
      </c>
    </row>
    <row r="98" spans="1:16" x14ac:dyDescent="0.25">
      <c r="A98" t="s">
        <v>117</v>
      </c>
      <c r="B98" t="s">
        <v>34</v>
      </c>
      <c r="C98" t="s">
        <v>10</v>
      </c>
      <c r="D98" s="1">
        <v>45410</v>
      </c>
      <c r="E98">
        <v>80524</v>
      </c>
      <c r="F98">
        <v>4790</v>
      </c>
      <c r="G98">
        <v>533</v>
      </c>
      <c r="H98" s="4">
        <v>2379.35</v>
      </c>
      <c r="I98" s="4">
        <v>47297.62</v>
      </c>
      <c r="J98" s="7">
        <f>Table1[[#This Row],[Clicks]]/Table1[[#This Row],[Impressions]]</f>
        <v>5.9485370821121653E-2</v>
      </c>
      <c r="K98" s="7">
        <f>IFERROR(Table1[[#This Row],[Conversions]]/Table1[[#This Row],[Clicks]],0)</f>
        <v>0.11127348643006263</v>
      </c>
      <c r="L98" s="6">
        <f>IF(Table1[[#This Row],[Conversions]]=0,0,Table1[[#This Row],[Ad Spend]]/Table1[[#This Row],[Conversions]])</f>
        <v>4.4640712945590995</v>
      </c>
      <c r="M98" s="8">
        <f>IF(Table1[[#This Row],[Ad Spend]]=0,0,Table1[[#This Row],[Revenue]]/Table1[[#This Row],[Ad Spend]])</f>
        <v>19.878378548763319</v>
      </c>
      <c r="N98">
        <f>YEAR(Table1[[#This Row],[Date]])</f>
        <v>2024</v>
      </c>
      <c r="O98" t="str">
        <f>TEXT(Table1[[#This Row],[Date]],"mmm")</f>
        <v>Apr</v>
      </c>
      <c r="P98">
        <f>MONTH(Table1[[#This Row],[Date]])</f>
        <v>4</v>
      </c>
    </row>
    <row r="99" spans="1:16" x14ac:dyDescent="0.25">
      <c r="A99" t="s">
        <v>118</v>
      </c>
      <c r="B99" t="s">
        <v>34</v>
      </c>
      <c r="C99" t="s">
        <v>12</v>
      </c>
      <c r="D99" s="1">
        <v>45630</v>
      </c>
      <c r="E99">
        <v>56857</v>
      </c>
      <c r="F99">
        <v>2260</v>
      </c>
      <c r="G99">
        <v>205</v>
      </c>
      <c r="H99" s="4">
        <v>3308.65</v>
      </c>
      <c r="I99" s="4">
        <v>22722.43</v>
      </c>
      <c r="J99" s="7">
        <f>Table1[[#This Row],[Clicks]]/Table1[[#This Row],[Impressions]]</f>
        <v>3.9748843590059271E-2</v>
      </c>
      <c r="K99" s="7">
        <f>IFERROR(Table1[[#This Row],[Conversions]]/Table1[[#This Row],[Clicks]],0)</f>
        <v>9.0707964601769914E-2</v>
      </c>
      <c r="L99" s="6">
        <f>IF(Table1[[#This Row],[Conversions]]=0,0,Table1[[#This Row],[Ad Spend]]/Table1[[#This Row],[Conversions]])</f>
        <v>16.139756097560976</v>
      </c>
      <c r="M99" s="8">
        <f>IF(Table1[[#This Row],[Ad Spend]]=0,0,Table1[[#This Row],[Revenue]]/Table1[[#This Row],[Ad Spend]])</f>
        <v>6.8675834554878881</v>
      </c>
      <c r="N99">
        <f>YEAR(Table1[[#This Row],[Date]])</f>
        <v>2024</v>
      </c>
      <c r="O99" t="str">
        <f>TEXT(Table1[[#This Row],[Date]],"mmm")</f>
        <v>Dec</v>
      </c>
      <c r="P99">
        <f>MONTH(Table1[[#This Row],[Date]])</f>
        <v>12</v>
      </c>
    </row>
    <row r="100" spans="1:16" x14ac:dyDescent="0.25">
      <c r="A100" t="s">
        <v>119</v>
      </c>
      <c r="B100" t="s">
        <v>16</v>
      </c>
      <c r="C100" t="s">
        <v>10</v>
      </c>
      <c r="D100" s="1">
        <v>45322</v>
      </c>
      <c r="E100">
        <v>48495</v>
      </c>
      <c r="F100">
        <v>3175</v>
      </c>
      <c r="G100">
        <v>309</v>
      </c>
      <c r="H100" s="4">
        <v>4156.3500000000004</v>
      </c>
      <c r="I100" s="4">
        <v>34644.85</v>
      </c>
      <c r="J100" s="7">
        <f>Table1[[#This Row],[Clicks]]/Table1[[#This Row],[Impressions]]</f>
        <v>6.5470667079080322E-2</v>
      </c>
      <c r="K100" s="7">
        <f>IFERROR(Table1[[#This Row],[Conversions]]/Table1[[#This Row],[Clicks]],0)</f>
        <v>9.7322834645669293E-2</v>
      </c>
      <c r="L100" s="6">
        <f>IF(Table1[[#This Row],[Conversions]]=0,0,Table1[[#This Row],[Ad Spend]]/Table1[[#This Row],[Conversions]])</f>
        <v>13.450970873786408</v>
      </c>
      <c r="M100" s="8">
        <f>IF(Table1[[#This Row],[Ad Spend]]=0,0,Table1[[#This Row],[Revenue]]/Table1[[#This Row],[Ad Spend]])</f>
        <v>8.3354024564822495</v>
      </c>
      <c r="N100">
        <f>YEAR(Table1[[#This Row],[Date]])</f>
        <v>2024</v>
      </c>
      <c r="O100" t="str">
        <f>TEXT(Table1[[#This Row],[Date]],"mmm")</f>
        <v>Jan</v>
      </c>
      <c r="P100">
        <f>MONTH(Table1[[#This Row],[Date]])</f>
        <v>1</v>
      </c>
    </row>
    <row r="101" spans="1:16" x14ac:dyDescent="0.25">
      <c r="A101" t="s">
        <v>120</v>
      </c>
      <c r="B101" t="s">
        <v>41</v>
      </c>
      <c r="C101" t="s">
        <v>10</v>
      </c>
      <c r="D101" s="1">
        <v>45531</v>
      </c>
      <c r="E101">
        <v>84715</v>
      </c>
      <c r="F101">
        <v>4996</v>
      </c>
      <c r="G101">
        <v>712</v>
      </c>
      <c r="H101" s="4">
        <v>2602.27</v>
      </c>
      <c r="I101" s="4">
        <v>49398.22</v>
      </c>
      <c r="J101" s="7">
        <f>Table1[[#This Row],[Clicks]]/Table1[[#This Row],[Impressions]]</f>
        <v>5.8974207637372364E-2</v>
      </c>
      <c r="K101" s="7">
        <f>IFERROR(Table1[[#This Row],[Conversions]]/Table1[[#This Row],[Clicks]],0)</f>
        <v>0.14251401120896717</v>
      </c>
      <c r="L101" s="6">
        <f>IF(Table1[[#This Row],[Conversions]]=0,0,Table1[[#This Row],[Ad Spend]]/Table1[[#This Row],[Conversions]])</f>
        <v>3.654873595505618</v>
      </c>
      <c r="M101" s="8">
        <f>IF(Table1[[#This Row],[Ad Spend]]=0,0,Table1[[#This Row],[Revenue]]/Table1[[#This Row],[Ad Spend]])</f>
        <v>18.982741990646627</v>
      </c>
      <c r="N101">
        <f>YEAR(Table1[[#This Row],[Date]])</f>
        <v>2024</v>
      </c>
      <c r="O101" t="str">
        <f>TEXT(Table1[[#This Row],[Date]],"mmm")</f>
        <v>Aug</v>
      </c>
      <c r="P101">
        <f>MONTH(Table1[[#This Row],[Date]])</f>
        <v>8</v>
      </c>
    </row>
    <row r="102" spans="1:16" x14ac:dyDescent="0.25">
      <c r="A102" t="s">
        <v>121</v>
      </c>
      <c r="B102" t="s">
        <v>9</v>
      </c>
      <c r="C102" t="s">
        <v>12</v>
      </c>
      <c r="D102" s="1">
        <v>45312</v>
      </c>
      <c r="E102">
        <v>118253</v>
      </c>
      <c r="F102">
        <v>7262</v>
      </c>
      <c r="G102">
        <v>715</v>
      </c>
      <c r="H102" s="4">
        <v>324.14999999999998</v>
      </c>
      <c r="I102" s="4">
        <v>30668.1</v>
      </c>
      <c r="J102" s="7">
        <f>Table1[[#This Row],[Clicks]]/Table1[[#This Row],[Impressions]]</f>
        <v>6.1410704168181778E-2</v>
      </c>
      <c r="K102" s="7">
        <f>IFERROR(Table1[[#This Row],[Conversions]]/Table1[[#This Row],[Clicks]],0)</f>
        <v>9.8457725144588268E-2</v>
      </c>
      <c r="L102" s="6">
        <f>IF(Table1[[#This Row],[Conversions]]=0,0,Table1[[#This Row],[Ad Spend]]/Table1[[#This Row],[Conversions]])</f>
        <v>0.45335664335664333</v>
      </c>
      <c r="M102" s="8">
        <f>IF(Table1[[#This Row],[Ad Spend]]=0,0,Table1[[#This Row],[Revenue]]/Table1[[#This Row],[Ad Spend]])</f>
        <v>94.610828320222126</v>
      </c>
      <c r="N102">
        <f>YEAR(Table1[[#This Row],[Date]])</f>
        <v>2024</v>
      </c>
      <c r="O102" t="str">
        <f>TEXT(Table1[[#This Row],[Date]],"mmm")</f>
        <v>Jan</v>
      </c>
      <c r="P102">
        <f>MONTH(Table1[[#This Row],[Date]])</f>
        <v>1</v>
      </c>
    </row>
    <row r="103" spans="1:16" x14ac:dyDescent="0.25">
      <c r="A103" t="s">
        <v>122</v>
      </c>
      <c r="B103" t="s">
        <v>31</v>
      </c>
      <c r="C103" t="s">
        <v>19</v>
      </c>
      <c r="D103" s="1">
        <v>45587</v>
      </c>
      <c r="E103">
        <v>15546</v>
      </c>
      <c r="F103">
        <v>985</v>
      </c>
      <c r="G103">
        <v>42</v>
      </c>
      <c r="H103" s="4">
        <v>2691.03</v>
      </c>
      <c r="I103" s="4">
        <v>2697.36</v>
      </c>
      <c r="J103" s="7">
        <f>Table1[[#This Row],[Clicks]]/Table1[[#This Row],[Impressions]]</f>
        <v>6.3360349929242249E-2</v>
      </c>
      <c r="K103" s="7">
        <f>IFERROR(Table1[[#This Row],[Conversions]]/Table1[[#This Row],[Clicks]],0)</f>
        <v>4.2639593908629439E-2</v>
      </c>
      <c r="L103" s="6">
        <f>IF(Table1[[#This Row],[Conversions]]=0,0,Table1[[#This Row],[Ad Spend]]/Table1[[#This Row],[Conversions]])</f>
        <v>64.072142857142865</v>
      </c>
      <c r="M103" s="8">
        <f>IF(Table1[[#This Row],[Ad Spend]]=0,0,Table1[[#This Row],[Revenue]]/Table1[[#This Row],[Ad Spend]])</f>
        <v>1.0023522591721385</v>
      </c>
      <c r="N103">
        <f>YEAR(Table1[[#This Row],[Date]])</f>
        <v>2024</v>
      </c>
      <c r="O103" t="str">
        <f>TEXT(Table1[[#This Row],[Date]],"mmm")</f>
        <v>Oct</v>
      </c>
      <c r="P103">
        <f>MONTH(Table1[[#This Row],[Date]])</f>
        <v>10</v>
      </c>
    </row>
    <row r="104" spans="1:16" x14ac:dyDescent="0.25">
      <c r="A104" t="s">
        <v>123</v>
      </c>
      <c r="B104" t="s">
        <v>34</v>
      </c>
      <c r="C104" t="s">
        <v>37</v>
      </c>
      <c r="D104" s="1">
        <v>45591</v>
      </c>
      <c r="E104">
        <v>119264</v>
      </c>
      <c r="F104">
        <v>6492</v>
      </c>
      <c r="G104">
        <v>544</v>
      </c>
      <c r="H104" s="4">
        <v>637.96</v>
      </c>
      <c r="I104" s="4">
        <v>29809.08</v>
      </c>
      <c r="J104" s="7">
        <f>Table1[[#This Row],[Clicks]]/Table1[[#This Row],[Impressions]]</f>
        <v>5.4433861014220555E-2</v>
      </c>
      <c r="K104" s="7">
        <f>IFERROR(Table1[[#This Row],[Conversions]]/Table1[[#This Row],[Clicks]],0)</f>
        <v>8.3795440542205793E-2</v>
      </c>
      <c r="L104" s="6">
        <f>IF(Table1[[#This Row],[Conversions]]=0,0,Table1[[#This Row],[Ad Spend]]/Table1[[#This Row],[Conversions]])</f>
        <v>1.1727205882352942</v>
      </c>
      <c r="M104" s="8">
        <f>IF(Table1[[#This Row],[Ad Spend]]=0,0,Table1[[#This Row],[Revenue]]/Table1[[#This Row],[Ad Spend]])</f>
        <v>46.725625431061509</v>
      </c>
      <c r="N104">
        <f>YEAR(Table1[[#This Row],[Date]])</f>
        <v>2024</v>
      </c>
      <c r="O104" t="str">
        <f>TEXT(Table1[[#This Row],[Date]],"mmm")</f>
        <v>Oct</v>
      </c>
      <c r="P104">
        <f>MONTH(Table1[[#This Row],[Date]])</f>
        <v>10</v>
      </c>
    </row>
    <row r="105" spans="1:16" x14ac:dyDescent="0.25">
      <c r="A105" t="s">
        <v>124</v>
      </c>
      <c r="B105" t="s">
        <v>47</v>
      </c>
      <c r="C105" t="s">
        <v>19</v>
      </c>
      <c r="D105" s="1">
        <v>45635</v>
      </c>
      <c r="E105">
        <v>32420</v>
      </c>
      <c r="F105">
        <v>2270</v>
      </c>
      <c r="G105">
        <v>142</v>
      </c>
      <c r="H105" s="4">
        <v>3529.63</v>
      </c>
      <c r="I105" s="4">
        <v>6932.69</v>
      </c>
      <c r="J105" s="7">
        <f>Table1[[#This Row],[Clicks]]/Table1[[#This Row],[Impressions]]</f>
        <v>7.0018507094386187E-2</v>
      </c>
      <c r="K105" s="7">
        <f>IFERROR(Table1[[#This Row],[Conversions]]/Table1[[#This Row],[Clicks]],0)</f>
        <v>6.255506607929516E-2</v>
      </c>
      <c r="L105" s="6">
        <f>IF(Table1[[#This Row],[Conversions]]=0,0,Table1[[#This Row],[Ad Spend]]/Table1[[#This Row],[Conversions]])</f>
        <v>24.856549295774649</v>
      </c>
      <c r="M105" s="8">
        <f>IF(Table1[[#This Row],[Ad Spend]]=0,0,Table1[[#This Row],[Revenue]]/Table1[[#This Row],[Ad Spend]])</f>
        <v>1.9641407172989802</v>
      </c>
      <c r="N105">
        <f>YEAR(Table1[[#This Row],[Date]])</f>
        <v>2024</v>
      </c>
      <c r="O105" t="str">
        <f>TEXT(Table1[[#This Row],[Date]],"mmm")</f>
        <v>Dec</v>
      </c>
      <c r="P105">
        <f>MONTH(Table1[[#This Row],[Date]])</f>
        <v>12</v>
      </c>
    </row>
    <row r="106" spans="1:16" x14ac:dyDescent="0.25">
      <c r="A106" t="s">
        <v>125</v>
      </c>
      <c r="B106" t="s">
        <v>21</v>
      </c>
      <c r="C106" t="s">
        <v>12</v>
      </c>
      <c r="D106" s="1">
        <v>45310</v>
      </c>
      <c r="E106">
        <v>124229</v>
      </c>
      <c r="F106">
        <v>2008</v>
      </c>
      <c r="G106">
        <v>106</v>
      </c>
      <c r="H106" s="4">
        <v>756.42</v>
      </c>
      <c r="I106" s="4">
        <v>10309.01</v>
      </c>
      <c r="J106" s="7">
        <f>Table1[[#This Row],[Clicks]]/Table1[[#This Row],[Impressions]]</f>
        <v>1.6163697687335485E-2</v>
      </c>
      <c r="K106" s="7">
        <f>IFERROR(Table1[[#This Row],[Conversions]]/Table1[[#This Row],[Clicks]],0)</f>
        <v>5.2788844621513946E-2</v>
      </c>
      <c r="L106" s="6">
        <f>IF(Table1[[#This Row],[Conversions]]=0,0,Table1[[#This Row],[Ad Spend]]/Table1[[#This Row],[Conversions]])</f>
        <v>7.1360377358490563</v>
      </c>
      <c r="M106" s="8">
        <f>IF(Table1[[#This Row],[Ad Spend]]=0,0,Table1[[#This Row],[Revenue]]/Table1[[#This Row],[Ad Spend]])</f>
        <v>13.628685122022159</v>
      </c>
      <c r="N106">
        <f>YEAR(Table1[[#This Row],[Date]])</f>
        <v>2024</v>
      </c>
      <c r="O106" t="str">
        <f>TEXT(Table1[[#This Row],[Date]],"mmm")</f>
        <v>Jan</v>
      </c>
      <c r="P106">
        <f>MONTH(Table1[[#This Row],[Date]])</f>
        <v>1</v>
      </c>
    </row>
    <row r="107" spans="1:16" x14ac:dyDescent="0.25">
      <c r="A107" t="s">
        <v>126</v>
      </c>
      <c r="B107" t="s">
        <v>31</v>
      </c>
      <c r="C107" t="s">
        <v>12</v>
      </c>
      <c r="D107" s="1">
        <v>45528</v>
      </c>
      <c r="E107">
        <v>113330</v>
      </c>
      <c r="F107">
        <v>1563</v>
      </c>
      <c r="G107">
        <v>136</v>
      </c>
      <c r="H107" s="4">
        <v>3188.64</v>
      </c>
      <c r="I107" s="4">
        <v>9499.51</v>
      </c>
      <c r="J107" s="7">
        <f>Table1[[#This Row],[Clicks]]/Table1[[#This Row],[Impressions]]</f>
        <v>1.379158210535604E-2</v>
      </c>
      <c r="K107" s="7">
        <f>IFERROR(Table1[[#This Row],[Conversions]]/Table1[[#This Row],[Clicks]],0)</f>
        <v>8.7012156110044786E-2</v>
      </c>
      <c r="L107" s="6">
        <f>IF(Table1[[#This Row],[Conversions]]=0,0,Table1[[#This Row],[Ad Spend]]/Table1[[#This Row],[Conversions]])</f>
        <v>23.445882352941176</v>
      </c>
      <c r="M107" s="8">
        <f>IF(Table1[[#This Row],[Ad Spend]]=0,0,Table1[[#This Row],[Revenue]]/Table1[[#This Row],[Ad Spend]])</f>
        <v>2.9791729389332131</v>
      </c>
      <c r="N107">
        <f>YEAR(Table1[[#This Row],[Date]])</f>
        <v>2024</v>
      </c>
      <c r="O107" t="str">
        <f>TEXT(Table1[[#This Row],[Date]],"mmm")</f>
        <v>Aug</v>
      </c>
      <c r="P107">
        <f>MONTH(Table1[[#This Row],[Date]])</f>
        <v>8</v>
      </c>
    </row>
    <row r="108" spans="1:16" x14ac:dyDescent="0.25">
      <c r="A108" t="s">
        <v>127</v>
      </c>
      <c r="B108" t="s">
        <v>41</v>
      </c>
      <c r="C108" t="s">
        <v>10</v>
      </c>
      <c r="D108" s="1">
        <v>45396</v>
      </c>
      <c r="E108">
        <v>75007</v>
      </c>
      <c r="F108">
        <v>3633</v>
      </c>
      <c r="G108">
        <v>510</v>
      </c>
      <c r="H108" s="4">
        <v>2302.96</v>
      </c>
      <c r="I108" s="4">
        <v>45810.75</v>
      </c>
      <c r="J108" s="7">
        <f>Table1[[#This Row],[Clicks]]/Table1[[#This Row],[Impressions]]</f>
        <v>4.8435479355260179E-2</v>
      </c>
      <c r="K108" s="7">
        <f>IFERROR(Table1[[#This Row],[Conversions]]/Table1[[#This Row],[Clicks]],0)</f>
        <v>0.14037985136251033</v>
      </c>
      <c r="L108" s="6">
        <f>IF(Table1[[#This Row],[Conversions]]=0,0,Table1[[#This Row],[Ad Spend]]/Table1[[#This Row],[Conversions]])</f>
        <v>4.5156078431372553</v>
      </c>
      <c r="M108" s="8">
        <f>IF(Table1[[#This Row],[Ad Spend]]=0,0,Table1[[#This Row],[Revenue]]/Table1[[#This Row],[Ad Spend]])</f>
        <v>19.892117101469413</v>
      </c>
      <c r="N108">
        <f>YEAR(Table1[[#This Row],[Date]])</f>
        <v>2024</v>
      </c>
      <c r="O108" t="str">
        <f>TEXT(Table1[[#This Row],[Date]],"mmm")</f>
        <v>Apr</v>
      </c>
      <c r="P108">
        <f>MONTH(Table1[[#This Row],[Date]])</f>
        <v>4</v>
      </c>
    </row>
    <row r="109" spans="1:16" x14ac:dyDescent="0.25">
      <c r="A109" t="s">
        <v>128</v>
      </c>
      <c r="B109" t="s">
        <v>9</v>
      </c>
      <c r="C109" t="s">
        <v>10</v>
      </c>
      <c r="D109" s="1">
        <v>45614</v>
      </c>
      <c r="E109">
        <v>67730</v>
      </c>
      <c r="F109">
        <v>4042</v>
      </c>
      <c r="G109">
        <v>244</v>
      </c>
      <c r="H109" s="4">
        <v>265.64</v>
      </c>
      <c r="I109" s="4">
        <v>14834.97</v>
      </c>
      <c r="J109" s="7">
        <f>Table1[[#This Row],[Clicks]]/Table1[[#This Row],[Impressions]]</f>
        <v>5.9678133766425515E-2</v>
      </c>
      <c r="K109" s="7">
        <f>IFERROR(Table1[[#This Row],[Conversions]]/Table1[[#This Row],[Clicks]],0)</f>
        <v>6.0366155368629389E-2</v>
      </c>
      <c r="L109" s="6">
        <f>IF(Table1[[#This Row],[Conversions]]=0,0,Table1[[#This Row],[Ad Spend]]/Table1[[#This Row],[Conversions]])</f>
        <v>1.0886885245901639</v>
      </c>
      <c r="M109" s="8">
        <f>IF(Table1[[#This Row],[Ad Spend]]=0,0,Table1[[#This Row],[Revenue]]/Table1[[#This Row],[Ad Spend]])</f>
        <v>55.846145158861617</v>
      </c>
      <c r="N109">
        <f>YEAR(Table1[[#This Row],[Date]])</f>
        <v>2024</v>
      </c>
      <c r="O109" t="str">
        <f>TEXT(Table1[[#This Row],[Date]],"mmm")</f>
        <v>Nov</v>
      </c>
      <c r="P109">
        <f>MONTH(Table1[[#This Row],[Date]])</f>
        <v>11</v>
      </c>
    </row>
    <row r="110" spans="1:16" x14ac:dyDescent="0.25">
      <c r="A110" t="s">
        <v>129</v>
      </c>
      <c r="B110" t="s">
        <v>14</v>
      </c>
      <c r="C110" t="s">
        <v>10</v>
      </c>
      <c r="D110" s="1">
        <v>45528</v>
      </c>
      <c r="E110">
        <v>35793</v>
      </c>
      <c r="F110">
        <v>1980</v>
      </c>
      <c r="G110">
        <v>79</v>
      </c>
      <c r="H110" s="4">
        <v>4676.7299999999996</v>
      </c>
      <c r="I110" s="4">
        <v>3885.71</v>
      </c>
      <c r="J110" s="7">
        <f>Table1[[#This Row],[Clicks]]/Table1[[#This Row],[Impressions]]</f>
        <v>5.5318078953985418E-2</v>
      </c>
      <c r="K110" s="7">
        <f>IFERROR(Table1[[#This Row],[Conversions]]/Table1[[#This Row],[Clicks]],0)</f>
        <v>3.9898989898989899E-2</v>
      </c>
      <c r="L110" s="6">
        <f>IF(Table1[[#This Row],[Conversions]]=0,0,Table1[[#This Row],[Ad Spend]]/Table1[[#This Row],[Conversions]])</f>
        <v>59.199113924050629</v>
      </c>
      <c r="M110" s="8">
        <f>IF(Table1[[#This Row],[Ad Spend]]=0,0,Table1[[#This Row],[Revenue]]/Table1[[#This Row],[Ad Spend]])</f>
        <v>0.8308604516403556</v>
      </c>
      <c r="N110">
        <f>YEAR(Table1[[#This Row],[Date]])</f>
        <v>2024</v>
      </c>
      <c r="O110" t="str">
        <f>TEXT(Table1[[#This Row],[Date]],"mmm")</f>
        <v>Aug</v>
      </c>
      <c r="P110">
        <f>MONTH(Table1[[#This Row],[Date]])</f>
        <v>8</v>
      </c>
    </row>
    <row r="111" spans="1:16" x14ac:dyDescent="0.25">
      <c r="A111" t="s">
        <v>130</v>
      </c>
      <c r="B111" t="s">
        <v>34</v>
      </c>
      <c r="C111" t="s">
        <v>17</v>
      </c>
      <c r="D111" s="1">
        <v>45539</v>
      </c>
      <c r="E111">
        <v>128789</v>
      </c>
      <c r="F111">
        <v>3485</v>
      </c>
      <c r="G111">
        <v>319</v>
      </c>
      <c r="H111" s="4">
        <v>2041.21</v>
      </c>
      <c r="I111" s="4">
        <v>35787.589999999997</v>
      </c>
      <c r="J111" s="7">
        <f>Table1[[#This Row],[Clicks]]/Table1[[#This Row],[Impressions]]</f>
        <v>2.7059764420874453E-2</v>
      </c>
      <c r="K111" s="7">
        <f>IFERROR(Table1[[#This Row],[Conversions]]/Table1[[#This Row],[Clicks]],0)</f>
        <v>9.1535150645624105E-2</v>
      </c>
      <c r="L111" s="6">
        <f>IF(Table1[[#This Row],[Conversions]]=0,0,Table1[[#This Row],[Ad Spend]]/Table1[[#This Row],[Conversions]])</f>
        <v>6.3987774294670849</v>
      </c>
      <c r="M111" s="8">
        <f>IF(Table1[[#This Row],[Ad Spend]]=0,0,Table1[[#This Row],[Revenue]]/Table1[[#This Row],[Ad Spend]])</f>
        <v>17.532537073598501</v>
      </c>
      <c r="N111">
        <f>YEAR(Table1[[#This Row],[Date]])</f>
        <v>2024</v>
      </c>
      <c r="O111" t="str">
        <f>TEXT(Table1[[#This Row],[Date]],"mmm")</f>
        <v>Sept</v>
      </c>
      <c r="P111">
        <f>MONTH(Table1[[#This Row],[Date]])</f>
        <v>9</v>
      </c>
    </row>
    <row r="112" spans="1:16" x14ac:dyDescent="0.25">
      <c r="A112" t="s">
        <v>131</v>
      </c>
      <c r="B112" t="s">
        <v>16</v>
      </c>
      <c r="C112" t="s">
        <v>10</v>
      </c>
      <c r="D112" s="1">
        <v>45433</v>
      </c>
      <c r="E112">
        <v>113774</v>
      </c>
      <c r="F112">
        <v>3844</v>
      </c>
      <c r="G112">
        <v>470</v>
      </c>
      <c r="H112" s="4">
        <v>1482.43</v>
      </c>
      <c r="I112" s="4">
        <v>9520.57</v>
      </c>
      <c r="J112" s="7">
        <f>Table1[[#This Row],[Clicks]]/Table1[[#This Row],[Impressions]]</f>
        <v>3.3786278060013712E-2</v>
      </c>
      <c r="K112" s="7">
        <f>IFERROR(Table1[[#This Row],[Conversions]]/Table1[[#This Row],[Clicks]],0)</f>
        <v>0.1222684703433923</v>
      </c>
      <c r="L112" s="6">
        <f>IF(Table1[[#This Row],[Conversions]]=0,0,Table1[[#This Row],[Ad Spend]]/Table1[[#This Row],[Conversions]])</f>
        <v>3.1541063829787235</v>
      </c>
      <c r="M112" s="8">
        <f>IF(Table1[[#This Row],[Ad Spend]]=0,0,Table1[[#This Row],[Revenue]]/Table1[[#This Row],[Ad Spend]])</f>
        <v>6.4222728897823167</v>
      </c>
      <c r="N112">
        <f>YEAR(Table1[[#This Row],[Date]])</f>
        <v>2024</v>
      </c>
      <c r="O112" t="str">
        <f>TEXT(Table1[[#This Row],[Date]],"mmm")</f>
        <v>May</v>
      </c>
      <c r="P112">
        <f>MONTH(Table1[[#This Row],[Date]])</f>
        <v>5</v>
      </c>
    </row>
    <row r="113" spans="1:16" x14ac:dyDescent="0.25">
      <c r="A113" t="s">
        <v>132</v>
      </c>
      <c r="B113" t="s">
        <v>34</v>
      </c>
      <c r="C113" t="s">
        <v>12</v>
      </c>
      <c r="D113" s="1">
        <v>45588</v>
      </c>
      <c r="E113">
        <v>133356</v>
      </c>
      <c r="F113">
        <v>9410</v>
      </c>
      <c r="G113">
        <v>734</v>
      </c>
      <c r="H113" s="4">
        <v>2524.84</v>
      </c>
      <c r="I113" s="4">
        <v>39081.089999999997</v>
      </c>
      <c r="J113" s="7">
        <f>Table1[[#This Row],[Clicks]]/Table1[[#This Row],[Impressions]]</f>
        <v>7.0563004289270828E-2</v>
      </c>
      <c r="K113" s="7">
        <f>IFERROR(Table1[[#This Row],[Conversions]]/Table1[[#This Row],[Clicks]],0)</f>
        <v>7.8002125398512215E-2</v>
      </c>
      <c r="L113" s="6">
        <f>IF(Table1[[#This Row],[Conversions]]=0,0,Table1[[#This Row],[Ad Spend]]/Table1[[#This Row],[Conversions]])</f>
        <v>3.4398365122615804</v>
      </c>
      <c r="M113" s="8">
        <f>IF(Table1[[#This Row],[Ad Spend]]=0,0,Table1[[#This Row],[Revenue]]/Table1[[#This Row],[Ad Spend]])</f>
        <v>15.478640230668079</v>
      </c>
      <c r="N113">
        <f>YEAR(Table1[[#This Row],[Date]])</f>
        <v>2024</v>
      </c>
      <c r="O113" t="str">
        <f>TEXT(Table1[[#This Row],[Date]],"mmm")</f>
        <v>Oct</v>
      </c>
      <c r="P113">
        <f>MONTH(Table1[[#This Row],[Date]])</f>
        <v>10</v>
      </c>
    </row>
    <row r="114" spans="1:16" x14ac:dyDescent="0.25">
      <c r="A114" t="s">
        <v>133</v>
      </c>
      <c r="B114" t="s">
        <v>21</v>
      </c>
      <c r="C114" t="s">
        <v>17</v>
      </c>
      <c r="D114" s="1">
        <v>45456</v>
      </c>
      <c r="E114">
        <v>54454</v>
      </c>
      <c r="F114">
        <v>4283</v>
      </c>
      <c r="G114">
        <v>218</v>
      </c>
      <c r="H114" s="4">
        <v>2038.26</v>
      </c>
      <c r="I114" s="4">
        <v>23021.08</v>
      </c>
      <c r="J114" s="7">
        <f>Table1[[#This Row],[Clicks]]/Table1[[#This Row],[Impressions]]</f>
        <v>7.8653542439490215E-2</v>
      </c>
      <c r="K114" s="7">
        <f>IFERROR(Table1[[#This Row],[Conversions]]/Table1[[#This Row],[Clicks]],0)</f>
        <v>5.0898902638337615E-2</v>
      </c>
      <c r="L114" s="6">
        <f>IF(Table1[[#This Row],[Conversions]]=0,0,Table1[[#This Row],[Ad Spend]]/Table1[[#This Row],[Conversions]])</f>
        <v>9.3498165137614677</v>
      </c>
      <c r="M114" s="8">
        <f>IF(Table1[[#This Row],[Ad Spend]]=0,0,Table1[[#This Row],[Revenue]]/Table1[[#This Row],[Ad Spend]])</f>
        <v>11.294476661466154</v>
      </c>
      <c r="N114">
        <f>YEAR(Table1[[#This Row],[Date]])</f>
        <v>2024</v>
      </c>
      <c r="O114" t="str">
        <f>TEXT(Table1[[#This Row],[Date]],"mmm")</f>
        <v>Jun</v>
      </c>
      <c r="P114">
        <f>MONTH(Table1[[#This Row],[Date]])</f>
        <v>6</v>
      </c>
    </row>
    <row r="115" spans="1:16" x14ac:dyDescent="0.25">
      <c r="A115" t="s">
        <v>134</v>
      </c>
      <c r="B115" t="s">
        <v>21</v>
      </c>
      <c r="C115" t="s">
        <v>10</v>
      </c>
      <c r="D115" s="1">
        <v>45454</v>
      </c>
      <c r="E115">
        <v>128987</v>
      </c>
      <c r="F115">
        <v>7657</v>
      </c>
      <c r="G115">
        <v>960</v>
      </c>
      <c r="H115" s="4">
        <v>2053.1799999999998</v>
      </c>
      <c r="I115" s="4">
        <v>82914.13</v>
      </c>
      <c r="J115" s="7">
        <f>Table1[[#This Row],[Clicks]]/Table1[[#This Row],[Impressions]]</f>
        <v>5.936257142192624E-2</v>
      </c>
      <c r="K115" s="7">
        <f>IFERROR(Table1[[#This Row],[Conversions]]/Table1[[#This Row],[Clicks]],0)</f>
        <v>0.12537547342301161</v>
      </c>
      <c r="L115" s="6">
        <f>IF(Table1[[#This Row],[Conversions]]=0,0,Table1[[#This Row],[Ad Spend]]/Table1[[#This Row],[Conversions]])</f>
        <v>2.1387291666666663</v>
      </c>
      <c r="M115" s="8">
        <f>IF(Table1[[#This Row],[Ad Spend]]=0,0,Table1[[#This Row],[Revenue]]/Table1[[#This Row],[Ad Spend]])</f>
        <v>40.383273750961926</v>
      </c>
      <c r="N115">
        <f>YEAR(Table1[[#This Row],[Date]])</f>
        <v>2024</v>
      </c>
      <c r="O115" t="str">
        <f>TEXT(Table1[[#This Row],[Date]],"mmm")</f>
        <v>Jun</v>
      </c>
      <c r="P115">
        <f>MONTH(Table1[[#This Row],[Date]])</f>
        <v>6</v>
      </c>
    </row>
    <row r="116" spans="1:16" x14ac:dyDescent="0.25">
      <c r="A116" t="s">
        <v>135</v>
      </c>
      <c r="B116" t="s">
        <v>16</v>
      </c>
      <c r="C116" t="s">
        <v>17</v>
      </c>
      <c r="D116" s="1">
        <v>45310</v>
      </c>
      <c r="E116">
        <v>38094</v>
      </c>
      <c r="F116">
        <v>1720</v>
      </c>
      <c r="G116">
        <v>166</v>
      </c>
      <c r="H116" s="4">
        <v>4374.5600000000004</v>
      </c>
      <c r="I116" s="4">
        <v>17831.560000000001</v>
      </c>
      <c r="J116" s="7">
        <f>Table1[[#This Row],[Clicks]]/Table1[[#This Row],[Impressions]]</f>
        <v>4.5151467422691237E-2</v>
      </c>
      <c r="K116" s="7">
        <f>IFERROR(Table1[[#This Row],[Conversions]]/Table1[[#This Row],[Clicks]],0)</f>
        <v>9.6511627906976746E-2</v>
      </c>
      <c r="L116" s="6">
        <f>IF(Table1[[#This Row],[Conversions]]=0,0,Table1[[#This Row],[Ad Spend]]/Table1[[#This Row],[Conversions]])</f>
        <v>26.352771084337352</v>
      </c>
      <c r="M116" s="8">
        <f>IF(Table1[[#This Row],[Ad Spend]]=0,0,Table1[[#This Row],[Revenue]]/Table1[[#This Row],[Ad Spend]])</f>
        <v>4.0761950916206429</v>
      </c>
      <c r="N116">
        <f>YEAR(Table1[[#This Row],[Date]])</f>
        <v>2024</v>
      </c>
      <c r="O116" t="str">
        <f>TEXT(Table1[[#This Row],[Date]],"mmm")</f>
        <v>Jan</v>
      </c>
      <c r="P116">
        <f>MONTH(Table1[[#This Row],[Date]])</f>
        <v>1</v>
      </c>
    </row>
    <row r="117" spans="1:16" x14ac:dyDescent="0.25">
      <c r="A117" t="s">
        <v>136</v>
      </c>
      <c r="B117" t="s">
        <v>41</v>
      </c>
      <c r="C117" t="s">
        <v>10</v>
      </c>
      <c r="D117" s="1">
        <v>45561</v>
      </c>
      <c r="E117">
        <v>124780</v>
      </c>
      <c r="F117">
        <v>1381</v>
      </c>
      <c r="G117">
        <v>53</v>
      </c>
      <c r="H117" s="4">
        <v>4380.4799999999996</v>
      </c>
      <c r="I117" s="4">
        <v>6200.77</v>
      </c>
      <c r="J117" s="7">
        <f>Table1[[#This Row],[Clicks]]/Table1[[#This Row],[Impressions]]</f>
        <v>1.1067478762622216E-2</v>
      </c>
      <c r="K117" s="7">
        <f>IFERROR(Table1[[#This Row],[Conversions]]/Table1[[#This Row],[Clicks]],0)</f>
        <v>3.8377986965966691E-2</v>
      </c>
      <c r="L117" s="6">
        <f>IF(Table1[[#This Row],[Conversions]]=0,0,Table1[[#This Row],[Ad Spend]]/Table1[[#This Row],[Conversions]])</f>
        <v>82.650566037735842</v>
      </c>
      <c r="M117" s="8">
        <f>IF(Table1[[#This Row],[Ad Spend]]=0,0,Table1[[#This Row],[Revenue]]/Table1[[#This Row],[Ad Spend]])</f>
        <v>1.4155457849368107</v>
      </c>
      <c r="N117">
        <f>YEAR(Table1[[#This Row],[Date]])</f>
        <v>2024</v>
      </c>
      <c r="O117" t="str">
        <f>TEXT(Table1[[#This Row],[Date]],"mmm")</f>
        <v>Sept</v>
      </c>
      <c r="P117">
        <f>MONTH(Table1[[#This Row],[Date]])</f>
        <v>9</v>
      </c>
    </row>
    <row r="118" spans="1:16" x14ac:dyDescent="0.25">
      <c r="A118" t="s">
        <v>137</v>
      </c>
      <c r="B118" t="s">
        <v>9</v>
      </c>
      <c r="C118" t="s">
        <v>17</v>
      </c>
      <c r="D118" s="1">
        <v>45692</v>
      </c>
      <c r="E118">
        <v>74474</v>
      </c>
      <c r="F118">
        <v>2509</v>
      </c>
      <c r="G118">
        <v>276</v>
      </c>
      <c r="H118" s="4">
        <v>3319.22</v>
      </c>
      <c r="I118" s="4">
        <v>29028.720000000001</v>
      </c>
      <c r="J118" s="7">
        <f>Table1[[#This Row],[Clicks]]/Table1[[#This Row],[Impressions]]</f>
        <v>3.3689609796707577E-2</v>
      </c>
      <c r="K118" s="7">
        <f>IFERROR(Table1[[#This Row],[Conversions]]/Table1[[#This Row],[Clicks]],0)</f>
        <v>0.11000398565165405</v>
      </c>
      <c r="L118" s="6">
        <f>IF(Table1[[#This Row],[Conversions]]=0,0,Table1[[#This Row],[Ad Spend]]/Table1[[#This Row],[Conversions]])</f>
        <v>12.026159420289854</v>
      </c>
      <c r="M118" s="8">
        <f>IF(Table1[[#This Row],[Ad Spend]]=0,0,Table1[[#This Row],[Revenue]]/Table1[[#This Row],[Ad Spend]])</f>
        <v>8.7456450611890748</v>
      </c>
      <c r="N118">
        <f>YEAR(Table1[[#This Row],[Date]])</f>
        <v>2025</v>
      </c>
      <c r="O118" t="str">
        <f>TEXT(Table1[[#This Row],[Date]],"mmm")</f>
        <v>Feb</v>
      </c>
      <c r="P118">
        <f>MONTH(Table1[[#This Row],[Date]])</f>
        <v>2</v>
      </c>
    </row>
    <row r="119" spans="1:16" x14ac:dyDescent="0.25">
      <c r="A119" t="s">
        <v>138</v>
      </c>
      <c r="B119" t="s">
        <v>21</v>
      </c>
      <c r="C119" t="s">
        <v>19</v>
      </c>
      <c r="D119" s="1">
        <v>45612</v>
      </c>
      <c r="E119">
        <v>132912</v>
      </c>
      <c r="F119">
        <v>9445</v>
      </c>
      <c r="G119">
        <v>232</v>
      </c>
      <c r="H119" s="4">
        <v>528.41999999999996</v>
      </c>
      <c r="I119" s="4">
        <v>19282.939999999999</v>
      </c>
      <c r="J119" s="7">
        <f>Table1[[#This Row],[Clicks]]/Table1[[#This Row],[Impressions]]</f>
        <v>7.1062056097267359E-2</v>
      </c>
      <c r="K119" s="7">
        <f>IFERROR(Table1[[#This Row],[Conversions]]/Table1[[#This Row],[Clicks]],0)</f>
        <v>2.456326098464796E-2</v>
      </c>
      <c r="L119" s="6">
        <f>IF(Table1[[#This Row],[Conversions]]=0,0,Table1[[#This Row],[Ad Spend]]/Table1[[#This Row],[Conversions]])</f>
        <v>2.2776724137931033</v>
      </c>
      <c r="M119" s="8">
        <f>IF(Table1[[#This Row],[Ad Spend]]=0,0,Table1[[#This Row],[Revenue]]/Table1[[#This Row],[Ad Spend]])</f>
        <v>36.491692214526324</v>
      </c>
      <c r="N119">
        <f>YEAR(Table1[[#This Row],[Date]])</f>
        <v>2024</v>
      </c>
      <c r="O119" t="str">
        <f>TEXT(Table1[[#This Row],[Date]],"mmm")</f>
        <v>Nov</v>
      </c>
      <c r="P119">
        <f>MONTH(Table1[[#This Row],[Date]])</f>
        <v>11</v>
      </c>
    </row>
    <row r="120" spans="1:16" x14ac:dyDescent="0.25">
      <c r="A120" t="s">
        <v>139</v>
      </c>
      <c r="B120" t="s">
        <v>34</v>
      </c>
      <c r="C120" t="s">
        <v>37</v>
      </c>
      <c r="D120" s="1">
        <v>45674</v>
      </c>
      <c r="E120">
        <v>28692</v>
      </c>
      <c r="F120">
        <v>1158</v>
      </c>
      <c r="G120">
        <v>37</v>
      </c>
      <c r="H120" s="4">
        <v>3241.99</v>
      </c>
      <c r="I120" s="4">
        <v>3968.54</v>
      </c>
      <c r="J120" s="7">
        <f>Table1[[#This Row],[Clicks]]/Table1[[#This Row],[Impressions]]</f>
        <v>4.035968214136345E-2</v>
      </c>
      <c r="K120" s="7">
        <f>IFERROR(Table1[[#This Row],[Conversions]]/Table1[[#This Row],[Clicks]],0)</f>
        <v>3.1951640759930913E-2</v>
      </c>
      <c r="L120" s="6">
        <f>IF(Table1[[#This Row],[Conversions]]=0,0,Table1[[#This Row],[Ad Spend]]/Table1[[#This Row],[Conversions]])</f>
        <v>87.62135135135135</v>
      </c>
      <c r="M120" s="8">
        <f>IF(Table1[[#This Row],[Ad Spend]]=0,0,Table1[[#This Row],[Revenue]]/Table1[[#This Row],[Ad Spend]])</f>
        <v>1.2241061816970442</v>
      </c>
      <c r="N120">
        <f>YEAR(Table1[[#This Row],[Date]])</f>
        <v>2025</v>
      </c>
      <c r="O120" t="str">
        <f>TEXT(Table1[[#This Row],[Date]],"mmm")</f>
        <v>Jan</v>
      </c>
      <c r="P120">
        <f>MONTH(Table1[[#This Row],[Date]])</f>
        <v>1</v>
      </c>
    </row>
    <row r="121" spans="1:16" x14ac:dyDescent="0.25">
      <c r="A121" t="s">
        <v>140</v>
      </c>
      <c r="B121" t="s">
        <v>41</v>
      </c>
      <c r="C121" t="s">
        <v>37</v>
      </c>
      <c r="D121" s="1">
        <v>45647</v>
      </c>
      <c r="E121">
        <v>83503</v>
      </c>
      <c r="F121">
        <v>6115</v>
      </c>
      <c r="G121">
        <v>158</v>
      </c>
      <c r="H121" s="4">
        <v>4021.49</v>
      </c>
      <c r="I121" s="4">
        <v>7795.21</v>
      </c>
      <c r="J121" s="7">
        <f>Table1[[#This Row],[Clicks]]/Table1[[#This Row],[Impressions]]</f>
        <v>7.323090188376466E-2</v>
      </c>
      <c r="K121" s="7">
        <f>IFERROR(Table1[[#This Row],[Conversions]]/Table1[[#This Row],[Clicks]],0)</f>
        <v>2.5838103025347506E-2</v>
      </c>
      <c r="L121" s="6">
        <f>IF(Table1[[#This Row],[Conversions]]=0,0,Table1[[#This Row],[Ad Spend]]/Table1[[#This Row],[Conversions]])</f>
        <v>25.45246835443038</v>
      </c>
      <c r="M121" s="8">
        <f>IF(Table1[[#This Row],[Ad Spend]]=0,0,Table1[[#This Row],[Revenue]]/Table1[[#This Row],[Ad Spend]])</f>
        <v>1.9383885077421554</v>
      </c>
      <c r="N121">
        <f>YEAR(Table1[[#This Row],[Date]])</f>
        <v>2024</v>
      </c>
      <c r="O121" t="str">
        <f>TEXT(Table1[[#This Row],[Date]],"mmm")</f>
        <v>Dec</v>
      </c>
      <c r="P121">
        <f>MONTH(Table1[[#This Row],[Date]])</f>
        <v>12</v>
      </c>
    </row>
    <row r="122" spans="1:16" x14ac:dyDescent="0.25">
      <c r="A122" t="s">
        <v>141</v>
      </c>
      <c r="B122" t="s">
        <v>47</v>
      </c>
      <c r="C122" t="s">
        <v>17</v>
      </c>
      <c r="D122" s="1">
        <v>45366</v>
      </c>
      <c r="E122">
        <v>69014</v>
      </c>
      <c r="F122">
        <v>3256</v>
      </c>
      <c r="G122">
        <v>304</v>
      </c>
      <c r="H122" s="4">
        <v>4004.09</v>
      </c>
      <c r="I122" s="4">
        <v>11247.5</v>
      </c>
      <c r="J122" s="7">
        <f>Table1[[#This Row],[Clicks]]/Table1[[#This Row],[Impressions]]</f>
        <v>4.7178833280204016E-2</v>
      </c>
      <c r="K122" s="7">
        <f>IFERROR(Table1[[#This Row],[Conversions]]/Table1[[#This Row],[Clicks]],0)</f>
        <v>9.3366093366093361E-2</v>
      </c>
      <c r="L122" s="6">
        <f>IF(Table1[[#This Row],[Conversions]]=0,0,Table1[[#This Row],[Ad Spend]]/Table1[[#This Row],[Conversions]])</f>
        <v>13.171348684210527</v>
      </c>
      <c r="M122" s="8">
        <f>IF(Table1[[#This Row],[Ad Spend]]=0,0,Table1[[#This Row],[Revenue]]/Table1[[#This Row],[Ad Spend]])</f>
        <v>2.809002794642478</v>
      </c>
      <c r="N122">
        <f>YEAR(Table1[[#This Row],[Date]])</f>
        <v>2024</v>
      </c>
      <c r="O122" t="str">
        <f>TEXT(Table1[[#This Row],[Date]],"mmm")</f>
        <v>Mar</v>
      </c>
      <c r="P122">
        <f>MONTH(Table1[[#This Row],[Date]])</f>
        <v>3</v>
      </c>
    </row>
    <row r="123" spans="1:16" x14ac:dyDescent="0.25">
      <c r="A123" t="s">
        <v>142</v>
      </c>
      <c r="B123" t="s">
        <v>9</v>
      </c>
      <c r="C123" t="s">
        <v>12</v>
      </c>
      <c r="D123" s="1">
        <v>45487</v>
      </c>
      <c r="E123">
        <v>68132</v>
      </c>
      <c r="F123">
        <v>3054</v>
      </c>
      <c r="G123">
        <v>292</v>
      </c>
      <c r="H123" s="4">
        <v>1314.5</v>
      </c>
      <c r="I123" s="4">
        <v>24466.82</v>
      </c>
      <c r="J123" s="7">
        <f>Table1[[#This Row],[Clicks]]/Table1[[#This Row],[Impressions]]</f>
        <v>4.4824751952092998E-2</v>
      </c>
      <c r="K123" s="7">
        <f>IFERROR(Table1[[#This Row],[Conversions]]/Table1[[#This Row],[Clicks]],0)</f>
        <v>9.5612311722331367E-2</v>
      </c>
      <c r="L123" s="6">
        <f>IF(Table1[[#This Row],[Conversions]]=0,0,Table1[[#This Row],[Ad Spend]]/Table1[[#This Row],[Conversions]])</f>
        <v>4.5017123287671232</v>
      </c>
      <c r="M123" s="8">
        <f>IF(Table1[[#This Row],[Ad Spend]]=0,0,Table1[[#This Row],[Revenue]]/Table1[[#This Row],[Ad Spend]])</f>
        <v>18.613023963484213</v>
      </c>
      <c r="N123">
        <f>YEAR(Table1[[#This Row],[Date]])</f>
        <v>2024</v>
      </c>
      <c r="O123" t="str">
        <f>TEXT(Table1[[#This Row],[Date]],"mmm")</f>
        <v>Jul</v>
      </c>
      <c r="P123">
        <f>MONTH(Table1[[#This Row],[Date]])</f>
        <v>7</v>
      </c>
    </row>
    <row r="124" spans="1:16" x14ac:dyDescent="0.25">
      <c r="A124" t="s">
        <v>143</v>
      </c>
      <c r="B124" t="s">
        <v>41</v>
      </c>
      <c r="C124" t="s">
        <v>19</v>
      </c>
      <c r="D124" s="1">
        <v>45633</v>
      </c>
      <c r="E124">
        <v>7463</v>
      </c>
      <c r="F124">
        <v>544</v>
      </c>
      <c r="G124">
        <v>43</v>
      </c>
      <c r="H124" s="4">
        <v>1580.63</v>
      </c>
      <c r="I124" s="4">
        <v>3210.37</v>
      </c>
      <c r="J124" s="7">
        <f>Table1[[#This Row],[Clicks]]/Table1[[#This Row],[Impressions]]</f>
        <v>7.289293849658314E-2</v>
      </c>
      <c r="K124" s="7">
        <f>IFERROR(Table1[[#This Row],[Conversions]]/Table1[[#This Row],[Clicks]],0)</f>
        <v>7.904411764705882E-2</v>
      </c>
      <c r="L124" s="6">
        <f>IF(Table1[[#This Row],[Conversions]]=0,0,Table1[[#This Row],[Ad Spend]]/Table1[[#This Row],[Conversions]])</f>
        <v>36.758837209302328</v>
      </c>
      <c r="M124" s="8">
        <f>IF(Table1[[#This Row],[Ad Spend]]=0,0,Table1[[#This Row],[Revenue]]/Table1[[#This Row],[Ad Spend]])</f>
        <v>2.0310698898540451</v>
      </c>
      <c r="N124">
        <f>YEAR(Table1[[#This Row],[Date]])</f>
        <v>2024</v>
      </c>
      <c r="O124" t="str">
        <f>TEXT(Table1[[#This Row],[Date]],"mmm")</f>
        <v>Dec</v>
      </c>
      <c r="P124">
        <f>MONTH(Table1[[#This Row],[Date]])</f>
        <v>12</v>
      </c>
    </row>
    <row r="125" spans="1:16" x14ac:dyDescent="0.25">
      <c r="A125" t="s">
        <v>144</v>
      </c>
      <c r="B125" t="s">
        <v>9</v>
      </c>
      <c r="C125" t="s">
        <v>17</v>
      </c>
      <c r="D125" s="1">
        <v>45468</v>
      </c>
      <c r="E125">
        <v>83421</v>
      </c>
      <c r="F125">
        <v>4565</v>
      </c>
      <c r="G125">
        <v>343</v>
      </c>
      <c r="H125" s="4">
        <v>1400.47</v>
      </c>
      <c r="I125" s="4">
        <v>35853.919999999998</v>
      </c>
      <c r="J125" s="7">
        <f>Table1[[#This Row],[Clicks]]/Table1[[#This Row],[Impressions]]</f>
        <v>5.4722432001534385E-2</v>
      </c>
      <c r="K125" s="7">
        <f>IFERROR(Table1[[#This Row],[Conversions]]/Table1[[#This Row],[Clicks]],0)</f>
        <v>7.5136911281489596E-2</v>
      </c>
      <c r="L125" s="6">
        <f>IF(Table1[[#This Row],[Conversions]]=0,0,Table1[[#This Row],[Ad Spend]]/Table1[[#This Row],[Conversions]])</f>
        <v>4.0830029154518952</v>
      </c>
      <c r="M125" s="8">
        <f>IF(Table1[[#This Row],[Ad Spend]]=0,0,Table1[[#This Row],[Revenue]]/Table1[[#This Row],[Ad Spend]])</f>
        <v>25.601348118845813</v>
      </c>
      <c r="N125">
        <f>YEAR(Table1[[#This Row],[Date]])</f>
        <v>2024</v>
      </c>
      <c r="O125" t="str">
        <f>TEXT(Table1[[#This Row],[Date]],"mmm")</f>
        <v>Jun</v>
      </c>
      <c r="P125">
        <f>MONTH(Table1[[#This Row],[Date]])</f>
        <v>6</v>
      </c>
    </row>
    <row r="126" spans="1:16" x14ac:dyDescent="0.25">
      <c r="A126" t="s">
        <v>145</v>
      </c>
      <c r="B126" t="s">
        <v>14</v>
      </c>
      <c r="C126" t="s">
        <v>17</v>
      </c>
      <c r="D126" s="1">
        <v>45539</v>
      </c>
      <c r="E126">
        <v>32958</v>
      </c>
      <c r="F126">
        <v>876</v>
      </c>
      <c r="G126">
        <v>82</v>
      </c>
      <c r="H126" s="4">
        <v>2959.1</v>
      </c>
      <c r="I126" s="4">
        <v>9780.07</v>
      </c>
      <c r="J126" s="7">
        <f>Table1[[#This Row],[Clicks]]/Table1[[#This Row],[Impressions]]</f>
        <v>2.6579282723466231E-2</v>
      </c>
      <c r="K126" s="7">
        <f>IFERROR(Table1[[#This Row],[Conversions]]/Table1[[#This Row],[Clicks]],0)</f>
        <v>9.3607305936073054E-2</v>
      </c>
      <c r="L126" s="6">
        <f>IF(Table1[[#This Row],[Conversions]]=0,0,Table1[[#This Row],[Ad Spend]]/Table1[[#This Row],[Conversions]])</f>
        <v>36.086585365853658</v>
      </c>
      <c r="M126" s="8">
        <f>IF(Table1[[#This Row],[Ad Spend]]=0,0,Table1[[#This Row],[Revenue]]/Table1[[#This Row],[Ad Spend]])</f>
        <v>3.3050826264742659</v>
      </c>
      <c r="N126">
        <f>YEAR(Table1[[#This Row],[Date]])</f>
        <v>2024</v>
      </c>
      <c r="O126" t="str">
        <f>TEXT(Table1[[#This Row],[Date]],"mmm")</f>
        <v>Sept</v>
      </c>
      <c r="P126">
        <f>MONTH(Table1[[#This Row],[Date]])</f>
        <v>9</v>
      </c>
    </row>
    <row r="127" spans="1:16" x14ac:dyDescent="0.25">
      <c r="A127" t="s">
        <v>146</v>
      </c>
      <c r="B127" t="s">
        <v>34</v>
      </c>
      <c r="C127" t="s">
        <v>10</v>
      </c>
      <c r="D127" s="1">
        <v>45716</v>
      </c>
      <c r="E127">
        <v>108758</v>
      </c>
      <c r="F127">
        <v>3177</v>
      </c>
      <c r="G127">
        <v>297</v>
      </c>
      <c r="H127" s="4">
        <v>3491.84</v>
      </c>
      <c r="I127" s="4">
        <v>28056.66</v>
      </c>
      <c r="J127" s="7">
        <f>Table1[[#This Row],[Clicks]]/Table1[[#This Row],[Impressions]]</f>
        <v>2.9211644200886372E-2</v>
      </c>
      <c r="K127" s="7">
        <f>IFERROR(Table1[[#This Row],[Conversions]]/Table1[[#This Row],[Clicks]],0)</f>
        <v>9.3484419263456089E-2</v>
      </c>
      <c r="L127" s="6">
        <f>IF(Table1[[#This Row],[Conversions]]=0,0,Table1[[#This Row],[Ad Spend]]/Table1[[#This Row],[Conversions]])</f>
        <v>11.757037037037037</v>
      </c>
      <c r="M127" s="8">
        <f>IF(Table1[[#This Row],[Ad Spend]]=0,0,Table1[[#This Row],[Revenue]]/Table1[[#This Row],[Ad Spend]])</f>
        <v>8.0349214167888565</v>
      </c>
      <c r="N127">
        <f>YEAR(Table1[[#This Row],[Date]])</f>
        <v>2025</v>
      </c>
      <c r="O127" t="str">
        <f>TEXT(Table1[[#This Row],[Date]],"mmm")</f>
        <v>Feb</v>
      </c>
      <c r="P127">
        <f>MONTH(Table1[[#This Row],[Date]])</f>
        <v>2</v>
      </c>
    </row>
    <row r="128" spans="1:16" x14ac:dyDescent="0.25">
      <c r="A128" t="s">
        <v>147</v>
      </c>
      <c r="B128" t="s">
        <v>31</v>
      </c>
      <c r="C128" t="s">
        <v>12</v>
      </c>
      <c r="D128" s="1">
        <v>45673</v>
      </c>
      <c r="E128">
        <v>135214</v>
      </c>
      <c r="F128">
        <v>9234</v>
      </c>
      <c r="G128">
        <v>1268</v>
      </c>
      <c r="H128" s="4">
        <v>3923.56</v>
      </c>
      <c r="I128" s="4">
        <v>54539.01</v>
      </c>
      <c r="J128" s="7">
        <f>Table1[[#This Row],[Clicks]]/Table1[[#This Row],[Impressions]]</f>
        <v>6.8291744937654386E-2</v>
      </c>
      <c r="K128" s="7">
        <f>IFERROR(Table1[[#This Row],[Conversions]]/Table1[[#This Row],[Clicks]],0)</f>
        <v>0.13731860515486247</v>
      </c>
      <c r="L128" s="6">
        <f>IF(Table1[[#This Row],[Conversions]]=0,0,Table1[[#This Row],[Ad Spend]]/Table1[[#This Row],[Conversions]])</f>
        <v>3.0942902208201892</v>
      </c>
      <c r="M128" s="8">
        <f>IF(Table1[[#This Row],[Ad Spend]]=0,0,Table1[[#This Row],[Revenue]]/Table1[[#This Row],[Ad Spend]])</f>
        <v>13.900388932500077</v>
      </c>
      <c r="N128">
        <f>YEAR(Table1[[#This Row],[Date]])</f>
        <v>2025</v>
      </c>
      <c r="O128" t="str">
        <f>TEXT(Table1[[#This Row],[Date]],"mmm")</f>
        <v>Jan</v>
      </c>
      <c r="P128">
        <f>MONTH(Table1[[#This Row],[Date]])</f>
        <v>1</v>
      </c>
    </row>
    <row r="129" spans="1:16" x14ac:dyDescent="0.25">
      <c r="A129" t="s">
        <v>148</v>
      </c>
      <c r="B129" t="s">
        <v>47</v>
      </c>
      <c r="C129" t="s">
        <v>37</v>
      </c>
      <c r="D129" s="1">
        <v>45617</v>
      </c>
      <c r="E129">
        <v>54841</v>
      </c>
      <c r="F129">
        <v>2931</v>
      </c>
      <c r="G129">
        <v>316</v>
      </c>
      <c r="H129" s="4">
        <v>3660.46</v>
      </c>
      <c r="I129" s="4">
        <v>27150.14</v>
      </c>
      <c r="J129" s="7">
        <f>Table1[[#This Row],[Clicks]]/Table1[[#This Row],[Impressions]]</f>
        <v>5.3445414926788351E-2</v>
      </c>
      <c r="K129" s="7">
        <f>IFERROR(Table1[[#This Row],[Conversions]]/Table1[[#This Row],[Clicks]],0)</f>
        <v>0.10781303309450699</v>
      </c>
      <c r="L129" s="6">
        <f>IF(Table1[[#This Row],[Conversions]]=0,0,Table1[[#This Row],[Ad Spend]]/Table1[[#This Row],[Conversions]])</f>
        <v>11.58373417721519</v>
      </c>
      <c r="M129" s="8">
        <f>IF(Table1[[#This Row],[Ad Spend]]=0,0,Table1[[#This Row],[Revenue]]/Table1[[#This Row],[Ad Spend]])</f>
        <v>7.4171388295460128</v>
      </c>
      <c r="N129">
        <f>YEAR(Table1[[#This Row],[Date]])</f>
        <v>2024</v>
      </c>
      <c r="O129" t="str">
        <f>TEXT(Table1[[#This Row],[Date]],"mmm")</f>
        <v>Nov</v>
      </c>
      <c r="P129">
        <f>MONTH(Table1[[#This Row],[Date]])</f>
        <v>11</v>
      </c>
    </row>
    <row r="130" spans="1:16" x14ac:dyDescent="0.25">
      <c r="A130" t="s">
        <v>149</v>
      </c>
      <c r="B130" t="s">
        <v>16</v>
      </c>
      <c r="C130" t="s">
        <v>10</v>
      </c>
      <c r="D130" s="1">
        <v>45613</v>
      </c>
      <c r="E130">
        <v>15334</v>
      </c>
      <c r="F130">
        <v>484</v>
      </c>
      <c r="G130">
        <v>37</v>
      </c>
      <c r="H130" s="4">
        <v>2981.95</v>
      </c>
      <c r="I130" s="4">
        <v>3449.73</v>
      </c>
      <c r="J130" s="7">
        <f>Table1[[#This Row],[Clicks]]/Table1[[#This Row],[Impressions]]</f>
        <v>3.1563845050215207E-2</v>
      </c>
      <c r="K130" s="7">
        <f>IFERROR(Table1[[#This Row],[Conversions]]/Table1[[#This Row],[Clicks]],0)</f>
        <v>7.6446280991735532E-2</v>
      </c>
      <c r="L130" s="6">
        <f>IF(Table1[[#This Row],[Conversions]]=0,0,Table1[[#This Row],[Ad Spend]]/Table1[[#This Row],[Conversions]])</f>
        <v>80.593243243243236</v>
      </c>
      <c r="M130" s="8">
        <f>IF(Table1[[#This Row],[Ad Spend]]=0,0,Table1[[#This Row],[Revenue]]/Table1[[#This Row],[Ad Spend]])</f>
        <v>1.1568705042002718</v>
      </c>
      <c r="N130">
        <f>YEAR(Table1[[#This Row],[Date]])</f>
        <v>2024</v>
      </c>
      <c r="O130" t="str">
        <f>TEXT(Table1[[#This Row],[Date]],"mmm")</f>
        <v>Nov</v>
      </c>
      <c r="P130">
        <f>MONTH(Table1[[#This Row],[Date]])</f>
        <v>11</v>
      </c>
    </row>
    <row r="131" spans="1:16" x14ac:dyDescent="0.25">
      <c r="A131" t="s">
        <v>150</v>
      </c>
      <c r="B131" t="s">
        <v>9</v>
      </c>
      <c r="C131" t="s">
        <v>19</v>
      </c>
      <c r="D131" s="1">
        <v>45459</v>
      </c>
      <c r="E131">
        <v>113921</v>
      </c>
      <c r="F131">
        <v>2539</v>
      </c>
      <c r="G131">
        <v>94</v>
      </c>
      <c r="H131" s="4">
        <v>2789.16</v>
      </c>
      <c r="I131" s="4">
        <v>11012</v>
      </c>
      <c r="J131" s="7">
        <f>Table1[[#This Row],[Clicks]]/Table1[[#This Row],[Impressions]]</f>
        <v>2.2287374584141643E-2</v>
      </c>
      <c r="K131" s="7">
        <f>IFERROR(Table1[[#This Row],[Conversions]]/Table1[[#This Row],[Clicks]],0)</f>
        <v>3.7022449783379284E-2</v>
      </c>
      <c r="L131" s="6">
        <f>IF(Table1[[#This Row],[Conversions]]=0,0,Table1[[#This Row],[Ad Spend]]/Table1[[#This Row],[Conversions]])</f>
        <v>29.671914893617021</v>
      </c>
      <c r="M131" s="8">
        <f>IF(Table1[[#This Row],[Ad Spend]]=0,0,Table1[[#This Row],[Revenue]]/Table1[[#This Row],[Ad Spend]])</f>
        <v>3.9481420929598876</v>
      </c>
      <c r="N131">
        <f>YEAR(Table1[[#This Row],[Date]])</f>
        <v>2024</v>
      </c>
      <c r="O131" t="str">
        <f>TEXT(Table1[[#This Row],[Date]],"mmm")</f>
        <v>Jun</v>
      </c>
      <c r="P131">
        <f>MONTH(Table1[[#This Row],[Date]])</f>
        <v>6</v>
      </c>
    </row>
    <row r="132" spans="1:16" x14ac:dyDescent="0.25">
      <c r="A132" t="s">
        <v>151</v>
      </c>
      <c r="B132" t="s">
        <v>34</v>
      </c>
      <c r="C132" t="s">
        <v>37</v>
      </c>
      <c r="D132" s="1">
        <v>45423</v>
      </c>
      <c r="E132">
        <v>131313</v>
      </c>
      <c r="F132">
        <v>10205</v>
      </c>
      <c r="G132">
        <v>595</v>
      </c>
      <c r="H132" s="4">
        <v>4377.91</v>
      </c>
      <c r="I132" s="4">
        <v>59751.839999999997</v>
      </c>
      <c r="J132" s="7">
        <f>Table1[[#This Row],[Clicks]]/Table1[[#This Row],[Impressions]]</f>
        <v>7.7715077715077713E-2</v>
      </c>
      <c r="K132" s="7">
        <f>IFERROR(Table1[[#This Row],[Conversions]]/Table1[[#This Row],[Clicks]],0)</f>
        <v>5.8304752572268498E-2</v>
      </c>
      <c r="L132" s="6">
        <f>IF(Table1[[#This Row],[Conversions]]=0,0,Table1[[#This Row],[Ad Spend]]/Table1[[#This Row],[Conversions]])</f>
        <v>7.3578319327731094</v>
      </c>
      <c r="M132" s="8">
        <f>IF(Table1[[#This Row],[Ad Spend]]=0,0,Table1[[#This Row],[Revenue]]/Table1[[#This Row],[Ad Spend]])</f>
        <v>13.648485236105813</v>
      </c>
      <c r="N132">
        <f>YEAR(Table1[[#This Row],[Date]])</f>
        <v>2024</v>
      </c>
      <c r="O132" t="str">
        <f>TEXT(Table1[[#This Row],[Date]],"mmm")</f>
        <v>May</v>
      </c>
      <c r="P132">
        <f>MONTH(Table1[[#This Row],[Date]])</f>
        <v>5</v>
      </c>
    </row>
    <row r="133" spans="1:16" x14ac:dyDescent="0.25">
      <c r="A133" t="s">
        <v>152</v>
      </c>
      <c r="B133" t="s">
        <v>41</v>
      </c>
      <c r="C133" t="s">
        <v>10</v>
      </c>
      <c r="D133" s="1">
        <v>45364</v>
      </c>
      <c r="E133">
        <v>64143</v>
      </c>
      <c r="F133">
        <v>4503</v>
      </c>
      <c r="G133">
        <v>514</v>
      </c>
      <c r="H133" s="4">
        <v>4903.72</v>
      </c>
      <c r="I133" s="4">
        <v>59997.67</v>
      </c>
      <c r="J133" s="7">
        <f>Table1[[#This Row],[Clicks]]/Table1[[#This Row],[Impressions]]</f>
        <v>7.0202516252747774E-2</v>
      </c>
      <c r="K133" s="7">
        <f>IFERROR(Table1[[#This Row],[Conversions]]/Table1[[#This Row],[Clicks]],0)</f>
        <v>0.1141461248056851</v>
      </c>
      <c r="L133" s="6">
        <f>IF(Table1[[#This Row],[Conversions]]=0,0,Table1[[#This Row],[Ad Spend]]/Table1[[#This Row],[Conversions]])</f>
        <v>9.5403112840466928</v>
      </c>
      <c r="M133" s="8">
        <f>IF(Table1[[#This Row],[Ad Spend]]=0,0,Table1[[#This Row],[Revenue]]/Table1[[#This Row],[Ad Spend]])</f>
        <v>12.235133735205109</v>
      </c>
      <c r="N133">
        <f>YEAR(Table1[[#This Row],[Date]])</f>
        <v>2024</v>
      </c>
      <c r="O133" t="str">
        <f>TEXT(Table1[[#This Row],[Date]],"mmm")</f>
        <v>Mar</v>
      </c>
      <c r="P133">
        <f>MONTH(Table1[[#This Row],[Date]])</f>
        <v>3</v>
      </c>
    </row>
    <row r="134" spans="1:16" x14ac:dyDescent="0.25">
      <c r="A134" t="s">
        <v>153</v>
      </c>
      <c r="B134" t="s">
        <v>47</v>
      </c>
      <c r="C134" t="s">
        <v>10</v>
      </c>
      <c r="D134" s="1">
        <v>45696</v>
      </c>
      <c r="E134">
        <v>108435</v>
      </c>
      <c r="F134">
        <v>1189</v>
      </c>
      <c r="G134">
        <v>106</v>
      </c>
      <c r="H134" s="4">
        <v>2382.9699999999998</v>
      </c>
      <c r="I134" s="4">
        <v>9251.98</v>
      </c>
      <c r="J134" s="7">
        <f>Table1[[#This Row],[Clicks]]/Table1[[#This Row],[Impressions]]</f>
        <v>1.0965094296122101E-2</v>
      </c>
      <c r="K134" s="7">
        <f>IFERROR(Table1[[#This Row],[Conversions]]/Table1[[#This Row],[Clicks]],0)</f>
        <v>8.9150546677880568E-2</v>
      </c>
      <c r="L134" s="6">
        <f>IF(Table1[[#This Row],[Conversions]]=0,0,Table1[[#This Row],[Ad Spend]]/Table1[[#This Row],[Conversions]])</f>
        <v>22.480849056603773</v>
      </c>
      <c r="M134" s="8">
        <f>IF(Table1[[#This Row],[Ad Spend]]=0,0,Table1[[#This Row],[Revenue]]/Table1[[#This Row],[Ad Spend]])</f>
        <v>3.8825415343038312</v>
      </c>
      <c r="N134">
        <f>YEAR(Table1[[#This Row],[Date]])</f>
        <v>2025</v>
      </c>
      <c r="O134" t="str">
        <f>TEXT(Table1[[#This Row],[Date]],"mmm")</f>
        <v>Feb</v>
      </c>
      <c r="P134">
        <f>MONTH(Table1[[#This Row],[Date]])</f>
        <v>2</v>
      </c>
    </row>
    <row r="135" spans="1:16" x14ac:dyDescent="0.25">
      <c r="A135" t="s">
        <v>154</v>
      </c>
      <c r="B135" t="s">
        <v>34</v>
      </c>
      <c r="C135" t="s">
        <v>12</v>
      </c>
      <c r="D135" s="1">
        <v>45487</v>
      </c>
      <c r="E135">
        <v>102379</v>
      </c>
      <c r="F135">
        <v>1800</v>
      </c>
      <c r="G135">
        <v>90</v>
      </c>
      <c r="H135" s="4">
        <v>320.12</v>
      </c>
      <c r="I135" s="4">
        <v>9758.11</v>
      </c>
      <c r="J135" s="7">
        <f>Table1[[#This Row],[Clicks]]/Table1[[#This Row],[Impressions]]</f>
        <v>1.7581730628351517E-2</v>
      </c>
      <c r="K135" s="7">
        <f>IFERROR(Table1[[#This Row],[Conversions]]/Table1[[#This Row],[Clicks]],0)</f>
        <v>0.05</v>
      </c>
      <c r="L135" s="6">
        <f>IF(Table1[[#This Row],[Conversions]]=0,0,Table1[[#This Row],[Ad Spend]]/Table1[[#This Row],[Conversions]])</f>
        <v>3.556888888888889</v>
      </c>
      <c r="M135" s="8">
        <f>IF(Table1[[#This Row],[Ad Spend]]=0,0,Table1[[#This Row],[Revenue]]/Table1[[#This Row],[Ad Spend]])</f>
        <v>30.482662751468201</v>
      </c>
      <c r="N135">
        <f>YEAR(Table1[[#This Row],[Date]])</f>
        <v>2024</v>
      </c>
      <c r="O135" t="str">
        <f>TEXT(Table1[[#This Row],[Date]],"mmm")</f>
        <v>Jul</v>
      </c>
      <c r="P135">
        <f>MONTH(Table1[[#This Row],[Date]])</f>
        <v>7</v>
      </c>
    </row>
    <row r="136" spans="1:16" x14ac:dyDescent="0.25">
      <c r="A136" t="s">
        <v>155</v>
      </c>
      <c r="B136" t="s">
        <v>47</v>
      </c>
      <c r="C136" t="s">
        <v>12</v>
      </c>
      <c r="D136" s="1">
        <v>45405</v>
      </c>
      <c r="E136">
        <v>21571</v>
      </c>
      <c r="F136">
        <v>1175</v>
      </c>
      <c r="G136">
        <v>94</v>
      </c>
      <c r="H136" s="4">
        <v>3565.17</v>
      </c>
      <c r="I136" s="4">
        <v>7982.85</v>
      </c>
      <c r="J136" s="7">
        <f>Table1[[#This Row],[Clicks]]/Table1[[#This Row],[Impressions]]</f>
        <v>5.4471280886375227E-2</v>
      </c>
      <c r="K136" s="7">
        <f>IFERROR(Table1[[#This Row],[Conversions]]/Table1[[#This Row],[Clicks]],0)</f>
        <v>0.08</v>
      </c>
      <c r="L136" s="6">
        <f>IF(Table1[[#This Row],[Conversions]]=0,0,Table1[[#This Row],[Ad Spend]]/Table1[[#This Row],[Conversions]])</f>
        <v>37.927340425531916</v>
      </c>
      <c r="M136" s="8">
        <f>IF(Table1[[#This Row],[Ad Spend]]=0,0,Table1[[#This Row],[Revenue]]/Table1[[#This Row],[Ad Spend]])</f>
        <v>2.2391218371073469</v>
      </c>
      <c r="N136">
        <f>YEAR(Table1[[#This Row],[Date]])</f>
        <v>2024</v>
      </c>
      <c r="O136" t="str">
        <f>TEXT(Table1[[#This Row],[Date]],"mmm")</f>
        <v>Apr</v>
      </c>
      <c r="P136">
        <f>MONTH(Table1[[#This Row],[Date]])</f>
        <v>4</v>
      </c>
    </row>
    <row r="137" spans="1:16" x14ac:dyDescent="0.25">
      <c r="A137" t="s">
        <v>156</v>
      </c>
      <c r="B137" t="s">
        <v>9</v>
      </c>
      <c r="C137" t="s">
        <v>37</v>
      </c>
      <c r="D137" s="1">
        <v>45315</v>
      </c>
      <c r="E137">
        <v>14754</v>
      </c>
      <c r="F137">
        <v>461</v>
      </c>
      <c r="G137">
        <v>38</v>
      </c>
      <c r="H137" s="4">
        <v>666.52</v>
      </c>
      <c r="I137" s="4">
        <v>4131.59</v>
      </c>
      <c r="J137" s="7">
        <f>Table1[[#This Row],[Clicks]]/Table1[[#This Row],[Impressions]]</f>
        <v>3.1245763860647958E-2</v>
      </c>
      <c r="K137" s="7">
        <f>IFERROR(Table1[[#This Row],[Conversions]]/Table1[[#This Row],[Clicks]],0)</f>
        <v>8.2429501084598705E-2</v>
      </c>
      <c r="L137" s="6">
        <f>IF(Table1[[#This Row],[Conversions]]=0,0,Table1[[#This Row],[Ad Spend]]/Table1[[#This Row],[Conversions]])</f>
        <v>17.54</v>
      </c>
      <c r="M137" s="8">
        <f>IF(Table1[[#This Row],[Ad Spend]]=0,0,Table1[[#This Row],[Revenue]]/Table1[[#This Row],[Ad Spend]])</f>
        <v>6.1987487247194384</v>
      </c>
      <c r="N137">
        <f>YEAR(Table1[[#This Row],[Date]])</f>
        <v>2024</v>
      </c>
      <c r="O137" t="str">
        <f>TEXT(Table1[[#This Row],[Date]],"mmm")</f>
        <v>Jan</v>
      </c>
      <c r="P137">
        <f>MONTH(Table1[[#This Row],[Date]])</f>
        <v>1</v>
      </c>
    </row>
    <row r="138" spans="1:16" x14ac:dyDescent="0.25">
      <c r="A138" t="s">
        <v>157</v>
      </c>
      <c r="B138" t="s">
        <v>16</v>
      </c>
      <c r="C138" t="s">
        <v>17</v>
      </c>
      <c r="D138" s="1">
        <v>45524</v>
      </c>
      <c r="E138">
        <v>102258</v>
      </c>
      <c r="F138">
        <v>5821</v>
      </c>
      <c r="G138">
        <v>678</v>
      </c>
      <c r="H138" s="4">
        <v>4740.68</v>
      </c>
      <c r="I138" s="4">
        <v>41976.79</v>
      </c>
      <c r="J138" s="7">
        <f>Table1[[#This Row],[Clicks]]/Table1[[#This Row],[Impressions]]</f>
        <v>5.6924641592833815E-2</v>
      </c>
      <c r="K138" s="7">
        <f>IFERROR(Table1[[#This Row],[Conversions]]/Table1[[#This Row],[Clicks]],0)</f>
        <v>0.11647483250300636</v>
      </c>
      <c r="L138" s="6">
        <f>IF(Table1[[#This Row],[Conversions]]=0,0,Table1[[#This Row],[Ad Spend]]/Table1[[#This Row],[Conversions]])</f>
        <v>6.9921533923303842</v>
      </c>
      <c r="M138" s="8">
        <f>IF(Table1[[#This Row],[Ad Spend]]=0,0,Table1[[#This Row],[Revenue]]/Table1[[#This Row],[Ad Spend]])</f>
        <v>8.8545925900925599</v>
      </c>
      <c r="N138">
        <f>YEAR(Table1[[#This Row],[Date]])</f>
        <v>2024</v>
      </c>
      <c r="O138" t="str">
        <f>TEXT(Table1[[#This Row],[Date]],"mmm")</f>
        <v>Aug</v>
      </c>
      <c r="P138">
        <f>MONTH(Table1[[#This Row],[Date]])</f>
        <v>8</v>
      </c>
    </row>
    <row r="139" spans="1:16" x14ac:dyDescent="0.25">
      <c r="A139" t="s">
        <v>158</v>
      </c>
      <c r="B139" t="s">
        <v>16</v>
      </c>
      <c r="C139" t="s">
        <v>17</v>
      </c>
      <c r="D139" s="1">
        <v>45627</v>
      </c>
      <c r="E139">
        <v>30957</v>
      </c>
      <c r="F139">
        <v>2116</v>
      </c>
      <c r="G139">
        <v>211</v>
      </c>
      <c r="H139" s="4">
        <v>4707.45</v>
      </c>
      <c r="I139" s="4">
        <v>10122.52</v>
      </c>
      <c r="J139" s="7">
        <f>Table1[[#This Row],[Clicks]]/Table1[[#This Row],[Impressions]]</f>
        <v>6.8352876570727139E-2</v>
      </c>
      <c r="K139" s="7">
        <f>IFERROR(Table1[[#This Row],[Conversions]]/Table1[[#This Row],[Clicks]],0)</f>
        <v>9.97164461247637E-2</v>
      </c>
      <c r="L139" s="6">
        <f>IF(Table1[[#This Row],[Conversions]]=0,0,Table1[[#This Row],[Ad Spend]]/Table1[[#This Row],[Conversions]])</f>
        <v>22.310189573459716</v>
      </c>
      <c r="M139" s="8">
        <f>IF(Table1[[#This Row],[Ad Spend]]=0,0,Table1[[#This Row],[Revenue]]/Table1[[#This Row],[Ad Spend]])</f>
        <v>2.1503191749248534</v>
      </c>
      <c r="N139">
        <f>YEAR(Table1[[#This Row],[Date]])</f>
        <v>2024</v>
      </c>
      <c r="O139" t="str">
        <f>TEXT(Table1[[#This Row],[Date]],"mmm")</f>
        <v>Dec</v>
      </c>
      <c r="P139">
        <f>MONTH(Table1[[#This Row],[Date]])</f>
        <v>12</v>
      </c>
    </row>
    <row r="140" spans="1:16" x14ac:dyDescent="0.25">
      <c r="A140" t="s">
        <v>159</v>
      </c>
      <c r="B140" t="s">
        <v>47</v>
      </c>
      <c r="C140" t="s">
        <v>37</v>
      </c>
      <c r="D140" s="1">
        <v>45519</v>
      </c>
      <c r="E140">
        <v>121574</v>
      </c>
      <c r="F140">
        <v>9305</v>
      </c>
      <c r="G140">
        <v>1220</v>
      </c>
      <c r="H140" s="4">
        <v>676.9</v>
      </c>
      <c r="I140" s="4">
        <v>108052.99</v>
      </c>
      <c r="J140" s="7">
        <f>Table1[[#This Row],[Clicks]]/Table1[[#This Row],[Impressions]]</f>
        <v>7.6537746557652123E-2</v>
      </c>
      <c r="K140" s="7">
        <f>IFERROR(Table1[[#This Row],[Conversions]]/Table1[[#This Row],[Clicks]],0)</f>
        <v>0.13111230521225148</v>
      </c>
      <c r="L140" s="6">
        <f>IF(Table1[[#This Row],[Conversions]]=0,0,Table1[[#This Row],[Ad Spend]]/Table1[[#This Row],[Conversions]])</f>
        <v>0.55483606557377052</v>
      </c>
      <c r="M140" s="8">
        <f>IF(Table1[[#This Row],[Ad Spend]]=0,0,Table1[[#This Row],[Revenue]]/Table1[[#This Row],[Ad Spend]])</f>
        <v>159.62917713103857</v>
      </c>
      <c r="N140">
        <f>YEAR(Table1[[#This Row],[Date]])</f>
        <v>2024</v>
      </c>
      <c r="O140" t="str">
        <f>TEXT(Table1[[#This Row],[Date]],"mmm")</f>
        <v>Aug</v>
      </c>
      <c r="P140">
        <f>MONTH(Table1[[#This Row],[Date]])</f>
        <v>8</v>
      </c>
    </row>
    <row r="141" spans="1:16" x14ac:dyDescent="0.25">
      <c r="A141" t="s">
        <v>160</v>
      </c>
      <c r="B141" t="s">
        <v>47</v>
      </c>
      <c r="C141" t="s">
        <v>10</v>
      </c>
      <c r="D141" s="1">
        <v>45495</v>
      </c>
      <c r="E141">
        <v>77320</v>
      </c>
      <c r="F141">
        <v>1800</v>
      </c>
      <c r="G141">
        <v>64</v>
      </c>
      <c r="H141" s="4">
        <v>4270.5600000000004</v>
      </c>
      <c r="I141" s="4">
        <v>4190.1899999999996</v>
      </c>
      <c r="J141" s="7">
        <f>Table1[[#This Row],[Clicks]]/Table1[[#This Row],[Impressions]]</f>
        <v>2.3279875840662184E-2</v>
      </c>
      <c r="K141" s="7">
        <f>IFERROR(Table1[[#This Row],[Conversions]]/Table1[[#This Row],[Clicks]],0)</f>
        <v>3.5555555555555556E-2</v>
      </c>
      <c r="L141" s="6">
        <f>IF(Table1[[#This Row],[Conversions]]=0,0,Table1[[#This Row],[Ad Spend]]/Table1[[#This Row],[Conversions]])</f>
        <v>66.727500000000006</v>
      </c>
      <c r="M141" s="8">
        <f>IF(Table1[[#This Row],[Ad Spend]]=0,0,Table1[[#This Row],[Revenue]]/Table1[[#This Row],[Ad Spend]])</f>
        <v>0.98118045408564669</v>
      </c>
      <c r="N141">
        <f>YEAR(Table1[[#This Row],[Date]])</f>
        <v>2024</v>
      </c>
      <c r="O141" t="str">
        <f>TEXT(Table1[[#This Row],[Date]],"mmm")</f>
        <v>Jul</v>
      </c>
      <c r="P141">
        <f>MONTH(Table1[[#This Row],[Date]])</f>
        <v>7</v>
      </c>
    </row>
    <row r="142" spans="1:16" x14ac:dyDescent="0.25">
      <c r="A142" t="s">
        <v>161</v>
      </c>
      <c r="B142" t="s">
        <v>14</v>
      </c>
      <c r="C142" t="s">
        <v>12</v>
      </c>
      <c r="D142" s="1">
        <v>45302</v>
      </c>
      <c r="E142">
        <v>18258</v>
      </c>
      <c r="F142">
        <v>1188</v>
      </c>
      <c r="G142">
        <v>61</v>
      </c>
      <c r="H142" s="4">
        <v>804.43</v>
      </c>
      <c r="I142" s="4">
        <v>4663.93</v>
      </c>
      <c r="J142" s="7">
        <f>Table1[[#This Row],[Clicks]]/Table1[[#This Row],[Impressions]]</f>
        <v>6.5067367729214592E-2</v>
      </c>
      <c r="K142" s="7">
        <f>IFERROR(Table1[[#This Row],[Conversions]]/Table1[[#This Row],[Clicks]],0)</f>
        <v>5.1346801346801349E-2</v>
      </c>
      <c r="L142" s="6">
        <f>IF(Table1[[#This Row],[Conversions]]=0,0,Table1[[#This Row],[Ad Spend]]/Table1[[#This Row],[Conversions]])</f>
        <v>13.187377049180327</v>
      </c>
      <c r="M142" s="8">
        <f>IF(Table1[[#This Row],[Ad Spend]]=0,0,Table1[[#This Row],[Revenue]]/Table1[[#This Row],[Ad Spend]])</f>
        <v>5.7978071429459375</v>
      </c>
      <c r="N142">
        <f>YEAR(Table1[[#This Row],[Date]])</f>
        <v>2024</v>
      </c>
      <c r="O142" t="str">
        <f>TEXT(Table1[[#This Row],[Date]],"mmm")</f>
        <v>Jan</v>
      </c>
      <c r="P142">
        <f>MONTH(Table1[[#This Row],[Date]])</f>
        <v>1</v>
      </c>
    </row>
    <row r="143" spans="1:16" x14ac:dyDescent="0.25">
      <c r="A143" t="s">
        <v>162</v>
      </c>
      <c r="B143" t="s">
        <v>9</v>
      </c>
      <c r="C143" t="s">
        <v>12</v>
      </c>
      <c r="D143" s="1">
        <v>45398</v>
      </c>
      <c r="E143">
        <v>61610</v>
      </c>
      <c r="F143">
        <v>4122</v>
      </c>
      <c r="G143">
        <v>207</v>
      </c>
      <c r="H143" s="4">
        <v>3916.97</v>
      </c>
      <c r="I143" s="4">
        <v>20464.93</v>
      </c>
      <c r="J143" s="7">
        <f>Table1[[#This Row],[Clicks]]/Table1[[#This Row],[Impressions]]</f>
        <v>6.6904723259211166E-2</v>
      </c>
      <c r="K143" s="7">
        <f>IFERROR(Table1[[#This Row],[Conversions]]/Table1[[#This Row],[Clicks]],0)</f>
        <v>5.0218340611353711E-2</v>
      </c>
      <c r="L143" s="6">
        <f>IF(Table1[[#This Row],[Conversions]]=0,0,Table1[[#This Row],[Ad Spend]]/Table1[[#This Row],[Conversions]])</f>
        <v>18.922560386473428</v>
      </c>
      <c r="M143" s="8">
        <f>IF(Table1[[#This Row],[Ad Spend]]=0,0,Table1[[#This Row],[Revenue]]/Table1[[#This Row],[Ad Spend]])</f>
        <v>5.2246838755466598</v>
      </c>
      <c r="N143">
        <f>YEAR(Table1[[#This Row],[Date]])</f>
        <v>2024</v>
      </c>
      <c r="O143" t="str">
        <f>TEXT(Table1[[#This Row],[Date]],"mmm")</f>
        <v>Apr</v>
      </c>
      <c r="P143">
        <f>MONTH(Table1[[#This Row],[Date]])</f>
        <v>4</v>
      </c>
    </row>
    <row r="144" spans="1:16" x14ac:dyDescent="0.25">
      <c r="A144" t="s">
        <v>163</v>
      </c>
      <c r="B144" t="s">
        <v>31</v>
      </c>
      <c r="C144" t="s">
        <v>19</v>
      </c>
      <c r="D144" s="1">
        <v>45366</v>
      </c>
      <c r="E144">
        <v>39076</v>
      </c>
      <c r="F144">
        <v>1868</v>
      </c>
      <c r="G144">
        <v>231</v>
      </c>
      <c r="H144" s="4">
        <v>727.65</v>
      </c>
      <c r="I144" s="4">
        <v>24634.95</v>
      </c>
      <c r="J144" s="7">
        <f>Table1[[#This Row],[Clicks]]/Table1[[#This Row],[Impressions]]</f>
        <v>4.7804278841232471E-2</v>
      </c>
      <c r="K144" s="7">
        <f>IFERROR(Table1[[#This Row],[Conversions]]/Table1[[#This Row],[Clicks]],0)</f>
        <v>0.12366167023554604</v>
      </c>
      <c r="L144" s="6">
        <f>IF(Table1[[#This Row],[Conversions]]=0,0,Table1[[#This Row],[Ad Spend]]/Table1[[#This Row],[Conversions]])</f>
        <v>3.15</v>
      </c>
      <c r="M144" s="8">
        <f>IF(Table1[[#This Row],[Ad Spend]]=0,0,Table1[[#This Row],[Revenue]]/Table1[[#This Row],[Ad Spend]])</f>
        <v>33.855493712636573</v>
      </c>
      <c r="N144">
        <f>YEAR(Table1[[#This Row],[Date]])</f>
        <v>2024</v>
      </c>
      <c r="O144" t="str">
        <f>TEXT(Table1[[#This Row],[Date]],"mmm")</f>
        <v>Mar</v>
      </c>
      <c r="P144">
        <f>MONTH(Table1[[#This Row],[Date]])</f>
        <v>3</v>
      </c>
    </row>
    <row r="145" spans="1:16" x14ac:dyDescent="0.25">
      <c r="A145" t="s">
        <v>164</v>
      </c>
      <c r="B145" t="s">
        <v>16</v>
      </c>
      <c r="C145" t="s">
        <v>10</v>
      </c>
      <c r="D145" s="1">
        <v>45475</v>
      </c>
      <c r="E145">
        <v>67372</v>
      </c>
      <c r="F145">
        <v>3450</v>
      </c>
      <c r="G145">
        <v>76</v>
      </c>
      <c r="H145" s="4">
        <v>1473.76</v>
      </c>
      <c r="I145" s="4">
        <v>2483.36</v>
      </c>
      <c r="J145" s="7">
        <f>Table1[[#This Row],[Clicks]]/Table1[[#This Row],[Impressions]]</f>
        <v>5.1208217063468502E-2</v>
      </c>
      <c r="K145" s="7">
        <f>IFERROR(Table1[[#This Row],[Conversions]]/Table1[[#This Row],[Clicks]],0)</f>
        <v>2.2028985507246378E-2</v>
      </c>
      <c r="L145" s="6">
        <f>IF(Table1[[#This Row],[Conversions]]=0,0,Table1[[#This Row],[Ad Spend]]/Table1[[#This Row],[Conversions]])</f>
        <v>19.391578947368419</v>
      </c>
      <c r="M145" s="8">
        <f>IF(Table1[[#This Row],[Ad Spend]]=0,0,Table1[[#This Row],[Revenue]]/Table1[[#This Row],[Ad Spend]])</f>
        <v>1.6850504831180111</v>
      </c>
      <c r="N145">
        <f>YEAR(Table1[[#This Row],[Date]])</f>
        <v>2024</v>
      </c>
      <c r="O145" t="str">
        <f>TEXT(Table1[[#This Row],[Date]],"mmm")</f>
        <v>Jul</v>
      </c>
      <c r="P145">
        <f>MONTH(Table1[[#This Row],[Date]])</f>
        <v>7</v>
      </c>
    </row>
    <row r="146" spans="1:16" x14ac:dyDescent="0.25">
      <c r="A146" t="s">
        <v>165</v>
      </c>
      <c r="B146" t="s">
        <v>21</v>
      </c>
      <c r="C146" t="s">
        <v>12</v>
      </c>
      <c r="D146" s="1">
        <v>45350</v>
      </c>
      <c r="E146">
        <v>21661</v>
      </c>
      <c r="F146">
        <v>938</v>
      </c>
      <c r="G146">
        <v>113</v>
      </c>
      <c r="H146" s="4">
        <v>2663.54</v>
      </c>
      <c r="I146" s="4">
        <v>3492.31</v>
      </c>
      <c r="J146" s="7">
        <f>Table1[[#This Row],[Clicks]]/Table1[[#This Row],[Impressions]]</f>
        <v>4.3303633257928999E-2</v>
      </c>
      <c r="K146" s="7">
        <f>IFERROR(Table1[[#This Row],[Conversions]]/Table1[[#This Row],[Clicks]],0)</f>
        <v>0.12046908315565032</v>
      </c>
      <c r="L146" s="6">
        <f>IF(Table1[[#This Row],[Conversions]]=0,0,Table1[[#This Row],[Ad Spend]]/Table1[[#This Row],[Conversions]])</f>
        <v>23.571150442477876</v>
      </c>
      <c r="M146" s="8">
        <f>IF(Table1[[#This Row],[Ad Spend]]=0,0,Table1[[#This Row],[Revenue]]/Table1[[#This Row],[Ad Spend]])</f>
        <v>1.3111535775697005</v>
      </c>
      <c r="N146">
        <f>YEAR(Table1[[#This Row],[Date]])</f>
        <v>2024</v>
      </c>
      <c r="O146" t="str">
        <f>TEXT(Table1[[#This Row],[Date]],"mmm")</f>
        <v>Feb</v>
      </c>
      <c r="P146">
        <f>MONTH(Table1[[#This Row],[Date]])</f>
        <v>2</v>
      </c>
    </row>
    <row r="147" spans="1:16" x14ac:dyDescent="0.25">
      <c r="A147" t="s">
        <v>166</v>
      </c>
      <c r="B147" t="s">
        <v>14</v>
      </c>
      <c r="C147" t="s">
        <v>12</v>
      </c>
      <c r="D147" s="1">
        <v>45314</v>
      </c>
      <c r="E147">
        <v>141695</v>
      </c>
      <c r="F147">
        <v>4408</v>
      </c>
      <c r="G147">
        <v>456</v>
      </c>
      <c r="H147" s="4">
        <v>349.52</v>
      </c>
      <c r="I147" s="4">
        <v>54655.56</v>
      </c>
      <c r="J147" s="7">
        <f>Table1[[#This Row],[Clicks]]/Table1[[#This Row],[Impressions]]</f>
        <v>3.1109072303186422E-2</v>
      </c>
      <c r="K147" s="7">
        <f>IFERROR(Table1[[#This Row],[Conversions]]/Table1[[#This Row],[Clicks]],0)</f>
        <v>0.10344827586206896</v>
      </c>
      <c r="L147" s="6">
        <f>IF(Table1[[#This Row],[Conversions]]=0,0,Table1[[#This Row],[Ad Spend]]/Table1[[#This Row],[Conversions]])</f>
        <v>0.76649122807017545</v>
      </c>
      <c r="M147" s="8">
        <f>IF(Table1[[#This Row],[Ad Spend]]=0,0,Table1[[#This Row],[Revenue]]/Table1[[#This Row],[Ad Spend]])</f>
        <v>156.37319752803845</v>
      </c>
      <c r="N147">
        <f>YEAR(Table1[[#This Row],[Date]])</f>
        <v>2024</v>
      </c>
      <c r="O147" t="str">
        <f>TEXT(Table1[[#This Row],[Date]],"mmm")</f>
        <v>Jan</v>
      </c>
      <c r="P147">
        <f>MONTH(Table1[[#This Row],[Date]])</f>
        <v>1</v>
      </c>
    </row>
    <row r="148" spans="1:16" x14ac:dyDescent="0.25">
      <c r="A148" t="s">
        <v>167</v>
      </c>
      <c r="B148" t="s">
        <v>21</v>
      </c>
      <c r="C148" t="s">
        <v>17</v>
      </c>
      <c r="D148" s="1">
        <v>45643</v>
      </c>
      <c r="E148">
        <v>33301</v>
      </c>
      <c r="F148">
        <v>1475</v>
      </c>
      <c r="G148">
        <v>203</v>
      </c>
      <c r="H148" s="4">
        <v>552.76</v>
      </c>
      <c r="I148" s="4">
        <v>5700.05</v>
      </c>
      <c r="J148" s="7">
        <f>Table1[[#This Row],[Clicks]]/Table1[[#This Row],[Impressions]]</f>
        <v>4.4292964175249992E-2</v>
      </c>
      <c r="K148" s="7">
        <f>IFERROR(Table1[[#This Row],[Conversions]]/Table1[[#This Row],[Clicks]],0)</f>
        <v>0.13762711864406779</v>
      </c>
      <c r="L148" s="6">
        <f>IF(Table1[[#This Row],[Conversions]]=0,0,Table1[[#This Row],[Ad Spend]]/Table1[[#This Row],[Conversions]])</f>
        <v>2.7229556650246307</v>
      </c>
      <c r="M148" s="8">
        <f>IF(Table1[[#This Row],[Ad Spend]]=0,0,Table1[[#This Row],[Revenue]]/Table1[[#This Row],[Ad Spend]])</f>
        <v>10.3119798827701</v>
      </c>
      <c r="N148">
        <f>YEAR(Table1[[#This Row],[Date]])</f>
        <v>2024</v>
      </c>
      <c r="O148" t="str">
        <f>TEXT(Table1[[#This Row],[Date]],"mmm")</f>
        <v>Dec</v>
      </c>
      <c r="P148">
        <f>MONTH(Table1[[#This Row],[Date]])</f>
        <v>12</v>
      </c>
    </row>
    <row r="149" spans="1:16" x14ac:dyDescent="0.25">
      <c r="A149" t="s">
        <v>168</v>
      </c>
      <c r="B149" t="s">
        <v>16</v>
      </c>
      <c r="C149" t="s">
        <v>10</v>
      </c>
      <c r="D149" s="1">
        <v>45356</v>
      </c>
      <c r="E149">
        <v>77093</v>
      </c>
      <c r="F149">
        <v>4140</v>
      </c>
      <c r="G149">
        <v>397</v>
      </c>
      <c r="H149" s="4">
        <v>3618.33</v>
      </c>
      <c r="I149" s="4">
        <v>23061.9</v>
      </c>
      <c r="J149" s="7">
        <f>Table1[[#This Row],[Clicks]]/Table1[[#This Row],[Impressions]]</f>
        <v>5.3701373665572746E-2</v>
      </c>
      <c r="K149" s="7">
        <f>IFERROR(Table1[[#This Row],[Conversions]]/Table1[[#This Row],[Clicks]],0)</f>
        <v>9.5893719806763283E-2</v>
      </c>
      <c r="L149" s="6">
        <f>IF(Table1[[#This Row],[Conversions]]=0,0,Table1[[#This Row],[Ad Spend]]/Table1[[#This Row],[Conversions]])</f>
        <v>9.1141813602015116</v>
      </c>
      <c r="M149" s="8">
        <f>IF(Table1[[#This Row],[Ad Spend]]=0,0,Table1[[#This Row],[Revenue]]/Table1[[#This Row],[Ad Spend]])</f>
        <v>6.3736309291855644</v>
      </c>
      <c r="N149">
        <f>YEAR(Table1[[#This Row],[Date]])</f>
        <v>2024</v>
      </c>
      <c r="O149" t="str">
        <f>TEXT(Table1[[#This Row],[Date]],"mmm")</f>
        <v>Mar</v>
      </c>
      <c r="P149">
        <f>MONTH(Table1[[#This Row],[Date]])</f>
        <v>3</v>
      </c>
    </row>
    <row r="150" spans="1:16" x14ac:dyDescent="0.25">
      <c r="A150" t="s">
        <v>169</v>
      </c>
      <c r="B150" t="s">
        <v>34</v>
      </c>
      <c r="C150" t="s">
        <v>17</v>
      </c>
      <c r="D150" s="1">
        <v>45550</v>
      </c>
      <c r="E150">
        <v>117774</v>
      </c>
      <c r="F150">
        <v>1995</v>
      </c>
      <c r="G150">
        <v>221</v>
      </c>
      <c r="H150" s="4">
        <v>4293.41</v>
      </c>
      <c r="I150" s="4">
        <v>18805.259999999998</v>
      </c>
      <c r="J150" s="7">
        <f>Table1[[#This Row],[Clicks]]/Table1[[#This Row],[Impressions]]</f>
        <v>1.6939222578837433E-2</v>
      </c>
      <c r="K150" s="7">
        <f>IFERROR(Table1[[#This Row],[Conversions]]/Table1[[#This Row],[Clicks]],0)</f>
        <v>0.11077694235588972</v>
      </c>
      <c r="L150" s="6">
        <f>IF(Table1[[#This Row],[Conversions]]=0,0,Table1[[#This Row],[Ad Spend]]/Table1[[#This Row],[Conversions]])</f>
        <v>19.427194570135747</v>
      </c>
      <c r="M150" s="8">
        <f>IF(Table1[[#This Row],[Ad Spend]]=0,0,Table1[[#This Row],[Revenue]]/Table1[[#This Row],[Ad Spend]])</f>
        <v>4.3800289280548563</v>
      </c>
      <c r="N150">
        <f>YEAR(Table1[[#This Row],[Date]])</f>
        <v>2024</v>
      </c>
      <c r="O150" t="str">
        <f>TEXT(Table1[[#This Row],[Date]],"mmm")</f>
        <v>Sept</v>
      </c>
      <c r="P150">
        <f>MONTH(Table1[[#This Row],[Date]])</f>
        <v>9</v>
      </c>
    </row>
    <row r="151" spans="1:16" x14ac:dyDescent="0.25">
      <c r="A151" t="s">
        <v>170</v>
      </c>
      <c r="B151" t="s">
        <v>14</v>
      </c>
      <c r="C151" t="s">
        <v>17</v>
      </c>
      <c r="D151" s="1">
        <v>45523</v>
      </c>
      <c r="E151">
        <v>64898</v>
      </c>
      <c r="F151">
        <v>2528</v>
      </c>
      <c r="G151">
        <v>322</v>
      </c>
      <c r="H151" s="4">
        <v>2113.9</v>
      </c>
      <c r="I151" s="4">
        <v>29933.52</v>
      </c>
      <c r="J151" s="7">
        <f>Table1[[#This Row],[Clicks]]/Table1[[#This Row],[Impressions]]</f>
        <v>3.895343462048137E-2</v>
      </c>
      <c r="K151" s="7">
        <f>IFERROR(Table1[[#This Row],[Conversions]]/Table1[[#This Row],[Clicks]],0)</f>
        <v>0.127373417721519</v>
      </c>
      <c r="L151" s="6">
        <f>IF(Table1[[#This Row],[Conversions]]=0,0,Table1[[#This Row],[Ad Spend]]/Table1[[#This Row],[Conversions]])</f>
        <v>6.5649068322981368</v>
      </c>
      <c r="M151" s="8">
        <f>IF(Table1[[#This Row],[Ad Spend]]=0,0,Table1[[#This Row],[Revenue]]/Table1[[#This Row],[Ad Spend]])</f>
        <v>14.16032924925493</v>
      </c>
      <c r="N151">
        <f>YEAR(Table1[[#This Row],[Date]])</f>
        <v>2024</v>
      </c>
      <c r="O151" t="str">
        <f>TEXT(Table1[[#This Row],[Date]],"mmm")</f>
        <v>Aug</v>
      </c>
      <c r="P151">
        <f>MONTH(Table1[[#This Row],[Date]])</f>
        <v>8</v>
      </c>
    </row>
    <row r="152" spans="1:16" x14ac:dyDescent="0.25">
      <c r="A152" t="s">
        <v>171</v>
      </c>
      <c r="B152" t="s">
        <v>47</v>
      </c>
      <c r="C152" t="s">
        <v>17</v>
      </c>
      <c r="D152" s="1">
        <v>45452</v>
      </c>
      <c r="E152">
        <v>71817</v>
      </c>
      <c r="F152">
        <v>2599</v>
      </c>
      <c r="G152">
        <v>103</v>
      </c>
      <c r="H152" s="4">
        <v>4630.33</v>
      </c>
      <c r="I152" s="4">
        <v>2751.47</v>
      </c>
      <c r="J152" s="7">
        <f>Table1[[#This Row],[Clicks]]/Table1[[#This Row],[Impressions]]</f>
        <v>3.6189203113468953E-2</v>
      </c>
      <c r="K152" s="7">
        <f>IFERROR(Table1[[#This Row],[Conversions]]/Table1[[#This Row],[Clicks]],0)</f>
        <v>3.9630627164293962E-2</v>
      </c>
      <c r="L152" s="6">
        <f>IF(Table1[[#This Row],[Conversions]]=0,0,Table1[[#This Row],[Ad Spend]]/Table1[[#This Row],[Conversions]])</f>
        <v>44.954660194174757</v>
      </c>
      <c r="M152" s="8">
        <f>IF(Table1[[#This Row],[Ad Spend]]=0,0,Table1[[#This Row],[Revenue]]/Table1[[#This Row],[Ad Spend]])</f>
        <v>0.59422762524485295</v>
      </c>
      <c r="N152">
        <f>YEAR(Table1[[#This Row],[Date]])</f>
        <v>2024</v>
      </c>
      <c r="O152" t="str">
        <f>TEXT(Table1[[#This Row],[Date]],"mmm")</f>
        <v>Jun</v>
      </c>
      <c r="P152">
        <f>MONTH(Table1[[#This Row],[Date]])</f>
        <v>6</v>
      </c>
    </row>
    <row r="153" spans="1:16" x14ac:dyDescent="0.25">
      <c r="A153" t="s">
        <v>172</v>
      </c>
      <c r="B153" t="s">
        <v>9</v>
      </c>
      <c r="C153" t="s">
        <v>10</v>
      </c>
      <c r="D153" s="1">
        <v>45513</v>
      </c>
      <c r="E153">
        <v>30313</v>
      </c>
      <c r="F153">
        <v>1883</v>
      </c>
      <c r="G153">
        <v>128</v>
      </c>
      <c r="H153" s="4">
        <v>824.55</v>
      </c>
      <c r="I153" s="4">
        <v>3327.76</v>
      </c>
      <c r="J153" s="7">
        <f>Table1[[#This Row],[Clicks]]/Table1[[#This Row],[Impressions]]</f>
        <v>6.2118562992775378E-2</v>
      </c>
      <c r="K153" s="7">
        <f>IFERROR(Table1[[#This Row],[Conversions]]/Table1[[#This Row],[Clicks]],0)</f>
        <v>6.7976633032395109E-2</v>
      </c>
      <c r="L153" s="6">
        <f>IF(Table1[[#This Row],[Conversions]]=0,0,Table1[[#This Row],[Ad Spend]]/Table1[[#This Row],[Conversions]])</f>
        <v>6.4417968749999996</v>
      </c>
      <c r="M153" s="8">
        <f>IF(Table1[[#This Row],[Ad Spend]]=0,0,Table1[[#This Row],[Revenue]]/Table1[[#This Row],[Ad Spend]])</f>
        <v>4.0358498574980297</v>
      </c>
      <c r="N153">
        <f>YEAR(Table1[[#This Row],[Date]])</f>
        <v>2024</v>
      </c>
      <c r="O153" t="str">
        <f>TEXT(Table1[[#This Row],[Date]],"mmm")</f>
        <v>Aug</v>
      </c>
      <c r="P153">
        <f>MONTH(Table1[[#This Row],[Date]])</f>
        <v>8</v>
      </c>
    </row>
    <row r="154" spans="1:16" x14ac:dyDescent="0.25">
      <c r="A154" t="s">
        <v>173</v>
      </c>
      <c r="B154" t="s">
        <v>47</v>
      </c>
      <c r="C154" t="s">
        <v>10</v>
      </c>
      <c r="D154" s="1">
        <v>45502</v>
      </c>
      <c r="E154">
        <v>97693</v>
      </c>
      <c r="F154">
        <v>6951</v>
      </c>
      <c r="G154">
        <v>989</v>
      </c>
      <c r="H154" s="4">
        <v>2230.1</v>
      </c>
      <c r="I154" s="4">
        <v>110356.94</v>
      </c>
      <c r="J154" s="7">
        <f>Table1[[#This Row],[Clicks]]/Table1[[#This Row],[Impressions]]</f>
        <v>7.1151464280961793E-2</v>
      </c>
      <c r="K154" s="7">
        <f>IFERROR(Table1[[#This Row],[Conversions]]/Table1[[#This Row],[Clicks]],0)</f>
        <v>0.14228168608833261</v>
      </c>
      <c r="L154" s="6">
        <f>IF(Table1[[#This Row],[Conversions]]=0,0,Table1[[#This Row],[Ad Spend]]/Table1[[#This Row],[Conversions]])</f>
        <v>2.2549039433771485</v>
      </c>
      <c r="M154" s="8">
        <f>IF(Table1[[#This Row],[Ad Spend]]=0,0,Table1[[#This Row],[Revenue]]/Table1[[#This Row],[Ad Spend]])</f>
        <v>49.485197973185059</v>
      </c>
      <c r="N154">
        <f>YEAR(Table1[[#This Row],[Date]])</f>
        <v>2024</v>
      </c>
      <c r="O154" t="str">
        <f>TEXT(Table1[[#This Row],[Date]],"mmm")</f>
        <v>Jul</v>
      </c>
      <c r="P154">
        <f>MONTH(Table1[[#This Row],[Date]])</f>
        <v>7</v>
      </c>
    </row>
    <row r="155" spans="1:16" x14ac:dyDescent="0.25">
      <c r="A155" t="s">
        <v>174</v>
      </c>
      <c r="B155" t="s">
        <v>31</v>
      </c>
      <c r="C155" t="s">
        <v>19</v>
      </c>
      <c r="D155" s="1">
        <v>45599</v>
      </c>
      <c r="E155">
        <v>86906</v>
      </c>
      <c r="F155">
        <v>3008</v>
      </c>
      <c r="G155">
        <v>286</v>
      </c>
      <c r="H155" s="4">
        <v>1221.1500000000001</v>
      </c>
      <c r="I155" s="4">
        <v>24502.66</v>
      </c>
      <c r="J155" s="7">
        <f>Table1[[#This Row],[Clicks]]/Table1[[#This Row],[Impressions]]</f>
        <v>3.4612109635698343E-2</v>
      </c>
      <c r="K155" s="7">
        <f>IFERROR(Table1[[#This Row],[Conversions]]/Table1[[#This Row],[Clicks]],0)</f>
        <v>9.5079787234042548E-2</v>
      </c>
      <c r="L155" s="6">
        <f>IF(Table1[[#This Row],[Conversions]]=0,0,Table1[[#This Row],[Ad Spend]]/Table1[[#This Row],[Conversions]])</f>
        <v>4.2697552447552454</v>
      </c>
      <c r="M155" s="8">
        <f>IF(Table1[[#This Row],[Ad Spend]]=0,0,Table1[[#This Row],[Revenue]]/Table1[[#This Row],[Ad Spend]])</f>
        <v>20.065233591286901</v>
      </c>
      <c r="N155">
        <f>YEAR(Table1[[#This Row],[Date]])</f>
        <v>2024</v>
      </c>
      <c r="O155" t="str">
        <f>TEXT(Table1[[#This Row],[Date]],"mmm")</f>
        <v>Nov</v>
      </c>
      <c r="P155">
        <f>MONTH(Table1[[#This Row],[Date]])</f>
        <v>11</v>
      </c>
    </row>
    <row r="156" spans="1:16" x14ac:dyDescent="0.25">
      <c r="A156" t="s">
        <v>175</v>
      </c>
      <c r="B156" t="s">
        <v>14</v>
      </c>
      <c r="C156" t="s">
        <v>10</v>
      </c>
      <c r="D156" s="1">
        <v>45471</v>
      </c>
      <c r="E156">
        <v>101353</v>
      </c>
      <c r="F156">
        <v>1828</v>
      </c>
      <c r="G156">
        <v>102</v>
      </c>
      <c r="H156" s="4">
        <v>1285.56</v>
      </c>
      <c r="I156" s="4">
        <v>6416.95</v>
      </c>
      <c r="J156" s="7">
        <f>Table1[[#This Row],[Clicks]]/Table1[[#This Row],[Impressions]]</f>
        <v>1.8035973281501288E-2</v>
      </c>
      <c r="K156" s="7">
        <f>IFERROR(Table1[[#This Row],[Conversions]]/Table1[[#This Row],[Clicks]],0)</f>
        <v>5.5798687089715533E-2</v>
      </c>
      <c r="L156" s="6">
        <f>IF(Table1[[#This Row],[Conversions]]=0,0,Table1[[#This Row],[Ad Spend]]/Table1[[#This Row],[Conversions]])</f>
        <v>12.603529411764706</v>
      </c>
      <c r="M156" s="8">
        <f>IF(Table1[[#This Row],[Ad Spend]]=0,0,Table1[[#This Row],[Revenue]]/Table1[[#This Row],[Ad Spend]])</f>
        <v>4.9915600983229096</v>
      </c>
      <c r="N156">
        <f>YEAR(Table1[[#This Row],[Date]])</f>
        <v>2024</v>
      </c>
      <c r="O156" t="str">
        <f>TEXT(Table1[[#This Row],[Date]],"mmm")</f>
        <v>Jun</v>
      </c>
      <c r="P156">
        <f>MONTH(Table1[[#This Row],[Date]])</f>
        <v>6</v>
      </c>
    </row>
    <row r="157" spans="1:16" x14ac:dyDescent="0.25">
      <c r="A157" t="s">
        <v>176</v>
      </c>
      <c r="B157" t="s">
        <v>31</v>
      </c>
      <c r="C157" t="s">
        <v>12</v>
      </c>
      <c r="D157" s="1">
        <v>45628</v>
      </c>
      <c r="E157">
        <v>75109</v>
      </c>
      <c r="F157">
        <v>903</v>
      </c>
      <c r="G157">
        <v>50</v>
      </c>
      <c r="H157" s="4">
        <v>3859.57</v>
      </c>
      <c r="I157" s="4">
        <v>5607.69</v>
      </c>
      <c r="J157" s="7">
        <f>Table1[[#This Row],[Clicks]]/Table1[[#This Row],[Impressions]]</f>
        <v>1.2022527260381579E-2</v>
      </c>
      <c r="K157" s="7">
        <f>IFERROR(Table1[[#This Row],[Conversions]]/Table1[[#This Row],[Clicks]],0)</f>
        <v>5.537098560354374E-2</v>
      </c>
      <c r="L157" s="6">
        <f>IF(Table1[[#This Row],[Conversions]]=0,0,Table1[[#This Row],[Ad Spend]]/Table1[[#This Row],[Conversions]])</f>
        <v>77.191400000000002</v>
      </c>
      <c r="M157" s="8">
        <f>IF(Table1[[#This Row],[Ad Spend]]=0,0,Table1[[#This Row],[Revenue]]/Table1[[#This Row],[Ad Spend]])</f>
        <v>1.4529312850913443</v>
      </c>
      <c r="N157">
        <f>YEAR(Table1[[#This Row],[Date]])</f>
        <v>2024</v>
      </c>
      <c r="O157" t="str">
        <f>TEXT(Table1[[#This Row],[Date]],"mmm")</f>
        <v>Dec</v>
      </c>
      <c r="P157">
        <f>MONTH(Table1[[#This Row],[Date]])</f>
        <v>12</v>
      </c>
    </row>
    <row r="158" spans="1:16" x14ac:dyDescent="0.25">
      <c r="A158" t="s">
        <v>177</v>
      </c>
      <c r="B158" t="s">
        <v>47</v>
      </c>
      <c r="C158" t="s">
        <v>10</v>
      </c>
      <c r="D158" s="1">
        <v>45384</v>
      </c>
      <c r="E158">
        <v>42552</v>
      </c>
      <c r="F158">
        <v>2112</v>
      </c>
      <c r="G158">
        <v>152</v>
      </c>
      <c r="H158" s="4">
        <v>881</v>
      </c>
      <c r="I158" s="4">
        <v>12664.21</v>
      </c>
      <c r="J158" s="7">
        <f>Table1[[#This Row],[Clicks]]/Table1[[#This Row],[Impressions]]</f>
        <v>4.9633389734912575E-2</v>
      </c>
      <c r="K158" s="7">
        <f>IFERROR(Table1[[#This Row],[Conversions]]/Table1[[#This Row],[Clicks]],0)</f>
        <v>7.1969696969696975E-2</v>
      </c>
      <c r="L158" s="6">
        <f>IF(Table1[[#This Row],[Conversions]]=0,0,Table1[[#This Row],[Ad Spend]]/Table1[[#This Row],[Conversions]])</f>
        <v>5.7960526315789478</v>
      </c>
      <c r="M158" s="8">
        <f>IF(Table1[[#This Row],[Ad Spend]]=0,0,Table1[[#This Row],[Revenue]]/Table1[[#This Row],[Ad Spend]])</f>
        <v>14.374812712826333</v>
      </c>
      <c r="N158">
        <f>YEAR(Table1[[#This Row],[Date]])</f>
        <v>2024</v>
      </c>
      <c r="O158" t="str">
        <f>TEXT(Table1[[#This Row],[Date]],"mmm")</f>
        <v>Apr</v>
      </c>
      <c r="P158">
        <f>MONTH(Table1[[#This Row],[Date]])</f>
        <v>4</v>
      </c>
    </row>
    <row r="159" spans="1:16" x14ac:dyDescent="0.25">
      <c r="A159" t="s">
        <v>178</v>
      </c>
      <c r="B159" t="s">
        <v>31</v>
      </c>
      <c r="C159" t="s">
        <v>10</v>
      </c>
      <c r="D159" s="1">
        <v>45674</v>
      </c>
      <c r="E159">
        <v>144062</v>
      </c>
      <c r="F159">
        <v>3610</v>
      </c>
      <c r="G159">
        <v>269</v>
      </c>
      <c r="H159" s="4">
        <v>1836.3</v>
      </c>
      <c r="I159" s="4">
        <v>15334.43</v>
      </c>
      <c r="J159" s="7">
        <f>Table1[[#This Row],[Clicks]]/Table1[[#This Row],[Impressions]]</f>
        <v>2.5058655301189767E-2</v>
      </c>
      <c r="K159" s="7">
        <f>IFERROR(Table1[[#This Row],[Conversions]]/Table1[[#This Row],[Clicks]],0)</f>
        <v>7.4515235457063705E-2</v>
      </c>
      <c r="L159" s="6">
        <f>IF(Table1[[#This Row],[Conversions]]=0,0,Table1[[#This Row],[Ad Spend]]/Table1[[#This Row],[Conversions]])</f>
        <v>6.8263940520446091</v>
      </c>
      <c r="M159" s="8">
        <f>IF(Table1[[#This Row],[Ad Spend]]=0,0,Table1[[#This Row],[Revenue]]/Table1[[#This Row],[Ad Spend]])</f>
        <v>8.3507215596580089</v>
      </c>
      <c r="N159">
        <f>YEAR(Table1[[#This Row],[Date]])</f>
        <v>2025</v>
      </c>
      <c r="O159" t="str">
        <f>TEXT(Table1[[#This Row],[Date]],"mmm")</f>
        <v>Jan</v>
      </c>
      <c r="P159">
        <f>MONTH(Table1[[#This Row],[Date]])</f>
        <v>1</v>
      </c>
    </row>
    <row r="160" spans="1:16" x14ac:dyDescent="0.25">
      <c r="A160" t="s">
        <v>179</v>
      </c>
      <c r="B160" t="s">
        <v>47</v>
      </c>
      <c r="C160" t="s">
        <v>12</v>
      </c>
      <c r="D160" s="1">
        <v>45597</v>
      </c>
      <c r="E160">
        <v>27270</v>
      </c>
      <c r="F160">
        <v>1958</v>
      </c>
      <c r="G160">
        <v>78</v>
      </c>
      <c r="H160" s="4">
        <v>3821.29</v>
      </c>
      <c r="I160" s="4">
        <v>1948.15</v>
      </c>
      <c r="J160" s="7">
        <f>Table1[[#This Row],[Clicks]]/Table1[[#This Row],[Impressions]]</f>
        <v>7.1800513384671805E-2</v>
      </c>
      <c r="K160" s="7">
        <f>IFERROR(Table1[[#This Row],[Conversions]]/Table1[[#This Row],[Clicks]],0)</f>
        <v>3.9836567926455568E-2</v>
      </c>
      <c r="L160" s="6">
        <f>IF(Table1[[#This Row],[Conversions]]=0,0,Table1[[#This Row],[Ad Spend]]/Table1[[#This Row],[Conversions]])</f>
        <v>48.990897435897438</v>
      </c>
      <c r="M160" s="8">
        <f>IF(Table1[[#This Row],[Ad Spend]]=0,0,Table1[[#This Row],[Revenue]]/Table1[[#This Row],[Ad Spend]])</f>
        <v>0.50981474842265306</v>
      </c>
      <c r="N160">
        <f>YEAR(Table1[[#This Row],[Date]])</f>
        <v>2024</v>
      </c>
      <c r="O160" t="str">
        <f>TEXT(Table1[[#This Row],[Date]],"mmm")</f>
        <v>Nov</v>
      </c>
      <c r="P160">
        <f>MONTH(Table1[[#This Row],[Date]])</f>
        <v>11</v>
      </c>
    </row>
    <row r="161" spans="1:16" x14ac:dyDescent="0.25">
      <c r="A161" t="s">
        <v>180</v>
      </c>
      <c r="B161" t="s">
        <v>9</v>
      </c>
      <c r="C161" t="s">
        <v>19</v>
      </c>
      <c r="D161" s="1">
        <v>45518</v>
      </c>
      <c r="E161">
        <v>116152</v>
      </c>
      <c r="F161">
        <v>5110</v>
      </c>
      <c r="G161">
        <v>395</v>
      </c>
      <c r="H161" s="4">
        <v>1511.2</v>
      </c>
      <c r="I161" s="4">
        <v>37720.25</v>
      </c>
      <c r="J161" s="7">
        <f>Table1[[#This Row],[Clicks]]/Table1[[#This Row],[Impressions]]</f>
        <v>4.3994076727047318E-2</v>
      </c>
      <c r="K161" s="7">
        <f>IFERROR(Table1[[#This Row],[Conversions]]/Table1[[#This Row],[Clicks]],0)</f>
        <v>7.7299412915851268E-2</v>
      </c>
      <c r="L161" s="6">
        <f>IF(Table1[[#This Row],[Conversions]]=0,0,Table1[[#This Row],[Ad Spend]]/Table1[[#This Row],[Conversions]])</f>
        <v>3.8258227848101267</v>
      </c>
      <c r="M161" s="8">
        <f>IF(Table1[[#This Row],[Ad Spend]]=0,0,Table1[[#This Row],[Revenue]]/Table1[[#This Row],[Ad Spend]])</f>
        <v>24.960461884595023</v>
      </c>
      <c r="N161">
        <f>YEAR(Table1[[#This Row],[Date]])</f>
        <v>2024</v>
      </c>
      <c r="O161" t="str">
        <f>TEXT(Table1[[#This Row],[Date]],"mmm")</f>
        <v>Aug</v>
      </c>
      <c r="P161">
        <f>MONTH(Table1[[#This Row],[Date]])</f>
        <v>8</v>
      </c>
    </row>
    <row r="162" spans="1:16" x14ac:dyDescent="0.25">
      <c r="A162" t="s">
        <v>181</v>
      </c>
      <c r="B162" t="s">
        <v>9</v>
      </c>
      <c r="C162" t="s">
        <v>19</v>
      </c>
      <c r="D162" s="1">
        <v>45512</v>
      </c>
      <c r="E162">
        <v>34069</v>
      </c>
      <c r="F162">
        <v>1016</v>
      </c>
      <c r="G162">
        <v>109</v>
      </c>
      <c r="H162" s="4">
        <v>2535.84</v>
      </c>
      <c r="I162" s="4">
        <v>9451.74</v>
      </c>
      <c r="J162" s="7">
        <f>Table1[[#This Row],[Clicks]]/Table1[[#This Row],[Impressions]]</f>
        <v>2.9821832164137484E-2</v>
      </c>
      <c r="K162" s="7">
        <f>IFERROR(Table1[[#This Row],[Conversions]]/Table1[[#This Row],[Clicks]],0)</f>
        <v>0.10728346456692914</v>
      </c>
      <c r="L162" s="6">
        <f>IF(Table1[[#This Row],[Conversions]]=0,0,Table1[[#This Row],[Ad Spend]]/Table1[[#This Row],[Conversions]])</f>
        <v>23.264587155963305</v>
      </c>
      <c r="M162" s="8">
        <f>IF(Table1[[#This Row],[Ad Spend]]=0,0,Table1[[#This Row],[Revenue]]/Table1[[#This Row],[Ad Spend]])</f>
        <v>3.7272619723641869</v>
      </c>
      <c r="N162">
        <f>YEAR(Table1[[#This Row],[Date]])</f>
        <v>2024</v>
      </c>
      <c r="O162" t="str">
        <f>TEXT(Table1[[#This Row],[Date]],"mmm")</f>
        <v>Aug</v>
      </c>
      <c r="P162">
        <f>MONTH(Table1[[#This Row],[Date]])</f>
        <v>8</v>
      </c>
    </row>
    <row r="163" spans="1:16" x14ac:dyDescent="0.25">
      <c r="A163" t="s">
        <v>182</v>
      </c>
      <c r="B163" t="s">
        <v>31</v>
      </c>
      <c r="C163" t="s">
        <v>37</v>
      </c>
      <c r="D163" s="1">
        <v>45494</v>
      </c>
      <c r="E163">
        <v>19360</v>
      </c>
      <c r="F163">
        <v>204</v>
      </c>
      <c r="G163">
        <v>12</v>
      </c>
      <c r="H163" s="4">
        <v>1213.92</v>
      </c>
      <c r="I163" s="4">
        <v>404.68</v>
      </c>
      <c r="J163" s="7">
        <f>Table1[[#This Row],[Clicks]]/Table1[[#This Row],[Impressions]]</f>
        <v>1.0537190082644627E-2</v>
      </c>
      <c r="K163" s="7">
        <f>IFERROR(Table1[[#This Row],[Conversions]]/Table1[[#This Row],[Clicks]],0)</f>
        <v>5.8823529411764705E-2</v>
      </c>
      <c r="L163" s="6">
        <f>IF(Table1[[#This Row],[Conversions]]=0,0,Table1[[#This Row],[Ad Spend]]/Table1[[#This Row],[Conversions]])</f>
        <v>101.16000000000001</v>
      </c>
      <c r="M163" s="8">
        <f>IF(Table1[[#This Row],[Ad Spend]]=0,0,Table1[[#This Row],[Revenue]]/Table1[[#This Row],[Ad Spend]])</f>
        <v>0.3333662844339001</v>
      </c>
      <c r="N163">
        <f>YEAR(Table1[[#This Row],[Date]])</f>
        <v>2024</v>
      </c>
      <c r="O163" t="str">
        <f>TEXT(Table1[[#This Row],[Date]],"mmm")</f>
        <v>Jul</v>
      </c>
      <c r="P163">
        <f>MONTH(Table1[[#This Row],[Date]])</f>
        <v>7</v>
      </c>
    </row>
    <row r="164" spans="1:16" x14ac:dyDescent="0.25">
      <c r="A164" t="s">
        <v>183</v>
      </c>
      <c r="B164" t="s">
        <v>34</v>
      </c>
      <c r="C164" t="s">
        <v>19</v>
      </c>
      <c r="D164" s="1">
        <v>45459</v>
      </c>
      <c r="E164">
        <v>36453</v>
      </c>
      <c r="F164">
        <v>384</v>
      </c>
      <c r="G164">
        <v>44</v>
      </c>
      <c r="H164" s="4">
        <v>1043.3399999999999</v>
      </c>
      <c r="I164" s="4">
        <v>2552.91</v>
      </c>
      <c r="J164" s="7">
        <f>Table1[[#This Row],[Clicks]]/Table1[[#This Row],[Impressions]]</f>
        <v>1.0534112418730968E-2</v>
      </c>
      <c r="K164" s="7">
        <f>IFERROR(Table1[[#This Row],[Conversions]]/Table1[[#This Row],[Clicks]],0)</f>
        <v>0.11458333333333333</v>
      </c>
      <c r="L164" s="6">
        <f>IF(Table1[[#This Row],[Conversions]]=0,0,Table1[[#This Row],[Ad Spend]]/Table1[[#This Row],[Conversions]])</f>
        <v>23.712272727272726</v>
      </c>
      <c r="M164" s="8">
        <f>IF(Table1[[#This Row],[Ad Spend]]=0,0,Table1[[#This Row],[Revenue]]/Table1[[#This Row],[Ad Spend]])</f>
        <v>2.4468629593421127</v>
      </c>
      <c r="N164">
        <f>YEAR(Table1[[#This Row],[Date]])</f>
        <v>2024</v>
      </c>
      <c r="O164" t="str">
        <f>TEXT(Table1[[#This Row],[Date]],"mmm")</f>
        <v>Jun</v>
      </c>
      <c r="P164">
        <f>MONTH(Table1[[#This Row],[Date]])</f>
        <v>6</v>
      </c>
    </row>
    <row r="165" spans="1:16" x14ac:dyDescent="0.25">
      <c r="A165" t="s">
        <v>184</v>
      </c>
      <c r="B165" t="s">
        <v>14</v>
      </c>
      <c r="C165" t="s">
        <v>12</v>
      </c>
      <c r="D165" s="1">
        <v>45578</v>
      </c>
      <c r="E165">
        <v>97842</v>
      </c>
      <c r="F165">
        <v>1472</v>
      </c>
      <c r="G165">
        <v>194</v>
      </c>
      <c r="H165" s="4">
        <v>403.05</v>
      </c>
      <c r="I165" s="4">
        <v>4243.59</v>
      </c>
      <c r="J165" s="7">
        <f>Table1[[#This Row],[Clicks]]/Table1[[#This Row],[Impressions]]</f>
        <v>1.5044663845792195E-2</v>
      </c>
      <c r="K165" s="7">
        <f>IFERROR(Table1[[#This Row],[Conversions]]/Table1[[#This Row],[Clicks]],0)</f>
        <v>0.13179347826086957</v>
      </c>
      <c r="L165" s="6">
        <f>IF(Table1[[#This Row],[Conversions]]=0,0,Table1[[#This Row],[Ad Spend]]/Table1[[#This Row],[Conversions]])</f>
        <v>2.077577319587629</v>
      </c>
      <c r="M165" s="8">
        <f>IF(Table1[[#This Row],[Ad Spend]]=0,0,Table1[[#This Row],[Revenue]]/Table1[[#This Row],[Ad Spend]])</f>
        <v>10.528693710457759</v>
      </c>
      <c r="N165">
        <f>YEAR(Table1[[#This Row],[Date]])</f>
        <v>2024</v>
      </c>
      <c r="O165" t="str">
        <f>TEXT(Table1[[#This Row],[Date]],"mmm")</f>
        <v>Oct</v>
      </c>
      <c r="P165">
        <f>MONTH(Table1[[#This Row],[Date]])</f>
        <v>10</v>
      </c>
    </row>
    <row r="166" spans="1:16" x14ac:dyDescent="0.25">
      <c r="A166" t="s">
        <v>185</v>
      </c>
      <c r="B166" t="s">
        <v>9</v>
      </c>
      <c r="C166" t="s">
        <v>19</v>
      </c>
      <c r="D166" s="1">
        <v>45586</v>
      </c>
      <c r="E166">
        <v>117534</v>
      </c>
      <c r="F166">
        <v>5892</v>
      </c>
      <c r="G166">
        <v>661</v>
      </c>
      <c r="H166" s="4">
        <v>2204.9299999999998</v>
      </c>
      <c r="I166" s="4">
        <v>20832.96</v>
      </c>
      <c r="J166" s="7">
        <f>Table1[[#This Row],[Clicks]]/Table1[[#This Row],[Impressions]]</f>
        <v>5.013017509826944E-2</v>
      </c>
      <c r="K166" s="7">
        <f>IFERROR(Table1[[#This Row],[Conversions]]/Table1[[#This Row],[Clicks]],0)</f>
        <v>0.11218601493550577</v>
      </c>
      <c r="L166" s="6">
        <f>IF(Table1[[#This Row],[Conversions]]=0,0,Table1[[#This Row],[Ad Spend]]/Table1[[#This Row],[Conversions]])</f>
        <v>3.3357488653555216</v>
      </c>
      <c r="M166" s="8">
        <f>IF(Table1[[#This Row],[Ad Spend]]=0,0,Table1[[#This Row],[Revenue]]/Table1[[#This Row],[Ad Spend]])</f>
        <v>9.44835436952647</v>
      </c>
      <c r="N166">
        <f>YEAR(Table1[[#This Row],[Date]])</f>
        <v>2024</v>
      </c>
      <c r="O166" t="str">
        <f>TEXT(Table1[[#This Row],[Date]],"mmm")</f>
        <v>Oct</v>
      </c>
      <c r="P166">
        <f>MONTH(Table1[[#This Row],[Date]])</f>
        <v>10</v>
      </c>
    </row>
    <row r="167" spans="1:16" x14ac:dyDescent="0.25">
      <c r="A167" t="s">
        <v>186</v>
      </c>
      <c r="B167" t="s">
        <v>31</v>
      </c>
      <c r="C167" t="s">
        <v>19</v>
      </c>
      <c r="D167" s="1">
        <v>45379</v>
      </c>
      <c r="E167">
        <v>125611</v>
      </c>
      <c r="F167">
        <v>8571</v>
      </c>
      <c r="G167">
        <v>1196</v>
      </c>
      <c r="H167" s="4">
        <v>623.02</v>
      </c>
      <c r="I167" s="4">
        <v>124920.33</v>
      </c>
      <c r="J167" s="7">
        <f>Table1[[#This Row],[Clicks]]/Table1[[#This Row],[Impressions]]</f>
        <v>6.8234469911074666E-2</v>
      </c>
      <c r="K167" s="7">
        <f>IFERROR(Table1[[#This Row],[Conversions]]/Table1[[#This Row],[Clicks]],0)</f>
        <v>0.13954031034885078</v>
      </c>
      <c r="L167" s="6">
        <f>IF(Table1[[#This Row],[Conversions]]=0,0,Table1[[#This Row],[Ad Spend]]/Table1[[#This Row],[Conversions]])</f>
        <v>0.52091973244147161</v>
      </c>
      <c r="M167" s="8">
        <f>IF(Table1[[#This Row],[Ad Spend]]=0,0,Table1[[#This Row],[Revenue]]/Table1[[#This Row],[Ad Spend]])</f>
        <v>200.50773650926135</v>
      </c>
      <c r="N167">
        <f>YEAR(Table1[[#This Row],[Date]])</f>
        <v>2024</v>
      </c>
      <c r="O167" t="str">
        <f>TEXT(Table1[[#This Row],[Date]],"mmm")</f>
        <v>Mar</v>
      </c>
      <c r="P167">
        <f>MONTH(Table1[[#This Row],[Date]])</f>
        <v>3</v>
      </c>
    </row>
    <row r="168" spans="1:16" x14ac:dyDescent="0.25">
      <c r="A168" t="s">
        <v>187</v>
      </c>
      <c r="B168" t="s">
        <v>14</v>
      </c>
      <c r="C168" t="s">
        <v>17</v>
      </c>
      <c r="D168" s="1">
        <v>45593</v>
      </c>
      <c r="E168">
        <v>109975</v>
      </c>
      <c r="F168">
        <v>5133</v>
      </c>
      <c r="G168">
        <v>366</v>
      </c>
      <c r="H168" s="4">
        <v>1689.32</v>
      </c>
      <c r="I168" s="4">
        <v>19746.189999999999</v>
      </c>
      <c r="J168" s="7">
        <f>Table1[[#This Row],[Clicks]]/Table1[[#This Row],[Impressions]]</f>
        <v>4.6674244146396905E-2</v>
      </c>
      <c r="K168" s="7">
        <f>IFERROR(Table1[[#This Row],[Conversions]]/Table1[[#This Row],[Clicks]],0)</f>
        <v>7.1303331385154878E-2</v>
      </c>
      <c r="L168" s="6">
        <f>IF(Table1[[#This Row],[Conversions]]=0,0,Table1[[#This Row],[Ad Spend]]/Table1[[#This Row],[Conversions]])</f>
        <v>4.615628415300546</v>
      </c>
      <c r="M168" s="8">
        <f>IF(Table1[[#This Row],[Ad Spend]]=0,0,Table1[[#This Row],[Revenue]]/Table1[[#This Row],[Ad Spend]])</f>
        <v>11.688839296284895</v>
      </c>
      <c r="N168">
        <f>YEAR(Table1[[#This Row],[Date]])</f>
        <v>2024</v>
      </c>
      <c r="O168" t="str">
        <f>TEXT(Table1[[#This Row],[Date]],"mmm")</f>
        <v>Oct</v>
      </c>
      <c r="P168">
        <f>MONTH(Table1[[#This Row],[Date]])</f>
        <v>10</v>
      </c>
    </row>
    <row r="169" spans="1:16" x14ac:dyDescent="0.25">
      <c r="A169" t="s">
        <v>188</v>
      </c>
      <c r="B169" t="s">
        <v>47</v>
      </c>
      <c r="C169" t="s">
        <v>37</v>
      </c>
      <c r="D169" s="1">
        <v>45331</v>
      </c>
      <c r="E169">
        <v>138820</v>
      </c>
      <c r="F169">
        <v>7541</v>
      </c>
      <c r="G169">
        <v>670</v>
      </c>
      <c r="H169" s="4">
        <v>1130.74</v>
      </c>
      <c r="I169" s="4">
        <v>65407.29</v>
      </c>
      <c r="J169" s="7">
        <f>Table1[[#This Row],[Clicks]]/Table1[[#This Row],[Impressions]]</f>
        <v>5.4322143783316526E-2</v>
      </c>
      <c r="K169" s="7">
        <f>IFERROR(Table1[[#This Row],[Conversions]]/Table1[[#This Row],[Clicks]],0)</f>
        <v>8.8847632939928395E-2</v>
      </c>
      <c r="L169" s="6">
        <f>IF(Table1[[#This Row],[Conversions]]=0,0,Table1[[#This Row],[Ad Spend]]/Table1[[#This Row],[Conversions]])</f>
        <v>1.6876716417910449</v>
      </c>
      <c r="M169" s="8">
        <f>IF(Table1[[#This Row],[Ad Spend]]=0,0,Table1[[#This Row],[Revenue]]/Table1[[#This Row],[Ad Spend]])</f>
        <v>57.84467693722695</v>
      </c>
      <c r="N169">
        <f>YEAR(Table1[[#This Row],[Date]])</f>
        <v>2024</v>
      </c>
      <c r="O169" t="str">
        <f>TEXT(Table1[[#This Row],[Date]],"mmm")</f>
        <v>Feb</v>
      </c>
      <c r="P169">
        <f>MONTH(Table1[[#This Row],[Date]])</f>
        <v>2</v>
      </c>
    </row>
    <row r="170" spans="1:16" x14ac:dyDescent="0.25">
      <c r="A170" t="s">
        <v>189</v>
      </c>
      <c r="B170" t="s">
        <v>47</v>
      </c>
      <c r="C170" t="s">
        <v>37</v>
      </c>
      <c r="D170" s="1">
        <v>45412</v>
      </c>
      <c r="E170">
        <v>31949</v>
      </c>
      <c r="F170">
        <v>647</v>
      </c>
      <c r="G170">
        <v>29</v>
      </c>
      <c r="H170" s="4">
        <v>3091.52</v>
      </c>
      <c r="I170" s="4">
        <v>2784.62</v>
      </c>
      <c r="J170" s="7">
        <f>Table1[[#This Row],[Clicks]]/Table1[[#This Row],[Impressions]]</f>
        <v>2.0251025071207237E-2</v>
      </c>
      <c r="K170" s="7">
        <f>IFERROR(Table1[[#This Row],[Conversions]]/Table1[[#This Row],[Clicks]],0)</f>
        <v>4.482225656877898E-2</v>
      </c>
      <c r="L170" s="6">
        <f>IF(Table1[[#This Row],[Conversions]]=0,0,Table1[[#This Row],[Ad Spend]]/Table1[[#This Row],[Conversions]])</f>
        <v>106.60413793103449</v>
      </c>
      <c r="M170" s="8">
        <f>IF(Table1[[#This Row],[Ad Spend]]=0,0,Table1[[#This Row],[Revenue]]/Table1[[#This Row],[Ad Spend]])</f>
        <v>0.90072844426042853</v>
      </c>
      <c r="N170">
        <f>YEAR(Table1[[#This Row],[Date]])</f>
        <v>2024</v>
      </c>
      <c r="O170" t="str">
        <f>TEXT(Table1[[#This Row],[Date]],"mmm")</f>
        <v>Apr</v>
      </c>
      <c r="P170">
        <f>MONTH(Table1[[#This Row],[Date]])</f>
        <v>4</v>
      </c>
    </row>
    <row r="171" spans="1:16" x14ac:dyDescent="0.25">
      <c r="A171" t="s">
        <v>190</v>
      </c>
      <c r="B171" t="s">
        <v>9</v>
      </c>
      <c r="C171" t="s">
        <v>37</v>
      </c>
      <c r="D171" s="1">
        <v>45687</v>
      </c>
      <c r="E171">
        <v>134529</v>
      </c>
      <c r="F171">
        <v>5714</v>
      </c>
      <c r="G171">
        <v>533</v>
      </c>
      <c r="H171" s="4">
        <v>2981.45</v>
      </c>
      <c r="I171" s="4">
        <v>46964.41</v>
      </c>
      <c r="J171" s="7">
        <f>Table1[[#This Row],[Clicks]]/Table1[[#This Row],[Impressions]]</f>
        <v>4.2474113388191397E-2</v>
      </c>
      <c r="K171" s="7">
        <f>IFERROR(Table1[[#This Row],[Conversions]]/Table1[[#This Row],[Clicks]],0)</f>
        <v>9.327966398319916E-2</v>
      </c>
      <c r="L171" s="6">
        <f>IF(Table1[[#This Row],[Conversions]]=0,0,Table1[[#This Row],[Ad Spend]]/Table1[[#This Row],[Conversions]])</f>
        <v>5.5937148217636024</v>
      </c>
      <c r="M171" s="8">
        <f>IF(Table1[[#This Row],[Ad Spend]]=0,0,Table1[[#This Row],[Revenue]]/Table1[[#This Row],[Ad Spend]])</f>
        <v>15.752204464270744</v>
      </c>
      <c r="N171">
        <f>YEAR(Table1[[#This Row],[Date]])</f>
        <v>2025</v>
      </c>
      <c r="O171" t="str">
        <f>TEXT(Table1[[#This Row],[Date]],"mmm")</f>
        <v>Jan</v>
      </c>
      <c r="P171">
        <f>MONTH(Table1[[#This Row],[Date]])</f>
        <v>1</v>
      </c>
    </row>
    <row r="172" spans="1:16" x14ac:dyDescent="0.25">
      <c r="A172" t="s">
        <v>191</v>
      </c>
      <c r="B172" t="s">
        <v>47</v>
      </c>
      <c r="C172" t="s">
        <v>19</v>
      </c>
      <c r="D172" s="1">
        <v>45369</v>
      </c>
      <c r="E172">
        <v>120281</v>
      </c>
      <c r="F172">
        <v>1777</v>
      </c>
      <c r="G172">
        <v>137</v>
      </c>
      <c r="H172" s="4">
        <v>1653.54</v>
      </c>
      <c r="I172" s="4">
        <v>6503.03</v>
      </c>
      <c r="J172" s="7">
        <f>Table1[[#This Row],[Clicks]]/Table1[[#This Row],[Impressions]]</f>
        <v>1.477373816313466E-2</v>
      </c>
      <c r="K172" s="7">
        <f>IFERROR(Table1[[#This Row],[Conversions]]/Table1[[#This Row],[Clicks]],0)</f>
        <v>7.7096229600450192E-2</v>
      </c>
      <c r="L172" s="6">
        <f>IF(Table1[[#This Row],[Conversions]]=0,0,Table1[[#This Row],[Ad Spend]]/Table1[[#This Row],[Conversions]])</f>
        <v>12.069635036496351</v>
      </c>
      <c r="M172" s="8">
        <f>IF(Table1[[#This Row],[Ad Spend]]=0,0,Table1[[#This Row],[Revenue]]/Table1[[#This Row],[Ad Spend]])</f>
        <v>3.9327926751091598</v>
      </c>
      <c r="N172">
        <f>YEAR(Table1[[#This Row],[Date]])</f>
        <v>2024</v>
      </c>
      <c r="O172" t="str">
        <f>TEXT(Table1[[#This Row],[Date]],"mmm")</f>
        <v>Mar</v>
      </c>
      <c r="P172">
        <f>MONTH(Table1[[#This Row],[Date]])</f>
        <v>3</v>
      </c>
    </row>
    <row r="173" spans="1:16" x14ac:dyDescent="0.25">
      <c r="A173" t="s">
        <v>192</v>
      </c>
      <c r="B173" t="s">
        <v>31</v>
      </c>
      <c r="C173" t="s">
        <v>19</v>
      </c>
      <c r="D173" s="1">
        <v>45551</v>
      </c>
      <c r="E173">
        <v>24448</v>
      </c>
      <c r="F173">
        <v>775</v>
      </c>
      <c r="G173">
        <v>61</v>
      </c>
      <c r="H173" s="4">
        <v>473.07</v>
      </c>
      <c r="I173" s="4">
        <v>6293.35</v>
      </c>
      <c r="J173" s="7">
        <f>Table1[[#This Row],[Clicks]]/Table1[[#This Row],[Impressions]]</f>
        <v>3.1699934554973823E-2</v>
      </c>
      <c r="K173" s="7">
        <f>IFERROR(Table1[[#This Row],[Conversions]]/Table1[[#This Row],[Clicks]],0)</f>
        <v>7.8709677419354834E-2</v>
      </c>
      <c r="L173" s="6">
        <f>IF(Table1[[#This Row],[Conversions]]=0,0,Table1[[#This Row],[Ad Spend]]/Table1[[#This Row],[Conversions]])</f>
        <v>7.755245901639344</v>
      </c>
      <c r="M173" s="8">
        <f>IF(Table1[[#This Row],[Ad Spend]]=0,0,Table1[[#This Row],[Revenue]]/Table1[[#This Row],[Ad Spend]])</f>
        <v>13.303210941298328</v>
      </c>
      <c r="N173">
        <f>YEAR(Table1[[#This Row],[Date]])</f>
        <v>2024</v>
      </c>
      <c r="O173" t="str">
        <f>TEXT(Table1[[#This Row],[Date]],"mmm")</f>
        <v>Sept</v>
      </c>
      <c r="P173">
        <f>MONTH(Table1[[#This Row],[Date]])</f>
        <v>9</v>
      </c>
    </row>
    <row r="174" spans="1:16" x14ac:dyDescent="0.25">
      <c r="A174" t="s">
        <v>193</v>
      </c>
      <c r="B174" t="s">
        <v>9</v>
      </c>
      <c r="C174" t="s">
        <v>10</v>
      </c>
      <c r="D174" s="1">
        <v>45606</v>
      </c>
      <c r="E174">
        <v>137924</v>
      </c>
      <c r="F174">
        <v>5091</v>
      </c>
      <c r="G174">
        <v>485</v>
      </c>
      <c r="H174" s="4">
        <v>4780.3100000000004</v>
      </c>
      <c r="I174" s="4">
        <v>45537.67</v>
      </c>
      <c r="J174" s="7">
        <f>Table1[[#This Row],[Clicks]]/Table1[[#This Row],[Impressions]]</f>
        <v>3.6911632493257157E-2</v>
      </c>
      <c r="K174" s="7">
        <f>IFERROR(Table1[[#This Row],[Conversions]]/Table1[[#This Row],[Clicks]],0)</f>
        <v>9.526615596150069E-2</v>
      </c>
      <c r="L174" s="6">
        <f>IF(Table1[[#This Row],[Conversions]]=0,0,Table1[[#This Row],[Ad Spend]]/Table1[[#This Row],[Conversions]])</f>
        <v>9.8563092783505155</v>
      </c>
      <c r="M174" s="8">
        <f>IF(Table1[[#This Row],[Ad Spend]]=0,0,Table1[[#This Row],[Revenue]]/Table1[[#This Row],[Ad Spend]])</f>
        <v>9.5260914041139575</v>
      </c>
      <c r="N174">
        <f>YEAR(Table1[[#This Row],[Date]])</f>
        <v>2024</v>
      </c>
      <c r="O174" t="str">
        <f>TEXT(Table1[[#This Row],[Date]],"mmm")</f>
        <v>Nov</v>
      </c>
      <c r="P174">
        <f>MONTH(Table1[[#This Row],[Date]])</f>
        <v>11</v>
      </c>
    </row>
    <row r="175" spans="1:16" x14ac:dyDescent="0.25">
      <c r="A175" t="s">
        <v>194</v>
      </c>
      <c r="B175" t="s">
        <v>31</v>
      </c>
      <c r="C175" t="s">
        <v>17</v>
      </c>
      <c r="D175" s="1">
        <v>45706</v>
      </c>
      <c r="E175">
        <v>54345</v>
      </c>
      <c r="F175">
        <v>1766</v>
      </c>
      <c r="G175">
        <v>144</v>
      </c>
      <c r="H175" s="4">
        <v>924.13</v>
      </c>
      <c r="I175" s="4">
        <v>3770.98</v>
      </c>
      <c r="J175" s="7">
        <f>Table1[[#This Row],[Clicks]]/Table1[[#This Row],[Impressions]]</f>
        <v>3.2496089796669424E-2</v>
      </c>
      <c r="K175" s="7">
        <f>IFERROR(Table1[[#This Row],[Conversions]]/Table1[[#This Row],[Clicks]],0)</f>
        <v>8.1540203850509627E-2</v>
      </c>
      <c r="L175" s="6">
        <f>IF(Table1[[#This Row],[Conversions]]=0,0,Table1[[#This Row],[Ad Spend]]/Table1[[#This Row],[Conversions]])</f>
        <v>6.4175694444444442</v>
      </c>
      <c r="M175" s="8">
        <f>IF(Table1[[#This Row],[Ad Spend]]=0,0,Table1[[#This Row],[Revenue]]/Table1[[#This Row],[Ad Spend]])</f>
        <v>4.0805730795450854</v>
      </c>
      <c r="N175">
        <f>YEAR(Table1[[#This Row],[Date]])</f>
        <v>2025</v>
      </c>
      <c r="O175" t="str">
        <f>TEXT(Table1[[#This Row],[Date]],"mmm")</f>
        <v>Feb</v>
      </c>
      <c r="P175">
        <f>MONTH(Table1[[#This Row],[Date]])</f>
        <v>2</v>
      </c>
    </row>
    <row r="176" spans="1:16" x14ac:dyDescent="0.25">
      <c r="A176" t="s">
        <v>195</v>
      </c>
      <c r="B176" t="s">
        <v>9</v>
      </c>
      <c r="C176" t="s">
        <v>19</v>
      </c>
      <c r="D176" s="1">
        <v>45657</v>
      </c>
      <c r="E176">
        <v>27106</v>
      </c>
      <c r="F176">
        <v>1228</v>
      </c>
      <c r="G176">
        <v>52</v>
      </c>
      <c r="H176" s="4">
        <v>1389.17</v>
      </c>
      <c r="I176" s="4">
        <v>3316.34</v>
      </c>
      <c r="J176" s="7">
        <f>Table1[[#This Row],[Clicks]]/Table1[[#This Row],[Impressions]]</f>
        <v>4.5303622814137093E-2</v>
      </c>
      <c r="K176" s="7">
        <f>IFERROR(Table1[[#This Row],[Conversions]]/Table1[[#This Row],[Clicks]],0)</f>
        <v>4.2345276872964167E-2</v>
      </c>
      <c r="L176" s="6">
        <f>IF(Table1[[#This Row],[Conversions]]=0,0,Table1[[#This Row],[Ad Spend]]/Table1[[#This Row],[Conversions]])</f>
        <v>26.714807692307694</v>
      </c>
      <c r="M176" s="8">
        <f>IF(Table1[[#This Row],[Ad Spend]]=0,0,Table1[[#This Row],[Revenue]]/Table1[[#This Row],[Ad Spend]])</f>
        <v>2.3872816142012856</v>
      </c>
      <c r="N176">
        <f>YEAR(Table1[[#This Row],[Date]])</f>
        <v>2024</v>
      </c>
      <c r="O176" t="str">
        <f>TEXT(Table1[[#This Row],[Date]],"mmm")</f>
        <v>Dec</v>
      </c>
      <c r="P176">
        <f>MONTH(Table1[[#This Row],[Date]])</f>
        <v>12</v>
      </c>
    </row>
    <row r="177" spans="1:16" x14ac:dyDescent="0.25">
      <c r="A177" t="s">
        <v>196</v>
      </c>
      <c r="B177" t="s">
        <v>41</v>
      </c>
      <c r="C177" t="s">
        <v>12</v>
      </c>
      <c r="D177" s="1">
        <v>45559</v>
      </c>
      <c r="E177">
        <v>46614</v>
      </c>
      <c r="F177">
        <v>1653</v>
      </c>
      <c r="G177">
        <v>230</v>
      </c>
      <c r="H177" s="4">
        <v>2059.6</v>
      </c>
      <c r="I177" s="4">
        <v>22412.69</v>
      </c>
      <c r="J177" s="7">
        <f>Table1[[#This Row],[Clicks]]/Table1[[#This Row],[Impressions]]</f>
        <v>3.5461449349980689E-2</v>
      </c>
      <c r="K177" s="7">
        <f>IFERROR(Table1[[#This Row],[Conversions]]/Table1[[#This Row],[Clicks]],0)</f>
        <v>0.13914095583787053</v>
      </c>
      <c r="L177" s="6">
        <f>IF(Table1[[#This Row],[Conversions]]=0,0,Table1[[#This Row],[Ad Spend]]/Table1[[#This Row],[Conversions]])</f>
        <v>8.9547826086956519</v>
      </c>
      <c r="M177" s="8">
        <f>IF(Table1[[#This Row],[Ad Spend]]=0,0,Table1[[#This Row],[Revenue]]/Table1[[#This Row],[Ad Spend]])</f>
        <v>10.882059623227811</v>
      </c>
      <c r="N177">
        <f>YEAR(Table1[[#This Row],[Date]])</f>
        <v>2024</v>
      </c>
      <c r="O177" t="str">
        <f>TEXT(Table1[[#This Row],[Date]],"mmm")</f>
        <v>Sept</v>
      </c>
      <c r="P177">
        <f>MONTH(Table1[[#This Row],[Date]])</f>
        <v>9</v>
      </c>
    </row>
    <row r="178" spans="1:16" x14ac:dyDescent="0.25">
      <c r="A178" t="s">
        <v>197</v>
      </c>
      <c r="B178" t="s">
        <v>31</v>
      </c>
      <c r="C178" t="s">
        <v>19</v>
      </c>
      <c r="D178" s="1">
        <v>45325</v>
      </c>
      <c r="E178">
        <v>91426</v>
      </c>
      <c r="F178">
        <v>1519</v>
      </c>
      <c r="G178">
        <v>164</v>
      </c>
      <c r="H178" s="4">
        <v>1563.91</v>
      </c>
      <c r="I178" s="4">
        <v>15149.23</v>
      </c>
      <c r="J178" s="7">
        <f>Table1[[#This Row],[Clicks]]/Table1[[#This Row],[Impressions]]</f>
        <v>1.6614529783650165E-2</v>
      </c>
      <c r="K178" s="7">
        <f>IFERROR(Table1[[#This Row],[Conversions]]/Table1[[#This Row],[Clicks]],0)</f>
        <v>0.10796576695194207</v>
      </c>
      <c r="L178" s="6">
        <f>IF(Table1[[#This Row],[Conversions]]=0,0,Table1[[#This Row],[Ad Spend]]/Table1[[#This Row],[Conversions]])</f>
        <v>9.5360365853658546</v>
      </c>
      <c r="M178" s="8">
        <f>IF(Table1[[#This Row],[Ad Spend]]=0,0,Table1[[#This Row],[Revenue]]/Table1[[#This Row],[Ad Spend]])</f>
        <v>9.6867658624856929</v>
      </c>
      <c r="N178">
        <f>YEAR(Table1[[#This Row],[Date]])</f>
        <v>2024</v>
      </c>
      <c r="O178" t="str">
        <f>TEXT(Table1[[#This Row],[Date]],"mmm")</f>
        <v>Feb</v>
      </c>
      <c r="P178">
        <f>MONTH(Table1[[#This Row],[Date]])</f>
        <v>2</v>
      </c>
    </row>
    <row r="179" spans="1:16" x14ac:dyDescent="0.25">
      <c r="A179" t="s">
        <v>198</v>
      </c>
      <c r="B179" t="s">
        <v>16</v>
      </c>
      <c r="C179" t="s">
        <v>19</v>
      </c>
      <c r="D179" s="1">
        <v>45333</v>
      </c>
      <c r="E179">
        <v>42074</v>
      </c>
      <c r="F179">
        <v>3120</v>
      </c>
      <c r="G179">
        <v>188</v>
      </c>
      <c r="H179" s="4">
        <v>3349.06</v>
      </c>
      <c r="I179" s="4">
        <v>16208.14</v>
      </c>
      <c r="J179" s="7">
        <f>Table1[[#This Row],[Clicks]]/Table1[[#This Row],[Impressions]]</f>
        <v>7.4155060132148121E-2</v>
      </c>
      <c r="K179" s="7">
        <f>IFERROR(Table1[[#This Row],[Conversions]]/Table1[[#This Row],[Clicks]],0)</f>
        <v>6.0256410256410257E-2</v>
      </c>
      <c r="L179" s="6">
        <f>IF(Table1[[#This Row],[Conversions]]=0,0,Table1[[#This Row],[Ad Spend]]/Table1[[#This Row],[Conversions]])</f>
        <v>17.814148936170213</v>
      </c>
      <c r="M179" s="8">
        <f>IF(Table1[[#This Row],[Ad Spend]]=0,0,Table1[[#This Row],[Revenue]]/Table1[[#This Row],[Ad Spend]])</f>
        <v>4.8396087260305878</v>
      </c>
      <c r="N179">
        <f>YEAR(Table1[[#This Row],[Date]])</f>
        <v>2024</v>
      </c>
      <c r="O179" t="str">
        <f>TEXT(Table1[[#This Row],[Date]],"mmm")</f>
        <v>Feb</v>
      </c>
      <c r="P179">
        <f>MONTH(Table1[[#This Row],[Date]])</f>
        <v>2</v>
      </c>
    </row>
    <row r="180" spans="1:16" x14ac:dyDescent="0.25">
      <c r="A180" t="s">
        <v>199</v>
      </c>
      <c r="B180" t="s">
        <v>16</v>
      </c>
      <c r="C180" t="s">
        <v>12</v>
      </c>
      <c r="D180" s="1">
        <v>45654</v>
      </c>
      <c r="E180">
        <v>27208</v>
      </c>
      <c r="F180">
        <v>861</v>
      </c>
      <c r="G180">
        <v>59</v>
      </c>
      <c r="H180" s="4">
        <v>3999.98</v>
      </c>
      <c r="I180" s="4">
        <v>5977.79</v>
      </c>
      <c r="J180" s="7">
        <f>Table1[[#This Row],[Clicks]]/Table1[[#This Row],[Impressions]]</f>
        <v>3.1645104381064396E-2</v>
      </c>
      <c r="K180" s="7">
        <f>IFERROR(Table1[[#This Row],[Conversions]]/Table1[[#This Row],[Clicks]],0)</f>
        <v>6.852497096399536E-2</v>
      </c>
      <c r="L180" s="6">
        <f>IF(Table1[[#This Row],[Conversions]]=0,0,Table1[[#This Row],[Ad Spend]]/Table1[[#This Row],[Conversions]])</f>
        <v>67.796271186440677</v>
      </c>
      <c r="M180" s="8">
        <f>IF(Table1[[#This Row],[Ad Spend]]=0,0,Table1[[#This Row],[Revenue]]/Table1[[#This Row],[Ad Spend]])</f>
        <v>1.4944549722748615</v>
      </c>
      <c r="N180">
        <f>YEAR(Table1[[#This Row],[Date]])</f>
        <v>2024</v>
      </c>
      <c r="O180" t="str">
        <f>TEXT(Table1[[#This Row],[Date]],"mmm")</f>
        <v>Dec</v>
      </c>
      <c r="P180">
        <f>MONTH(Table1[[#This Row],[Date]])</f>
        <v>12</v>
      </c>
    </row>
    <row r="181" spans="1:16" x14ac:dyDescent="0.25">
      <c r="A181" t="s">
        <v>200</v>
      </c>
      <c r="B181" t="s">
        <v>9</v>
      </c>
      <c r="C181" t="s">
        <v>17</v>
      </c>
      <c r="D181" s="1">
        <v>45552</v>
      </c>
      <c r="E181">
        <v>99851</v>
      </c>
      <c r="F181">
        <v>1125</v>
      </c>
      <c r="G181">
        <v>67</v>
      </c>
      <c r="H181" s="4">
        <v>4765.6099999999997</v>
      </c>
      <c r="I181" s="4">
        <v>3629.61</v>
      </c>
      <c r="J181" s="7">
        <f>Table1[[#This Row],[Clicks]]/Table1[[#This Row],[Impressions]]</f>
        <v>1.1266787513394959E-2</v>
      </c>
      <c r="K181" s="7">
        <f>IFERROR(Table1[[#This Row],[Conversions]]/Table1[[#This Row],[Clicks]],0)</f>
        <v>5.9555555555555556E-2</v>
      </c>
      <c r="L181" s="6">
        <f>IF(Table1[[#This Row],[Conversions]]=0,0,Table1[[#This Row],[Ad Spend]]/Table1[[#This Row],[Conversions]])</f>
        <v>71.128507462686557</v>
      </c>
      <c r="M181" s="8">
        <f>IF(Table1[[#This Row],[Ad Spend]]=0,0,Table1[[#This Row],[Revenue]]/Table1[[#This Row],[Ad Spend]])</f>
        <v>0.7616254792146232</v>
      </c>
      <c r="N181">
        <f>YEAR(Table1[[#This Row],[Date]])</f>
        <v>2024</v>
      </c>
      <c r="O181" t="str">
        <f>TEXT(Table1[[#This Row],[Date]],"mmm")</f>
        <v>Sept</v>
      </c>
      <c r="P181">
        <f>MONTH(Table1[[#This Row],[Date]])</f>
        <v>9</v>
      </c>
    </row>
    <row r="182" spans="1:16" x14ac:dyDescent="0.25">
      <c r="A182" t="s">
        <v>201</v>
      </c>
      <c r="B182" t="s">
        <v>41</v>
      </c>
      <c r="C182" t="s">
        <v>37</v>
      </c>
      <c r="D182" s="1">
        <v>45407</v>
      </c>
      <c r="E182">
        <v>41061</v>
      </c>
      <c r="F182">
        <v>855</v>
      </c>
      <c r="G182">
        <v>49</v>
      </c>
      <c r="H182" s="4">
        <v>3982.98</v>
      </c>
      <c r="I182" s="4">
        <v>3467.68</v>
      </c>
      <c r="J182" s="7">
        <f>Table1[[#This Row],[Clicks]]/Table1[[#This Row],[Impressions]]</f>
        <v>2.0822678454007454E-2</v>
      </c>
      <c r="K182" s="7">
        <f>IFERROR(Table1[[#This Row],[Conversions]]/Table1[[#This Row],[Clicks]],0)</f>
        <v>5.7309941520467839E-2</v>
      </c>
      <c r="L182" s="6">
        <f>IF(Table1[[#This Row],[Conversions]]=0,0,Table1[[#This Row],[Ad Spend]]/Table1[[#This Row],[Conversions]])</f>
        <v>81.285306122448986</v>
      </c>
      <c r="M182" s="8">
        <f>IF(Table1[[#This Row],[Ad Spend]]=0,0,Table1[[#This Row],[Revenue]]/Table1[[#This Row],[Ad Spend]])</f>
        <v>0.87062450727846985</v>
      </c>
      <c r="N182">
        <f>YEAR(Table1[[#This Row],[Date]])</f>
        <v>2024</v>
      </c>
      <c r="O182" t="str">
        <f>TEXT(Table1[[#This Row],[Date]],"mmm")</f>
        <v>Apr</v>
      </c>
      <c r="P182">
        <f>MONTH(Table1[[#This Row],[Date]])</f>
        <v>4</v>
      </c>
    </row>
    <row r="183" spans="1:16" x14ac:dyDescent="0.25">
      <c r="A183" t="s">
        <v>202</v>
      </c>
      <c r="B183" t="s">
        <v>31</v>
      </c>
      <c r="C183" t="s">
        <v>19</v>
      </c>
      <c r="D183" s="1">
        <v>45684</v>
      </c>
      <c r="E183">
        <v>39353</v>
      </c>
      <c r="F183">
        <v>2038</v>
      </c>
      <c r="G183">
        <v>81</v>
      </c>
      <c r="H183" s="4">
        <v>1068.06</v>
      </c>
      <c r="I183" s="4">
        <v>7232.05</v>
      </c>
      <c r="J183" s="7">
        <f>Table1[[#This Row],[Clicks]]/Table1[[#This Row],[Impressions]]</f>
        <v>5.1787665489289252E-2</v>
      </c>
      <c r="K183" s="7">
        <f>IFERROR(Table1[[#This Row],[Conversions]]/Table1[[#This Row],[Clicks]],0)</f>
        <v>3.9744847890088322E-2</v>
      </c>
      <c r="L183" s="6">
        <f>IF(Table1[[#This Row],[Conversions]]=0,0,Table1[[#This Row],[Ad Spend]]/Table1[[#This Row],[Conversions]])</f>
        <v>13.185925925925925</v>
      </c>
      <c r="M183" s="8">
        <f>IF(Table1[[#This Row],[Ad Spend]]=0,0,Table1[[#This Row],[Revenue]]/Table1[[#This Row],[Ad Spend]])</f>
        <v>6.7712019923974314</v>
      </c>
      <c r="N183">
        <f>YEAR(Table1[[#This Row],[Date]])</f>
        <v>2025</v>
      </c>
      <c r="O183" t="str">
        <f>TEXT(Table1[[#This Row],[Date]],"mmm")</f>
        <v>Jan</v>
      </c>
      <c r="P183">
        <f>MONTH(Table1[[#This Row],[Date]])</f>
        <v>1</v>
      </c>
    </row>
    <row r="184" spans="1:16" x14ac:dyDescent="0.25">
      <c r="A184" t="s">
        <v>203</v>
      </c>
      <c r="B184" t="s">
        <v>16</v>
      </c>
      <c r="C184" t="s">
        <v>17</v>
      </c>
      <c r="D184" s="1">
        <v>45314</v>
      </c>
      <c r="E184">
        <v>112704</v>
      </c>
      <c r="F184">
        <v>4001</v>
      </c>
      <c r="G184">
        <v>454</v>
      </c>
      <c r="H184" s="4">
        <v>4854.03</v>
      </c>
      <c r="I184" s="4">
        <v>36801.03</v>
      </c>
      <c r="J184" s="7">
        <f>Table1[[#This Row],[Clicks]]/Table1[[#This Row],[Impressions]]</f>
        <v>3.5500070982396367E-2</v>
      </c>
      <c r="K184" s="7">
        <f>IFERROR(Table1[[#This Row],[Conversions]]/Table1[[#This Row],[Clicks]],0)</f>
        <v>0.11347163209197701</v>
      </c>
      <c r="L184" s="6">
        <f>IF(Table1[[#This Row],[Conversions]]=0,0,Table1[[#This Row],[Ad Spend]]/Table1[[#This Row],[Conversions]])</f>
        <v>10.691696035242289</v>
      </c>
      <c r="M184" s="8">
        <f>IF(Table1[[#This Row],[Ad Spend]]=0,0,Table1[[#This Row],[Revenue]]/Table1[[#This Row],[Ad Spend]])</f>
        <v>7.5815415232291521</v>
      </c>
      <c r="N184">
        <f>YEAR(Table1[[#This Row],[Date]])</f>
        <v>2024</v>
      </c>
      <c r="O184" t="str">
        <f>TEXT(Table1[[#This Row],[Date]],"mmm")</f>
        <v>Jan</v>
      </c>
      <c r="P184">
        <f>MONTH(Table1[[#This Row],[Date]])</f>
        <v>1</v>
      </c>
    </row>
    <row r="185" spans="1:16" x14ac:dyDescent="0.25">
      <c r="A185" t="s">
        <v>204</v>
      </c>
      <c r="B185" t="s">
        <v>41</v>
      </c>
      <c r="C185" t="s">
        <v>37</v>
      </c>
      <c r="D185" s="1">
        <v>45565</v>
      </c>
      <c r="E185">
        <v>67696</v>
      </c>
      <c r="F185">
        <v>2143</v>
      </c>
      <c r="G185">
        <v>268</v>
      </c>
      <c r="H185" s="4">
        <v>2451.27</v>
      </c>
      <c r="I185" s="4">
        <v>27741.040000000001</v>
      </c>
      <c r="J185" s="7">
        <f>Table1[[#This Row],[Clicks]]/Table1[[#This Row],[Impressions]]</f>
        <v>3.1656227842117704E-2</v>
      </c>
      <c r="K185" s="7">
        <f>IFERROR(Table1[[#This Row],[Conversions]]/Table1[[#This Row],[Clicks]],0)</f>
        <v>0.12505832944470369</v>
      </c>
      <c r="L185" s="6">
        <f>IF(Table1[[#This Row],[Conversions]]=0,0,Table1[[#This Row],[Ad Spend]]/Table1[[#This Row],[Conversions]])</f>
        <v>9.1465298507462691</v>
      </c>
      <c r="M185" s="8">
        <f>IF(Table1[[#This Row],[Ad Spend]]=0,0,Table1[[#This Row],[Revenue]]/Table1[[#This Row],[Ad Spend]])</f>
        <v>11.317007102440776</v>
      </c>
      <c r="N185">
        <f>YEAR(Table1[[#This Row],[Date]])</f>
        <v>2024</v>
      </c>
      <c r="O185" t="str">
        <f>TEXT(Table1[[#This Row],[Date]],"mmm")</f>
        <v>Sept</v>
      </c>
      <c r="P185">
        <f>MONTH(Table1[[#This Row],[Date]])</f>
        <v>9</v>
      </c>
    </row>
    <row r="186" spans="1:16" x14ac:dyDescent="0.25">
      <c r="A186" t="s">
        <v>205</v>
      </c>
      <c r="B186" t="s">
        <v>47</v>
      </c>
      <c r="C186" t="s">
        <v>12</v>
      </c>
      <c r="D186" s="1">
        <v>45517</v>
      </c>
      <c r="E186">
        <v>126026</v>
      </c>
      <c r="F186">
        <v>8048</v>
      </c>
      <c r="G186">
        <v>975</v>
      </c>
      <c r="H186" s="4">
        <v>2613.9499999999998</v>
      </c>
      <c r="I186" s="4">
        <v>60319.43</v>
      </c>
      <c r="J186" s="7">
        <f>Table1[[#This Row],[Clicks]]/Table1[[#This Row],[Impressions]]</f>
        <v>6.3859838446034947E-2</v>
      </c>
      <c r="K186" s="7">
        <f>IFERROR(Table1[[#This Row],[Conversions]]/Table1[[#This Row],[Clicks]],0)</f>
        <v>0.12114811133200795</v>
      </c>
      <c r="L186" s="6">
        <f>IF(Table1[[#This Row],[Conversions]]=0,0,Table1[[#This Row],[Ad Spend]]/Table1[[#This Row],[Conversions]])</f>
        <v>2.6809743589743587</v>
      </c>
      <c r="M186" s="8">
        <f>IF(Table1[[#This Row],[Ad Spend]]=0,0,Table1[[#This Row],[Revenue]]/Table1[[#This Row],[Ad Spend]])</f>
        <v>23.075969318464395</v>
      </c>
      <c r="N186">
        <f>YEAR(Table1[[#This Row],[Date]])</f>
        <v>2024</v>
      </c>
      <c r="O186" t="str">
        <f>TEXT(Table1[[#This Row],[Date]],"mmm")</f>
        <v>Aug</v>
      </c>
      <c r="P186">
        <f>MONTH(Table1[[#This Row],[Date]])</f>
        <v>8</v>
      </c>
    </row>
    <row r="187" spans="1:16" x14ac:dyDescent="0.25">
      <c r="A187" t="s">
        <v>206</v>
      </c>
      <c r="B187" t="s">
        <v>16</v>
      </c>
      <c r="C187" t="s">
        <v>37</v>
      </c>
      <c r="D187" s="1">
        <v>45702</v>
      </c>
      <c r="E187">
        <v>41280</v>
      </c>
      <c r="F187">
        <v>2935</v>
      </c>
      <c r="G187">
        <v>78</v>
      </c>
      <c r="H187" s="4">
        <v>2506.84</v>
      </c>
      <c r="I187" s="4">
        <v>4455.45</v>
      </c>
      <c r="J187" s="7">
        <f>Table1[[#This Row],[Clicks]]/Table1[[#This Row],[Impressions]]</f>
        <v>7.1099806201550389E-2</v>
      </c>
      <c r="K187" s="7">
        <f>IFERROR(Table1[[#This Row],[Conversions]]/Table1[[#This Row],[Clicks]],0)</f>
        <v>2.6575809199318567E-2</v>
      </c>
      <c r="L187" s="6">
        <f>IF(Table1[[#This Row],[Conversions]]=0,0,Table1[[#This Row],[Ad Spend]]/Table1[[#This Row],[Conversions]])</f>
        <v>32.138974358974359</v>
      </c>
      <c r="M187" s="8">
        <f>IF(Table1[[#This Row],[Ad Spend]]=0,0,Table1[[#This Row],[Revenue]]/Table1[[#This Row],[Ad Spend]])</f>
        <v>1.7773172599767035</v>
      </c>
      <c r="N187">
        <f>YEAR(Table1[[#This Row],[Date]])</f>
        <v>2025</v>
      </c>
      <c r="O187" t="str">
        <f>TEXT(Table1[[#This Row],[Date]],"mmm")</f>
        <v>Feb</v>
      </c>
      <c r="P187">
        <f>MONTH(Table1[[#This Row],[Date]])</f>
        <v>2</v>
      </c>
    </row>
    <row r="188" spans="1:16" x14ac:dyDescent="0.25">
      <c r="A188" t="s">
        <v>207</v>
      </c>
      <c r="B188" t="s">
        <v>9</v>
      </c>
      <c r="C188" t="s">
        <v>12</v>
      </c>
      <c r="D188" s="1">
        <v>45355</v>
      </c>
      <c r="E188">
        <v>79727</v>
      </c>
      <c r="F188">
        <v>1265</v>
      </c>
      <c r="G188">
        <v>51</v>
      </c>
      <c r="H188" s="4">
        <v>2356.73</v>
      </c>
      <c r="I188" s="4">
        <v>3638.1</v>
      </c>
      <c r="J188" s="7">
        <f>Table1[[#This Row],[Clicks]]/Table1[[#This Row],[Impressions]]</f>
        <v>1.5866644925809324E-2</v>
      </c>
      <c r="K188" s="7">
        <f>IFERROR(Table1[[#This Row],[Conversions]]/Table1[[#This Row],[Clicks]],0)</f>
        <v>4.0316205533596841E-2</v>
      </c>
      <c r="L188" s="6">
        <f>IF(Table1[[#This Row],[Conversions]]=0,0,Table1[[#This Row],[Ad Spend]]/Table1[[#This Row],[Conversions]])</f>
        <v>46.210392156862746</v>
      </c>
      <c r="M188" s="8">
        <f>IF(Table1[[#This Row],[Ad Spend]]=0,0,Table1[[#This Row],[Revenue]]/Table1[[#This Row],[Ad Spend]])</f>
        <v>1.5437067462119123</v>
      </c>
      <c r="N188">
        <f>YEAR(Table1[[#This Row],[Date]])</f>
        <v>2024</v>
      </c>
      <c r="O188" t="str">
        <f>TEXT(Table1[[#This Row],[Date]],"mmm")</f>
        <v>Mar</v>
      </c>
      <c r="P188">
        <f>MONTH(Table1[[#This Row],[Date]])</f>
        <v>3</v>
      </c>
    </row>
    <row r="189" spans="1:16" x14ac:dyDescent="0.25">
      <c r="A189" t="s">
        <v>208</v>
      </c>
      <c r="B189" t="s">
        <v>21</v>
      </c>
      <c r="C189" t="s">
        <v>10</v>
      </c>
      <c r="D189" s="1">
        <v>45405</v>
      </c>
      <c r="E189">
        <v>123260</v>
      </c>
      <c r="F189">
        <v>8865</v>
      </c>
      <c r="G189">
        <v>1249</v>
      </c>
      <c r="H189" s="4">
        <v>2191.5100000000002</v>
      </c>
      <c r="I189" s="4">
        <v>74497.100000000006</v>
      </c>
      <c r="J189" s="7">
        <f>Table1[[#This Row],[Clicks]]/Table1[[#This Row],[Impressions]]</f>
        <v>7.1921142300827523E-2</v>
      </c>
      <c r="K189" s="7">
        <f>IFERROR(Table1[[#This Row],[Conversions]]/Table1[[#This Row],[Clicks]],0)</f>
        <v>0.14089114495205865</v>
      </c>
      <c r="L189" s="6">
        <f>IF(Table1[[#This Row],[Conversions]]=0,0,Table1[[#This Row],[Ad Spend]]/Table1[[#This Row],[Conversions]])</f>
        <v>1.7546116893514814</v>
      </c>
      <c r="M189" s="8">
        <f>IF(Table1[[#This Row],[Ad Spend]]=0,0,Table1[[#This Row],[Revenue]]/Table1[[#This Row],[Ad Spend]])</f>
        <v>33.993502197115234</v>
      </c>
      <c r="N189">
        <f>YEAR(Table1[[#This Row],[Date]])</f>
        <v>2024</v>
      </c>
      <c r="O189" t="str">
        <f>TEXT(Table1[[#This Row],[Date]],"mmm")</f>
        <v>Apr</v>
      </c>
      <c r="P189">
        <f>MONTH(Table1[[#This Row],[Date]])</f>
        <v>4</v>
      </c>
    </row>
    <row r="190" spans="1:16" x14ac:dyDescent="0.25">
      <c r="A190" t="s">
        <v>209</v>
      </c>
      <c r="B190" t="s">
        <v>47</v>
      </c>
      <c r="C190" t="s">
        <v>37</v>
      </c>
      <c r="D190" s="1">
        <v>45489</v>
      </c>
      <c r="E190">
        <v>26392</v>
      </c>
      <c r="F190">
        <v>956</v>
      </c>
      <c r="G190">
        <v>22</v>
      </c>
      <c r="H190" s="4">
        <v>4667.96</v>
      </c>
      <c r="I190" s="4">
        <v>2286.19</v>
      </c>
      <c r="J190" s="7">
        <f>Table1[[#This Row],[Clicks]]/Table1[[#This Row],[Impressions]]</f>
        <v>3.6223097908457111E-2</v>
      </c>
      <c r="K190" s="7">
        <f>IFERROR(Table1[[#This Row],[Conversions]]/Table1[[#This Row],[Clicks]],0)</f>
        <v>2.3012552301255231E-2</v>
      </c>
      <c r="L190" s="6">
        <f>IF(Table1[[#This Row],[Conversions]]=0,0,Table1[[#This Row],[Ad Spend]]/Table1[[#This Row],[Conversions]])</f>
        <v>212.18</v>
      </c>
      <c r="M190" s="8">
        <f>IF(Table1[[#This Row],[Ad Spend]]=0,0,Table1[[#This Row],[Revenue]]/Table1[[#This Row],[Ad Spend]])</f>
        <v>0.4897621230687495</v>
      </c>
      <c r="N190">
        <f>YEAR(Table1[[#This Row],[Date]])</f>
        <v>2024</v>
      </c>
      <c r="O190" t="str">
        <f>TEXT(Table1[[#This Row],[Date]],"mmm")</f>
        <v>Jul</v>
      </c>
      <c r="P190">
        <f>MONTH(Table1[[#This Row],[Date]])</f>
        <v>7</v>
      </c>
    </row>
    <row r="191" spans="1:16" x14ac:dyDescent="0.25">
      <c r="A191" t="s">
        <v>210</v>
      </c>
      <c r="B191" t="s">
        <v>47</v>
      </c>
      <c r="C191" t="s">
        <v>37</v>
      </c>
      <c r="D191" s="1">
        <v>45362</v>
      </c>
      <c r="E191">
        <v>15040</v>
      </c>
      <c r="F191">
        <v>452</v>
      </c>
      <c r="G191">
        <v>57</v>
      </c>
      <c r="H191" s="4">
        <v>3541.15</v>
      </c>
      <c r="I191" s="4">
        <v>1931.12</v>
      </c>
      <c r="J191" s="7">
        <f>Table1[[#This Row],[Clicks]]/Table1[[#This Row],[Impressions]]</f>
        <v>3.00531914893617E-2</v>
      </c>
      <c r="K191" s="7">
        <f>IFERROR(Table1[[#This Row],[Conversions]]/Table1[[#This Row],[Clicks]],0)</f>
        <v>0.12610619469026549</v>
      </c>
      <c r="L191" s="6">
        <f>IF(Table1[[#This Row],[Conversions]]=0,0,Table1[[#This Row],[Ad Spend]]/Table1[[#This Row],[Conversions]])</f>
        <v>62.125438596491229</v>
      </c>
      <c r="M191" s="8">
        <f>IF(Table1[[#This Row],[Ad Spend]]=0,0,Table1[[#This Row],[Revenue]]/Table1[[#This Row],[Ad Spend]])</f>
        <v>0.54533696680456911</v>
      </c>
      <c r="N191">
        <f>YEAR(Table1[[#This Row],[Date]])</f>
        <v>2024</v>
      </c>
      <c r="O191" t="str">
        <f>TEXT(Table1[[#This Row],[Date]],"mmm")</f>
        <v>Mar</v>
      </c>
      <c r="P191">
        <f>MONTH(Table1[[#This Row],[Date]])</f>
        <v>3</v>
      </c>
    </row>
    <row r="192" spans="1:16" x14ac:dyDescent="0.25">
      <c r="A192" t="s">
        <v>211</v>
      </c>
      <c r="B192" t="s">
        <v>41</v>
      </c>
      <c r="C192" t="s">
        <v>17</v>
      </c>
      <c r="D192" s="1">
        <v>45607</v>
      </c>
      <c r="E192">
        <v>6376</v>
      </c>
      <c r="F192">
        <v>468</v>
      </c>
      <c r="G192">
        <v>10</v>
      </c>
      <c r="H192" s="4">
        <v>1235.1400000000001</v>
      </c>
      <c r="I192" s="4">
        <v>349.52</v>
      </c>
      <c r="J192" s="7">
        <f>Table1[[#This Row],[Clicks]]/Table1[[#This Row],[Impressions]]</f>
        <v>7.3400250941028852E-2</v>
      </c>
      <c r="K192" s="7">
        <f>IFERROR(Table1[[#This Row],[Conversions]]/Table1[[#This Row],[Clicks]],0)</f>
        <v>2.1367521367521368E-2</v>
      </c>
      <c r="L192" s="6">
        <f>IF(Table1[[#This Row],[Conversions]]=0,0,Table1[[#This Row],[Ad Spend]]/Table1[[#This Row],[Conversions]])</f>
        <v>123.51400000000001</v>
      </c>
      <c r="M192" s="8">
        <f>IF(Table1[[#This Row],[Ad Spend]]=0,0,Table1[[#This Row],[Revenue]]/Table1[[#This Row],[Ad Spend]])</f>
        <v>0.28298006703693507</v>
      </c>
      <c r="N192">
        <f>YEAR(Table1[[#This Row],[Date]])</f>
        <v>2024</v>
      </c>
      <c r="O192" t="str">
        <f>TEXT(Table1[[#This Row],[Date]],"mmm")</f>
        <v>Nov</v>
      </c>
      <c r="P192">
        <f>MONTH(Table1[[#This Row],[Date]])</f>
        <v>11</v>
      </c>
    </row>
    <row r="193" spans="1:16" x14ac:dyDescent="0.25">
      <c r="A193" t="s">
        <v>212</v>
      </c>
      <c r="B193" t="s">
        <v>21</v>
      </c>
      <c r="C193" t="s">
        <v>10</v>
      </c>
      <c r="D193" s="1">
        <v>45689</v>
      </c>
      <c r="E193">
        <v>80524</v>
      </c>
      <c r="F193">
        <v>2144</v>
      </c>
      <c r="G193">
        <v>76</v>
      </c>
      <c r="H193" s="4">
        <v>1344.51</v>
      </c>
      <c r="I193" s="4">
        <v>6376.03</v>
      </c>
      <c r="J193" s="7">
        <f>Table1[[#This Row],[Clicks]]/Table1[[#This Row],[Impressions]]</f>
        <v>2.6625602304902886E-2</v>
      </c>
      <c r="K193" s="7">
        <f>IFERROR(Table1[[#This Row],[Conversions]]/Table1[[#This Row],[Clicks]],0)</f>
        <v>3.5447761194029849E-2</v>
      </c>
      <c r="L193" s="6">
        <f>IF(Table1[[#This Row],[Conversions]]=0,0,Table1[[#This Row],[Ad Spend]]/Table1[[#This Row],[Conversions]])</f>
        <v>17.69092105263158</v>
      </c>
      <c r="M193" s="8">
        <f>IF(Table1[[#This Row],[Ad Spend]]=0,0,Table1[[#This Row],[Revenue]]/Table1[[#This Row],[Ad Spend]])</f>
        <v>4.7422704182192765</v>
      </c>
      <c r="N193">
        <f>YEAR(Table1[[#This Row],[Date]])</f>
        <v>2025</v>
      </c>
      <c r="O193" t="str">
        <f>TEXT(Table1[[#This Row],[Date]],"mmm")</f>
        <v>Feb</v>
      </c>
      <c r="P193">
        <f>MONTH(Table1[[#This Row],[Date]])</f>
        <v>2</v>
      </c>
    </row>
    <row r="194" spans="1:16" x14ac:dyDescent="0.25">
      <c r="A194" t="s">
        <v>213</v>
      </c>
      <c r="B194" t="s">
        <v>41</v>
      </c>
      <c r="C194" t="s">
        <v>10</v>
      </c>
      <c r="D194" s="1">
        <v>45348</v>
      </c>
      <c r="E194">
        <v>136027</v>
      </c>
      <c r="F194">
        <v>7042</v>
      </c>
      <c r="G194">
        <v>155</v>
      </c>
      <c r="H194" s="4">
        <v>2673.8</v>
      </c>
      <c r="I194" s="4">
        <v>6850.04</v>
      </c>
      <c r="J194" s="7">
        <f>Table1[[#This Row],[Clicks]]/Table1[[#This Row],[Impressions]]</f>
        <v>5.1769134068971601E-2</v>
      </c>
      <c r="K194" s="7">
        <f>IFERROR(Table1[[#This Row],[Conversions]]/Table1[[#This Row],[Clicks]],0)</f>
        <v>2.2010792388525987E-2</v>
      </c>
      <c r="L194" s="6">
        <f>IF(Table1[[#This Row],[Conversions]]=0,0,Table1[[#This Row],[Ad Spend]]/Table1[[#This Row],[Conversions]])</f>
        <v>17.250322580645161</v>
      </c>
      <c r="M194" s="8">
        <f>IF(Table1[[#This Row],[Ad Spend]]=0,0,Table1[[#This Row],[Revenue]]/Table1[[#This Row],[Ad Spend]])</f>
        <v>2.561911885705737</v>
      </c>
      <c r="N194">
        <f>YEAR(Table1[[#This Row],[Date]])</f>
        <v>2024</v>
      </c>
      <c r="O194" t="str">
        <f>TEXT(Table1[[#This Row],[Date]],"mmm")</f>
        <v>Feb</v>
      </c>
      <c r="P194">
        <f>MONTH(Table1[[#This Row],[Date]])</f>
        <v>2</v>
      </c>
    </row>
    <row r="195" spans="1:16" x14ac:dyDescent="0.25">
      <c r="A195" t="s">
        <v>214</v>
      </c>
      <c r="B195" t="s">
        <v>16</v>
      </c>
      <c r="C195" t="s">
        <v>19</v>
      </c>
      <c r="D195" s="1">
        <v>45511</v>
      </c>
      <c r="E195">
        <v>5410</v>
      </c>
      <c r="F195">
        <v>286</v>
      </c>
      <c r="G195">
        <v>14</v>
      </c>
      <c r="H195" s="4">
        <v>2199.52</v>
      </c>
      <c r="I195" s="4">
        <v>1210.1199999999999</v>
      </c>
      <c r="J195" s="7">
        <f>Table1[[#This Row],[Clicks]]/Table1[[#This Row],[Impressions]]</f>
        <v>5.2865064695009241E-2</v>
      </c>
      <c r="K195" s="7">
        <f>IFERROR(Table1[[#This Row],[Conversions]]/Table1[[#This Row],[Clicks]],0)</f>
        <v>4.8951048951048952E-2</v>
      </c>
      <c r="L195" s="6">
        <f>IF(Table1[[#This Row],[Conversions]]=0,0,Table1[[#This Row],[Ad Spend]]/Table1[[#This Row],[Conversions]])</f>
        <v>157.10857142857142</v>
      </c>
      <c r="M195" s="8">
        <f>IF(Table1[[#This Row],[Ad Spend]]=0,0,Table1[[#This Row],[Revenue]]/Table1[[#This Row],[Ad Spend]])</f>
        <v>0.55017458354550075</v>
      </c>
      <c r="N195">
        <f>YEAR(Table1[[#This Row],[Date]])</f>
        <v>2024</v>
      </c>
      <c r="O195" t="str">
        <f>TEXT(Table1[[#This Row],[Date]],"mmm")</f>
        <v>Aug</v>
      </c>
      <c r="P195">
        <f>MONTH(Table1[[#This Row],[Date]])</f>
        <v>8</v>
      </c>
    </row>
    <row r="196" spans="1:16" x14ac:dyDescent="0.25">
      <c r="A196" t="s">
        <v>215</v>
      </c>
      <c r="B196" t="s">
        <v>9</v>
      </c>
      <c r="C196" t="s">
        <v>12</v>
      </c>
      <c r="D196" s="1">
        <v>45476</v>
      </c>
      <c r="E196">
        <v>22741</v>
      </c>
      <c r="F196">
        <v>1745</v>
      </c>
      <c r="G196">
        <v>158</v>
      </c>
      <c r="H196" s="4">
        <v>3974.78</v>
      </c>
      <c r="I196" s="4">
        <v>11180.44</v>
      </c>
      <c r="J196" s="7">
        <f>Table1[[#This Row],[Clicks]]/Table1[[#This Row],[Impressions]]</f>
        <v>7.6733652873664307E-2</v>
      </c>
      <c r="K196" s="7">
        <f>IFERROR(Table1[[#This Row],[Conversions]]/Table1[[#This Row],[Clicks]],0)</f>
        <v>9.0544412607449859E-2</v>
      </c>
      <c r="L196" s="6">
        <f>IF(Table1[[#This Row],[Conversions]]=0,0,Table1[[#This Row],[Ad Spend]]/Table1[[#This Row],[Conversions]])</f>
        <v>25.156835443037977</v>
      </c>
      <c r="M196" s="8">
        <f>IF(Table1[[#This Row],[Ad Spend]]=0,0,Table1[[#This Row],[Revenue]]/Table1[[#This Row],[Ad Spend]])</f>
        <v>2.8128449876471149</v>
      </c>
      <c r="N196">
        <f>YEAR(Table1[[#This Row],[Date]])</f>
        <v>2024</v>
      </c>
      <c r="O196" t="str">
        <f>TEXT(Table1[[#This Row],[Date]],"mmm")</f>
        <v>Jul</v>
      </c>
      <c r="P196">
        <f>MONTH(Table1[[#This Row],[Date]])</f>
        <v>7</v>
      </c>
    </row>
    <row r="197" spans="1:16" x14ac:dyDescent="0.25">
      <c r="A197" t="s">
        <v>216</v>
      </c>
      <c r="B197" t="s">
        <v>31</v>
      </c>
      <c r="C197" t="s">
        <v>17</v>
      </c>
      <c r="D197" s="1">
        <v>45532</v>
      </c>
      <c r="E197">
        <v>16412</v>
      </c>
      <c r="F197">
        <v>894</v>
      </c>
      <c r="G197">
        <v>131</v>
      </c>
      <c r="H197" s="4">
        <v>1417.52</v>
      </c>
      <c r="I197" s="4">
        <v>2832.77</v>
      </c>
      <c r="J197" s="7">
        <f>Table1[[#This Row],[Clicks]]/Table1[[#This Row],[Impressions]]</f>
        <v>5.4472337314160367E-2</v>
      </c>
      <c r="K197" s="7">
        <f>IFERROR(Table1[[#This Row],[Conversions]]/Table1[[#This Row],[Clicks]],0)</f>
        <v>0.1465324384787472</v>
      </c>
      <c r="L197" s="6">
        <f>IF(Table1[[#This Row],[Conversions]]=0,0,Table1[[#This Row],[Ad Spend]]/Table1[[#This Row],[Conversions]])</f>
        <v>10.820763358778626</v>
      </c>
      <c r="M197" s="8">
        <f>IF(Table1[[#This Row],[Ad Spend]]=0,0,Table1[[#This Row],[Revenue]]/Table1[[#This Row],[Ad Spend]])</f>
        <v>1.9983986116598003</v>
      </c>
      <c r="N197">
        <f>YEAR(Table1[[#This Row],[Date]])</f>
        <v>2024</v>
      </c>
      <c r="O197" t="str">
        <f>TEXT(Table1[[#This Row],[Date]],"mmm")</f>
        <v>Aug</v>
      </c>
      <c r="P197">
        <f>MONTH(Table1[[#This Row],[Date]])</f>
        <v>8</v>
      </c>
    </row>
    <row r="198" spans="1:16" x14ac:dyDescent="0.25">
      <c r="A198" t="s">
        <v>217</v>
      </c>
      <c r="B198" t="s">
        <v>9</v>
      </c>
      <c r="C198" t="s">
        <v>19</v>
      </c>
      <c r="D198" s="1">
        <v>45415</v>
      </c>
      <c r="E198">
        <v>32174</v>
      </c>
      <c r="F198">
        <v>2059</v>
      </c>
      <c r="G198">
        <v>237</v>
      </c>
      <c r="H198" s="4">
        <v>1796.09</v>
      </c>
      <c r="I198" s="4">
        <v>5790.76</v>
      </c>
      <c r="J198" s="7">
        <f>Table1[[#This Row],[Clicks]]/Table1[[#This Row],[Impressions]]</f>
        <v>6.3995772984397334E-2</v>
      </c>
      <c r="K198" s="7">
        <f>IFERROR(Table1[[#This Row],[Conversions]]/Table1[[#This Row],[Clicks]],0)</f>
        <v>0.11510441962117533</v>
      </c>
      <c r="L198" s="6">
        <f>IF(Table1[[#This Row],[Conversions]]=0,0,Table1[[#This Row],[Ad Spend]]/Table1[[#This Row],[Conversions]])</f>
        <v>7.5784388185654006</v>
      </c>
      <c r="M198" s="8">
        <f>IF(Table1[[#This Row],[Ad Spend]]=0,0,Table1[[#This Row],[Revenue]]/Table1[[#This Row],[Ad Spend]])</f>
        <v>3.2240923339030898</v>
      </c>
      <c r="N198">
        <f>YEAR(Table1[[#This Row],[Date]])</f>
        <v>2024</v>
      </c>
      <c r="O198" t="str">
        <f>TEXT(Table1[[#This Row],[Date]],"mmm")</f>
        <v>May</v>
      </c>
      <c r="P198">
        <f>MONTH(Table1[[#This Row],[Date]])</f>
        <v>5</v>
      </c>
    </row>
    <row r="199" spans="1:16" x14ac:dyDescent="0.25">
      <c r="A199" t="s">
        <v>218</v>
      </c>
      <c r="B199" t="s">
        <v>47</v>
      </c>
      <c r="C199" t="s">
        <v>37</v>
      </c>
      <c r="D199" s="1">
        <v>45717</v>
      </c>
      <c r="E199">
        <v>126798</v>
      </c>
      <c r="F199">
        <v>9973</v>
      </c>
      <c r="G199">
        <v>819</v>
      </c>
      <c r="H199" s="4">
        <v>1074.93</v>
      </c>
      <c r="I199" s="4">
        <v>27424.43</v>
      </c>
      <c r="J199" s="7">
        <f>Table1[[#This Row],[Clicks]]/Table1[[#This Row],[Impressions]]</f>
        <v>7.865266013659522E-2</v>
      </c>
      <c r="K199" s="7">
        <f>IFERROR(Table1[[#This Row],[Conversions]]/Table1[[#This Row],[Clicks]],0)</f>
        <v>8.2121728667401986E-2</v>
      </c>
      <c r="L199" s="6">
        <f>IF(Table1[[#This Row],[Conversions]]=0,0,Table1[[#This Row],[Ad Spend]]/Table1[[#This Row],[Conversions]])</f>
        <v>1.3124908424908426</v>
      </c>
      <c r="M199" s="8">
        <f>IF(Table1[[#This Row],[Ad Spend]]=0,0,Table1[[#This Row],[Revenue]]/Table1[[#This Row],[Ad Spend]])</f>
        <v>25.512758970351555</v>
      </c>
      <c r="N199">
        <f>YEAR(Table1[[#This Row],[Date]])</f>
        <v>2025</v>
      </c>
      <c r="O199" t="str">
        <f>TEXT(Table1[[#This Row],[Date]],"mmm")</f>
        <v>Mar</v>
      </c>
      <c r="P199">
        <f>MONTH(Table1[[#This Row],[Date]])</f>
        <v>3</v>
      </c>
    </row>
    <row r="200" spans="1:16" x14ac:dyDescent="0.25">
      <c r="A200" t="s">
        <v>219</v>
      </c>
      <c r="B200" t="s">
        <v>41</v>
      </c>
      <c r="C200" t="s">
        <v>10</v>
      </c>
      <c r="D200" s="1">
        <v>45442</v>
      </c>
      <c r="E200">
        <v>57845</v>
      </c>
      <c r="F200">
        <v>755</v>
      </c>
      <c r="G200">
        <v>34</v>
      </c>
      <c r="H200" s="4">
        <v>401.15</v>
      </c>
      <c r="I200" s="4">
        <v>3853.46</v>
      </c>
      <c r="J200" s="7">
        <f>Table1[[#This Row],[Clicks]]/Table1[[#This Row],[Impressions]]</f>
        <v>1.3052122050306855E-2</v>
      </c>
      <c r="K200" s="7">
        <f>IFERROR(Table1[[#This Row],[Conversions]]/Table1[[#This Row],[Clicks]],0)</f>
        <v>4.5033112582781455E-2</v>
      </c>
      <c r="L200" s="6">
        <f>IF(Table1[[#This Row],[Conversions]]=0,0,Table1[[#This Row],[Ad Spend]]/Table1[[#This Row],[Conversions]])</f>
        <v>11.798529411764704</v>
      </c>
      <c r="M200" s="8">
        <f>IF(Table1[[#This Row],[Ad Spend]]=0,0,Table1[[#This Row],[Revenue]]/Table1[[#This Row],[Ad Spend]])</f>
        <v>9.6060326561136744</v>
      </c>
      <c r="N200">
        <f>YEAR(Table1[[#This Row],[Date]])</f>
        <v>2024</v>
      </c>
      <c r="O200" t="str">
        <f>TEXT(Table1[[#This Row],[Date]],"mmm")</f>
        <v>May</v>
      </c>
      <c r="P200">
        <f>MONTH(Table1[[#This Row],[Date]])</f>
        <v>5</v>
      </c>
    </row>
    <row r="201" spans="1:16" x14ac:dyDescent="0.25">
      <c r="A201" t="s">
        <v>220</v>
      </c>
      <c r="B201" t="s">
        <v>21</v>
      </c>
      <c r="C201" t="s">
        <v>12</v>
      </c>
      <c r="D201" s="1">
        <v>45534</v>
      </c>
      <c r="E201">
        <v>71404</v>
      </c>
      <c r="F201">
        <v>897</v>
      </c>
      <c r="G201">
        <v>93</v>
      </c>
      <c r="H201" s="4">
        <v>1573.33</v>
      </c>
      <c r="I201" s="4">
        <v>9877.89</v>
      </c>
      <c r="J201" s="7">
        <f>Table1[[#This Row],[Clicks]]/Table1[[#This Row],[Impressions]]</f>
        <v>1.256232143857487E-2</v>
      </c>
      <c r="K201" s="7">
        <f>IFERROR(Table1[[#This Row],[Conversions]]/Table1[[#This Row],[Clicks]],0)</f>
        <v>0.10367892976588629</v>
      </c>
      <c r="L201" s="6">
        <f>IF(Table1[[#This Row],[Conversions]]=0,0,Table1[[#This Row],[Ad Spend]]/Table1[[#This Row],[Conversions]])</f>
        <v>16.917526881720431</v>
      </c>
      <c r="M201" s="8">
        <f>IF(Table1[[#This Row],[Ad Spend]]=0,0,Table1[[#This Row],[Revenue]]/Table1[[#This Row],[Ad Spend]])</f>
        <v>6.2783332168076624</v>
      </c>
      <c r="N201">
        <f>YEAR(Table1[[#This Row],[Date]])</f>
        <v>2024</v>
      </c>
      <c r="O201" t="str">
        <f>TEXT(Table1[[#This Row],[Date]],"mmm")</f>
        <v>Aug</v>
      </c>
      <c r="P201">
        <f>MONTH(Table1[[#This Row],[Date]])</f>
        <v>8</v>
      </c>
    </row>
    <row r="202" spans="1:16" x14ac:dyDescent="0.25">
      <c r="A202" t="s">
        <v>221</v>
      </c>
      <c r="B202" t="s">
        <v>31</v>
      </c>
      <c r="C202" t="s">
        <v>19</v>
      </c>
      <c r="D202" s="1">
        <v>45431</v>
      </c>
      <c r="E202">
        <v>37630</v>
      </c>
      <c r="F202">
        <v>2481</v>
      </c>
      <c r="G202">
        <v>190</v>
      </c>
      <c r="H202" s="4">
        <v>2120.1</v>
      </c>
      <c r="I202" s="4">
        <v>12155</v>
      </c>
      <c r="J202" s="7">
        <f>Table1[[#This Row],[Clicks]]/Table1[[#This Row],[Impressions]]</f>
        <v>6.5931437682699975E-2</v>
      </c>
      <c r="K202" s="7">
        <f>IFERROR(Table1[[#This Row],[Conversions]]/Table1[[#This Row],[Clicks]],0)</f>
        <v>7.6582023377670297E-2</v>
      </c>
      <c r="L202" s="6">
        <f>IF(Table1[[#This Row],[Conversions]]=0,0,Table1[[#This Row],[Ad Spend]]/Table1[[#This Row],[Conversions]])</f>
        <v>11.158421052631578</v>
      </c>
      <c r="M202" s="8">
        <f>IF(Table1[[#This Row],[Ad Spend]]=0,0,Table1[[#This Row],[Revenue]]/Table1[[#This Row],[Ad Spend]])</f>
        <v>5.7332201311258908</v>
      </c>
      <c r="N202">
        <f>YEAR(Table1[[#This Row],[Date]])</f>
        <v>2024</v>
      </c>
      <c r="O202" t="str">
        <f>TEXT(Table1[[#This Row],[Date]],"mmm")</f>
        <v>May</v>
      </c>
      <c r="P202">
        <f>MONTH(Table1[[#This Row],[Date]])</f>
        <v>5</v>
      </c>
    </row>
    <row r="203" spans="1:16" x14ac:dyDescent="0.25">
      <c r="A203" t="s">
        <v>222</v>
      </c>
      <c r="B203" t="s">
        <v>21</v>
      </c>
      <c r="C203" t="s">
        <v>19</v>
      </c>
      <c r="D203" s="1">
        <v>45387</v>
      </c>
      <c r="E203">
        <v>135076</v>
      </c>
      <c r="F203">
        <v>7894</v>
      </c>
      <c r="G203">
        <v>534</v>
      </c>
      <c r="H203" s="4">
        <v>4027</v>
      </c>
      <c r="I203" s="4">
        <v>24922.89</v>
      </c>
      <c r="J203" s="7">
        <f>Table1[[#This Row],[Clicks]]/Table1[[#This Row],[Impressions]]</f>
        <v>5.844117385768012E-2</v>
      </c>
      <c r="K203" s="7">
        <f>IFERROR(Table1[[#This Row],[Conversions]]/Table1[[#This Row],[Clicks]],0)</f>
        <v>6.7646313655941218E-2</v>
      </c>
      <c r="L203" s="6">
        <f>IF(Table1[[#This Row],[Conversions]]=0,0,Table1[[#This Row],[Ad Spend]]/Table1[[#This Row],[Conversions]])</f>
        <v>7.5411985018726595</v>
      </c>
      <c r="M203" s="8">
        <f>IF(Table1[[#This Row],[Ad Spend]]=0,0,Table1[[#This Row],[Revenue]]/Table1[[#This Row],[Ad Spend]])</f>
        <v>6.1889471070275635</v>
      </c>
      <c r="N203">
        <f>YEAR(Table1[[#This Row],[Date]])</f>
        <v>2024</v>
      </c>
      <c r="O203" t="str">
        <f>TEXT(Table1[[#This Row],[Date]],"mmm")</f>
        <v>Apr</v>
      </c>
      <c r="P203">
        <f>MONTH(Table1[[#This Row],[Date]])</f>
        <v>4</v>
      </c>
    </row>
    <row r="204" spans="1:16" x14ac:dyDescent="0.25">
      <c r="A204" t="s">
        <v>223</v>
      </c>
      <c r="B204" t="s">
        <v>9</v>
      </c>
      <c r="C204" t="s">
        <v>17</v>
      </c>
      <c r="D204" s="1">
        <v>45332</v>
      </c>
      <c r="E204">
        <v>117881</v>
      </c>
      <c r="F204">
        <v>6150</v>
      </c>
      <c r="G204">
        <v>780</v>
      </c>
      <c r="H204" s="4">
        <v>2818.28</v>
      </c>
      <c r="I204" s="4">
        <v>40654.49</v>
      </c>
      <c r="J204" s="7">
        <f>Table1[[#This Row],[Clicks]]/Table1[[#This Row],[Impressions]]</f>
        <v>5.2171257454551624E-2</v>
      </c>
      <c r="K204" s="7">
        <f>IFERROR(Table1[[#This Row],[Conversions]]/Table1[[#This Row],[Clicks]],0)</f>
        <v>0.12682926829268293</v>
      </c>
      <c r="L204" s="6">
        <f>IF(Table1[[#This Row],[Conversions]]=0,0,Table1[[#This Row],[Ad Spend]]/Table1[[#This Row],[Conversions]])</f>
        <v>3.6131794871794876</v>
      </c>
      <c r="M204" s="8">
        <f>IF(Table1[[#This Row],[Ad Spend]]=0,0,Table1[[#This Row],[Revenue]]/Table1[[#This Row],[Ad Spend]])</f>
        <v>14.425284215904734</v>
      </c>
      <c r="N204">
        <f>YEAR(Table1[[#This Row],[Date]])</f>
        <v>2024</v>
      </c>
      <c r="O204" t="str">
        <f>TEXT(Table1[[#This Row],[Date]],"mmm")</f>
        <v>Feb</v>
      </c>
      <c r="P204">
        <f>MONTH(Table1[[#This Row],[Date]])</f>
        <v>2</v>
      </c>
    </row>
    <row r="205" spans="1:16" x14ac:dyDescent="0.25">
      <c r="A205" t="s">
        <v>224</v>
      </c>
      <c r="B205" t="s">
        <v>9</v>
      </c>
      <c r="C205" t="s">
        <v>19</v>
      </c>
      <c r="D205" s="1">
        <v>45630</v>
      </c>
      <c r="E205">
        <v>82500</v>
      </c>
      <c r="F205">
        <v>2595</v>
      </c>
      <c r="G205">
        <v>255</v>
      </c>
      <c r="H205" s="4">
        <v>2245.36</v>
      </c>
      <c r="I205" s="4">
        <v>22689</v>
      </c>
      <c r="J205" s="7">
        <f>Table1[[#This Row],[Clicks]]/Table1[[#This Row],[Impressions]]</f>
        <v>3.1454545454545457E-2</v>
      </c>
      <c r="K205" s="7">
        <f>IFERROR(Table1[[#This Row],[Conversions]]/Table1[[#This Row],[Clicks]],0)</f>
        <v>9.8265895953757232E-2</v>
      </c>
      <c r="L205" s="6">
        <f>IF(Table1[[#This Row],[Conversions]]=0,0,Table1[[#This Row],[Ad Spend]]/Table1[[#This Row],[Conversions]])</f>
        <v>8.8053333333333335</v>
      </c>
      <c r="M205" s="8">
        <f>IF(Table1[[#This Row],[Ad Spend]]=0,0,Table1[[#This Row],[Revenue]]/Table1[[#This Row],[Ad Spend]])</f>
        <v>10.104838422346527</v>
      </c>
      <c r="N205">
        <f>YEAR(Table1[[#This Row],[Date]])</f>
        <v>2024</v>
      </c>
      <c r="O205" t="str">
        <f>TEXT(Table1[[#This Row],[Date]],"mmm")</f>
        <v>Dec</v>
      </c>
      <c r="P205">
        <f>MONTH(Table1[[#This Row],[Date]])</f>
        <v>12</v>
      </c>
    </row>
    <row r="206" spans="1:16" x14ac:dyDescent="0.25">
      <c r="A206" t="s">
        <v>225</v>
      </c>
      <c r="B206" t="s">
        <v>47</v>
      </c>
      <c r="C206" t="s">
        <v>17</v>
      </c>
      <c r="D206" s="1">
        <v>45313</v>
      </c>
      <c r="E206">
        <v>97421</v>
      </c>
      <c r="F206">
        <v>5167</v>
      </c>
      <c r="G206">
        <v>395</v>
      </c>
      <c r="H206" s="4">
        <v>3269.45</v>
      </c>
      <c r="I206" s="4">
        <v>39163.370000000003</v>
      </c>
      <c r="J206" s="7">
        <f>Table1[[#This Row],[Clicks]]/Table1[[#This Row],[Impressions]]</f>
        <v>5.303784604961969E-2</v>
      </c>
      <c r="K206" s="7">
        <f>IFERROR(Table1[[#This Row],[Conversions]]/Table1[[#This Row],[Clicks]],0)</f>
        <v>7.6446680859299398E-2</v>
      </c>
      <c r="L206" s="6">
        <f>IF(Table1[[#This Row],[Conversions]]=0,0,Table1[[#This Row],[Ad Spend]]/Table1[[#This Row],[Conversions]])</f>
        <v>8.277088607594937</v>
      </c>
      <c r="M206" s="8">
        <f>IF(Table1[[#This Row],[Ad Spend]]=0,0,Table1[[#This Row],[Revenue]]/Table1[[#This Row],[Ad Spend]])</f>
        <v>11.978580495190323</v>
      </c>
      <c r="N206">
        <f>YEAR(Table1[[#This Row],[Date]])</f>
        <v>2024</v>
      </c>
      <c r="O206" t="str">
        <f>TEXT(Table1[[#This Row],[Date]],"mmm")</f>
        <v>Jan</v>
      </c>
      <c r="P206">
        <f>MONTH(Table1[[#This Row],[Date]])</f>
        <v>1</v>
      </c>
    </row>
    <row r="207" spans="1:16" x14ac:dyDescent="0.25">
      <c r="A207" t="s">
        <v>226</v>
      </c>
      <c r="B207" t="s">
        <v>31</v>
      </c>
      <c r="C207" t="s">
        <v>10</v>
      </c>
      <c r="D207" s="1">
        <v>45635</v>
      </c>
      <c r="E207">
        <v>111485</v>
      </c>
      <c r="F207">
        <v>3950</v>
      </c>
      <c r="G207">
        <v>490</v>
      </c>
      <c r="H207" s="4">
        <v>3461.17</v>
      </c>
      <c r="I207" s="4">
        <v>56486.68</v>
      </c>
      <c r="J207" s="7">
        <f>Table1[[#This Row],[Clicks]]/Table1[[#This Row],[Impressions]]</f>
        <v>3.5430775440642236E-2</v>
      </c>
      <c r="K207" s="7">
        <f>IFERROR(Table1[[#This Row],[Conversions]]/Table1[[#This Row],[Clicks]],0)</f>
        <v>0.1240506329113924</v>
      </c>
      <c r="L207" s="6">
        <f>IF(Table1[[#This Row],[Conversions]]=0,0,Table1[[#This Row],[Ad Spend]]/Table1[[#This Row],[Conversions]])</f>
        <v>7.0636122448979597</v>
      </c>
      <c r="M207" s="8">
        <f>IF(Table1[[#This Row],[Ad Spend]]=0,0,Table1[[#This Row],[Revenue]]/Table1[[#This Row],[Ad Spend]])</f>
        <v>16.320111407414256</v>
      </c>
      <c r="N207">
        <f>YEAR(Table1[[#This Row],[Date]])</f>
        <v>2024</v>
      </c>
      <c r="O207" t="str">
        <f>TEXT(Table1[[#This Row],[Date]],"mmm")</f>
        <v>Dec</v>
      </c>
      <c r="P207">
        <f>MONTH(Table1[[#This Row],[Date]])</f>
        <v>12</v>
      </c>
    </row>
    <row r="208" spans="1:16" x14ac:dyDescent="0.25">
      <c r="A208" t="s">
        <v>227</v>
      </c>
      <c r="B208" t="s">
        <v>16</v>
      </c>
      <c r="C208" t="s">
        <v>12</v>
      </c>
      <c r="D208" s="1">
        <v>45639</v>
      </c>
      <c r="E208">
        <v>119864</v>
      </c>
      <c r="F208">
        <v>1490</v>
      </c>
      <c r="G208">
        <v>42</v>
      </c>
      <c r="H208" s="4">
        <v>3936.87</v>
      </c>
      <c r="I208" s="4">
        <v>2378.58</v>
      </c>
      <c r="J208" s="7">
        <f>Table1[[#This Row],[Clicks]]/Table1[[#This Row],[Impressions]]</f>
        <v>1.2430754855502903E-2</v>
      </c>
      <c r="K208" s="7">
        <f>IFERROR(Table1[[#This Row],[Conversions]]/Table1[[#This Row],[Clicks]],0)</f>
        <v>2.8187919463087248E-2</v>
      </c>
      <c r="L208" s="6">
        <f>IF(Table1[[#This Row],[Conversions]]=0,0,Table1[[#This Row],[Ad Spend]]/Table1[[#This Row],[Conversions]])</f>
        <v>93.734999999999999</v>
      </c>
      <c r="M208" s="8">
        <f>IF(Table1[[#This Row],[Ad Spend]]=0,0,Table1[[#This Row],[Revenue]]/Table1[[#This Row],[Ad Spend]])</f>
        <v>0.6041804784003536</v>
      </c>
      <c r="N208">
        <f>YEAR(Table1[[#This Row],[Date]])</f>
        <v>2024</v>
      </c>
      <c r="O208" t="str">
        <f>TEXT(Table1[[#This Row],[Date]],"mmm")</f>
        <v>Dec</v>
      </c>
      <c r="P208">
        <f>MONTH(Table1[[#This Row],[Date]])</f>
        <v>12</v>
      </c>
    </row>
    <row r="209" spans="1:16" x14ac:dyDescent="0.25">
      <c r="A209" t="s">
        <v>228</v>
      </c>
      <c r="B209" t="s">
        <v>21</v>
      </c>
      <c r="C209" t="s">
        <v>12</v>
      </c>
      <c r="D209" s="1">
        <v>45308</v>
      </c>
      <c r="E209">
        <v>45222</v>
      </c>
      <c r="F209">
        <v>2601</v>
      </c>
      <c r="G209">
        <v>372</v>
      </c>
      <c r="H209" s="4">
        <v>1985.66</v>
      </c>
      <c r="I209" s="4">
        <v>35826.74</v>
      </c>
      <c r="J209" s="7">
        <f>Table1[[#This Row],[Clicks]]/Table1[[#This Row],[Impressions]]</f>
        <v>5.7516253151121133E-2</v>
      </c>
      <c r="K209" s="7">
        <f>IFERROR(Table1[[#This Row],[Conversions]]/Table1[[#This Row],[Clicks]],0)</f>
        <v>0.14302191464821223</v>
      </c>
      <c r="L209" s="6">
        <f>IF(Table1[[#This Row],[Conversions]]=0,0,Table1[[#This Row],[Ad Spend]]/Table1[[#This Row],[Conversions]])</f>
        <v>5.3377956989247313</v>
      </c>
      <c r="M209" s="8">
        <f>IF(Table1[[#This Row],[Ad Spend]]=0,0,Table1[[#This Row],[Revenue]]/Table1[[#This Row],[Ad Spend]])</f>
        <v>18.042736420132346</v>
      </c>
      <c r="N209">
        <f>YEAR(Table1[[#This Row],[Date]])</f>
        <v>2024</v>
      </c>
      <c r="O209" t="str">
        <f>TEXT(Table1[[#This Row],[Date]],"mmm")</f>
        <v>Jan</v>
      </c>
      <c r="P209">
        <f>MONTH(Table1[[#This Row],[Date]])</f>
        <v>1</v>
      </c>
    </row>
    <row r="210" spans="1:16" x14ac:dyDescent="0.25">
      <c r="A210" t="s">
        <v>229</v>
      </c>
      <c r="B210" t="s">
        <v>16</v>
      </c>
      <c r="C210" t="s">
        <v>12</v>
      </c>
      <c r="D210" s="1">
        <v>45479</v>
      </c>
      <c r="E210">
        <v>109342</v>
      </c>
      <c r="F210">
        <v>3499</v>
      </c>
      <c r="G210">
        <v>196</v>
      </c>
      <c r="H210" s="4">
        <v>4810.5</v>
      </c>
      <c r="I210" s="4">
        <v>4427.8999999999996</v>
      </c>
      <c r="J210" s="7">
        <f>Table1[[#This Row],[Clicks]]/Table1[[#This Row],[Impressions]]</f>
        <v>3.200051215452434E-2</v>
      </c>
      <c r="K210" s="7">
        <f>IFERROR(Table1[[#This Row],[Conversions]]/Table1[[#This Row],[Clicks]],0)</f>
        <v>5.6016004572735069E-2</v>
      </c>
      <c r="L210" s="6">
        <f>IF(Table1[[#This Row],[Conversions]]=0,0,Table1[[#This Row],[Ad Spend]]/Table1[[#This Row],[Conversions]])</f>
        <v>24.543367346938776</v>
      </c>
      <c r="M210" s="8">
        <f>IF(Table1[[#This Row],[Ad Spend]]=0,0,Table1[[#This Row],[Revenue]]/Table1[[#This Row],[Ad Spend]])</f>
        <v>0.92046564806153197</v>
      </c>
      <c r="N210">
        <f>YEAR(Table1[[#This Row],[Date]])</f>
        <v>2024</v>
      </c>
      <c r="O210" t="str">
        <f>TEXT(Table1[[#This Row],[Date]],"mmm")</f>
        <v>Jul</v>
      </c>
      <c r="P210">
        <f>MONTH(Table1[[#This Row],[Date]])</f>
        <v>7</v>
      </c>
    </row>
    <row r="211" spans="1:16" x14ac:dyDescent="0.25">
      <c r="A211" t="s">
        <v>230</v>
      </c>
      <c r="B211" t="s">
        <v>16</v>
      </c>
      <c r="C211" t="s">
        <v>17</v>
      </c>
      <c r="D211" s="1">
        <v>45557</v>
      </c>
      <c r="E211">
        <v>106446</v>
      </c>
      <c r="F211">
        <v>7871</v>
      </c>
      <c r="G211">
        <v>277</v>
      </c>
      <c r="H211" s="4">
        <v>3919.83</v>
      </c>
      <c r="I211" s="4">
        <v>25041.85</v>
      </c>
      <c r="J211" s="7">
        <f>Table1[[#This Row],[Clicks]]/Table1[[#This Row],[Impressions]]</f>
        <v>7.3943595813839885E-2</v>
      </c>
      <c r="K211" s="7">
        <f>IFERROR(Table1[[#This Row],[Conversions]]/Table1[[#This Row],[Clicks]],0)</f>
        <v>3.519247871934951E-2</v>
      </c>
      <c r="L211" s="6">
        <f>IF(Table1[[#This Row],[Conversions]]=0,0,Table1[[#This Row],[Ad Spend]]/Table1[[#This Row],[Conversions]])</f>
        <v>14.151010830324909</v>
      </c>
      <c r="M211" s="8">
        <f>IF(Table1[[#This Row],[Ad Spend]]=0,0,Table1[[#This Row],[Revenue]]/Table1[[#This Row],[Ad Spend]])</f>
        <v>6.3885040932897601</v>
      </c>
      <c r="N211">
        <f>YEAR(Table1[[#This Row],[Date]])</f>
        <v>2024</v>
      </c>
      <c r="O211" t="str">
        <f>TEXT(Table1[[#This Row],[Date]],"mmm")</f>
        <v>Sept</v>
      </c>
      <c r="P211">
        <f>MONTH(Table1[[#This Row],[Date]])</f>
        <v>9</v>
      </c>
    </row>
    <row r="212" spans="1:16" x14ac:dyDescent="0.25">
      <c r="A212" t="s">
        <v>231</v>
      </c>
      <c r="B212" t="s">
        <v>14</v>
      </c>
      <c r="C212" t="s">
        <v>12</v>
      </c>
      <c r="D212" s="1">
        <v>45438</v>
      </c>
      <c r="E212">
        <v>133765</v>
      </c>
      <c r="F212">
        <v>3212</v>
      </c>
      <c r="G212">
        <v>120</v>
      </c>
      <c r="H212" s="4">
        <v>555.45000000000005</v>
      </c>
      <c r="I212" s="4">
        <v>4471.88</v>
      </c>
      <c r="J212" s="7">
        <f>Table1[[#This Row],[Clicks]]/Table1[[#This Row],[Impressions]]</f>
        <v>2.401226030725526E-2</v>
      </c>
      <c r="K212" s="7">
        <f>IFERROR(Table1[[#This Row],[Conversions]]/Table1[[#This Row],[Clicks]],0)</f>
        <v>3.7359900373599E-2</v>
      </c>
      <c r="L212" s="6">
        <f>IF(Table1[[#This Row],[Conversions]]=0,0,Table1[[#This Row],[Ad Spend]]/Table1[[#This Row],[Conversions]])</f>
        <v>4.6287500000000001</v>
      </c>
      <c r="M212" s="8">
        <f>IF(Table1[[#This Row],[Ad Spend]]=0,0,Table1[[#This Row],[Revenue]]/Table1[[#This Row],[Ad Spend]])</f>
        <v>8.0509136735979823</v>
      </c>
      <c r="N212">
        <f>YEAR(Table1[[#This Row],[Date]])</f>
        <v>2024</v>
      </c>
      <c r="O212" t="str">
        <f>TEXT(Table1[[#This Row],[Date]],"mmm")</f>
        <v>May</v>
      </c>
      <c r="P212">
        <f>MONTH(Table1[[#This Row],[Date]])</f>
        <v>5</v>
      </c>
    </row>
    <row r="213" spans="1:16" x14ac:dyDescent="0.25">
      <c r="A213" t="s">
        <v>232</v>
      </c>
      <c r="B213" t="s">
        <v>41</v>
      </c>
      <c r="C213" t="s">
        <v>10</v>
      </c>
      <c r="D213" s="1">
        <v>45706</v>
      </c>
      <c r="E213">
        <v>88778</v>
      </c>
      <c r="F213">
        <v>5038</v>
      </c>
      <c r="G213">
        <v>565</v>
      </c>
      <c r="H213" s="4">
        <v>2839.99</v>
      </c>
      <c r="I213" s="4">
        <v>27705.47</v>
      </c>
      <c r="J213" s="7">
        <f>Table1[[#This Row],[Clicks]]/Table1[[#This Row],[Impressions]]</f>
        <v>5.6748293496136429E-2</v>
      </c>
      <c r="K213" s="7">
        <f>IFERROR(Table1[[#This Row],[Conversions]]/Table1[[#This Row],[Clicks]],0)</f>
        <v>0.11214767764986106</v>
      </c>
      <c r="L213" s="6">
        <f>IF(Table1[[#This Row],[Conversions]]=0,0,Table1[[#This Row],[Ad Spend]]/Table1[[#This Row],[Conversions]])</f>
        <v>5.0265309734513268</v>
      </c>
      <c r="M213" s="8">
        <f>IF(Table1[[#This Row],[Ad Spend]]=0,0,Table1[[#This Row],[Revenue]]/Table1[[#This Row],[Ad Spend]])</f>
        <v>9.7554815333856819</v>
      </c>
      <c r="N213">
        <f>YEAR(Table1[[#This Row],[Date]])</f>
        <v>2025</v>
      </c>
      <c r="O213" t="str">
        <f>TEXT(Table1[[#This Row],[Date]],"mmm")</f>
        <v>Feb</v>
      </c>
      <c r="P213">
        <f>MONTH(Table1[[#This Row],[Date]])</f>
        <v>2</v>
      </c>
    </row>
    <row r="214" spans="1:16" x14ac:dyDescent="0.25">
      <c r="A214" t="s">
        <v>233</v>
      </c>
      <c r="B214" t="s">
        <v>34</v>
      </c>
      <c r="C214" t="s">
        <v>37</v>
      </c>
      <c r="D214" s="1">
        <v>45656</v>
      </c>
      <c r="E214">
        <v>50636</v>
      </c>
      <c r="F214">
        <v>3319</v>
      </c>
      <c r="G214">
        <v>285</v>
      </c>
      <c r="H214" s="4">
        <v>782.54</v>
      </c>
      <c r="I214" s="4">
        <v>11427.94</v>
      </c>
      <c r="J214" s="7">
        <f>Table1[[#This Row],[Clicks]]/Table1[[#This Row],[Impressions]]</f>
        <v>6.5546251678647596E-2</v>
      </c>
      <c r="K214" s="7">
        <f>IFERROR(Table1[[#This Row],[Conversions]]/Table1[[#This Row],[Clicks]],0)</f>
        <v>8.5869237722205477E-2</v>
      </c>
      <c r="L214" s="6">
        <f>IF(Table1[[#This Row],[Conversions]]=0,0,Table1[[#This Row],[Ad Spend]]/Table1[[#This Row],[Conversions]])</f>
        <v>2.7457543859649123</v>
      </c>
      <c r="M214" s="8">
        <f>IF(Table1[[#This Row],[Ad Spend]]=0,0,Table1[[#This Row],[Revenue]]/Table1[[#This Row],[Ad Spend]])</f>
        <v>14.603649653691825</v>
      </c>
      <c r="N214">
        <f>YEAR(Table1[[#This Row],[Date]])</f>
        <v>2024</v>
      </c>
      <c r="O214" t="str">
        <f>TEXT(Table1[[#This Row],[Date]],"mmm")</f>
        <v>Dec</v>
      </c>
      <c r="P214">
        <f>MONTH(Table1[[#This Row],[Date]])</f>
        <v>12</v>
      </c>
    </row>
    <row r="215" spans="1:16" x14ac:dyDescent="0.25">
      <c r="A215" t="s">
        <v>234</v>
      </c>
      <c r="B215" t="s">
        <v>16</v>
      </c>
      <c r="C215" t="s">
        <v>37</v>
      </c>
      <c r="D215" s="1">
        <v>45696</v>
      </c>
      <c r="E215">
        <v>134504</v>
      </c>
      <c r="F215">
        <v>1592</v>
      </c>
      <c r="G215">
        <v>146</v>
      </c>
      <c r="H215" s="4">
        <v>1970.77</v>
      </c>
      <c r="I215" s="4">
        <v>14653.46</v>
      </c>
      <c r="J215" s="7">
        <f>Table1[[#This Row],[Clicks]]/Table1[[#This Row],[Impressions]]</f>
        <v>1.1836079224409683E-2</v>
      </c>
      <c r="K215" s="7">
        <f>IFERROR(Table1[[#This Row],[Conversions]]/Table1[[#This Row],[Clicks]],0)</f>
        <v>9.1708542713567834E-2</v>
      </c>
      <c r="L215" s="6">
        <f>IF(Table1[[#This Row],[Conversions]]=0,0,Table1[[#This Row],[Ad Spend]]/Table1[[#This Row],[Conversions]])</f>
        <v>13.498424657534246</v>
      </c>
      <c r="M215" s="8">
        <f>IF(Table1[[#This Row],[Ad Spend]]=0,0,Table1[[#This Row],[Revenue]]/Table1[[#This Row],[Ad Spend]])</f>
        <v>7.4353983468390528</v>
      </c>
      <c r="N215">
        <f>YEAR(Table1[[#This Row],[Date]])</f>
        <v>2025</v>
      </c>
      <c r="O215" t="str">
        <f>TEXT(Table1[[#This Row],[Date]],"mmm")</f>
        <v>Feb</v>
      </c>
      <c r="P215">
        <f>MONTH(Table1[[#This Row],[Date]])</f>
        <v>2</v>
      </c>
    </row>
    <row r="216" spans="1:16" x14ac:dyDescent="0.25">
      <c r="A216" t="s">
        <v>235</v>
      </c>
      <c r="B216" t="s">
        <v>16</v>
      </c>
      <c r="C216" t="s">
        <v>12</v>
      </c>
      <c r="D216" s="1">
        <v>45336</v>
      </c>
      <c r="E216">
        <v>22235</v>
      </c>
      <c r="F216">
        <v>703</v>
      </c>
      <c r="G216">
        <v>105</v>
      </c>
      <c r="H216" s="4">
        <v>3650.57</v>
      </c>
      <c r="I216" s="4">
        <v>7619.8</v>
      </c>
      <c r="J216" s="7">
        <f>Table1[[#This Row],[Clicks]]/Table1[[#This Row],[Impressions]]</f>
        <v>3.1616820328311222E-2</v>
      </c>
      <c r="K216" s="7">
        <f>IFERROR(Table1[[#This Row],[Conversions]]/Table1[[#This Row],[Clicks]],0)</f>
        <v>0.14935988620199148</v>
      </c>
      <c r="L216" s="6">
        <f>IF(Table1[[#This Row],[Conversions]]=0,0,Table1[[#This Row],[Ad Spend]]/Table1[[#This Row],[Conversions]])</f>
        <v>34.767333333333333</v>
      </c>
      <c r="M216" s="8">
        <f>IF(Table1[[#This Row],[Ad Spend]]=0,0,Table1[[#This Row],[Revenue]]/Table1[[#This Row],[Ad Spend]])</f>
        <v>2.0872904779253649</v>
      </c>
      <c r="N216">
        <f>YEAR(Table1[[#This Row],[Date]])</f>
        <v>2024</v>
      </c>
      <c r="O216" t="str">
        <f>TEXT(Table1[[#This Row],[Date]],"mmm")</f>
        <v>Feb</v>
      </c>
      <c r="P216">
        <f>MONTH(Table1[[#This Row],[Date]])</f>
        <v>2</v>
      </c>
    </row>
    <row r="217" spans="1:16" x14ac:dyDescent="0.25">
      <c r="A217" t="s">
        <v>236</v>
      </c>
      <c r="B217" t="s">
        <v>21</v>
      </c>
      <c r="C217" t="s">
        <v>12</v>
      </c>
      <c r="D217" s="1">
        <v>45329</v>
      </c>
      <c r="E217">
        <v>37853</v>
      </c>
      <c r="F217">
        <v>2955</v>
      </c>
      <c r="G217">
        <v>305</v>
      </c>
      <c r="H217" s="4">
        <v>2359.88</v>
      </c>
      <c r="I217" s="4">
        <v>26843.32</v>
      </c>
      <c r="J217" s="7">
        <f>Table1[[#This Row],[Clicks]]/Table1[[#This Row],[Impressions]]</f>
        <v>7.8065146751908704E-2</v>
      </c>
      <c r="K217" s="7">
        <f>IFERROR(Table1[[#This Row],[Conversions]]/Table1[[#This Row],[Clicks]],0)</f>
        <v>0.10321489001692047</v>
      </c>
      <c r="L217" s="6">
        <f>IF(Table1[[#This Row],[Conversions]]=0,0,Table1[[#This Row],[Ad Spend]]/Table1[[#This Row],[Conversions]])</f>
        <v>7.737311475409836</v>
      </c>
      <c r="M217" s="8">
        <f>IF(Table1[[#This Row],[Ad Spend]]=0,0,Table1[[#This Row],[Revenue]]/Table1[[#This Row],[Ad Spend]])</f>
        <v>11.374866518636541</v>
      </c>
      <c r="N217">
        <f>YEAR(Table1[[#This Row],[Date]])</f>
        <v>2024</v>
      </c>
      <c r="O217" t="str">
        <f>TEXT(Table1[[#This Row],[Date]],"mmm")</f>
        <v>Feb</v>
      </c>
      <c r="P217">
        <f>MONTH(Table1[[#This Row],[Date]])</f>
        <v>2</v>
      </c>
    </row>
    <row r="218" spans="1:16" x14ac:dyDescent="0.25">
      <c r="A218" t="s">
        <v>237</v>
      </c>
      <c r="B218" t="s">
        <v>47</v>
      </c>
      <c r="C218" t="s">
        <v>37</v>
      </c>
      <c r="D218" s="1">
        <v>45716</v>
      </c>
      <c r="E218">
        <v>149520</v>
      </c>
      <c r="F218">
        <v>8191</v>
      </c>
      <c r="G218">
        <v>357</v>
      </c>
      <c r="H218" s="4">
        <v>4838.07</v>
      </c>
      <c r="I218" s="4">
        <v>22584.47</v>
      </c>
      <c r="J218" s="7">
        <f>Table1[[#This Row],[Clicks]]/Table1[[#This Row],[Impressions]]</f>
        <v>5.4781968967362225E-2</v>
      </c>
      <c r="K218" s="7">
        <f>IFERROR(Table1[[#This Row],[Conversions]]/Table1[[#This Row],[Clicks]],0)</f>
        <v>4.3584421926504698E-2</v>
      </c>
      <c r="L218" s="6">
        <f>IF(Table1[[#This Row],[Conversions]]=0,0,Table1[[#This Row],[Ad Spend]]/Table1[[#This Row],[Conversions]])</f>
        <v>13.552016806722689</v>
      </c>
      <c r="M218" s="8">
        <f>IF(Table1[[#This Row],[Ad Spend]]=0,0,Table1[[#This Row],[Revenue]]/Table1[[#This Row],[Ad Spend]])</f>
        <v>4.6680742527495473</v>
      </c>
      <c r="N218">
        <f>YEAR(Table1[[#This Row],[Date]])</f>
        <v>2025</v>
      </c>
      <c r="O218" t="str">
        <f>TEXT(Table1[[#This Row],[Date]],"mmm")</f>
        <v>Feb</v>
      </c>
      <c r="P218">
        <f>MONTH(Table1[[#This Row],[Date]])</f>
        <v>2</v>
      </c>
    </row>
    <row r="219" spans="1:16" x14ac:dyDescent="0.25">
      <c r="A219" t="s">
        <v>238</v>
      </c>
      <c r="B219" t="s">
        <v>31</v>
      </c>
      <c r="C219" t="s">
        <v>10</v>
      </c>
      <c r="D219" s="1">
        <v>45557</v>
      </c>
      <c r="E219">
        <v>45112</v>
      </c>
      <c r="F219">
        <v>1411</v>
      </c>
      <c r="G219">
        <v>57</v>
      </c>
      <c r="H219" s="4">
        <v>4686.74</v>
      </c>
      <c r="I219" s="4">
        <v>2425.1799999999998</v>
      </c>
      <c r="J219" s="7">
        <f>Table1[[#This Row],[Clicks]]/Table1[[#This Row],[Impressions]]</f>
        <v>3.1277708813619437E-2</v>
      </c>
      <c r="K219" s="7">
        <f>IFERROR(Table1[[#This Row],[Conversions]]/Table1[[#This Row],[Clicks]],0)</f>
        <v>4.0396881644223954E-2</v>
      </c>
      <c r="L219" s="6">
        <f>IF(Table1[[#This Row],[Conversions]]=0,0,Table1[[#This Row],[Ad Spend]]/Table1[[#This Row],[Conversions]])</f>
        <v>82.223508771929815</v>
      </c>
      <c r="M219" s="8">
        <f>IF(Table1[[#This Row],[Ad Spend]]=0,0,Table1[[#This Row],[Revenue]]/Table1[[#This Row],[Ad Spend]])</f>
        <v>0.51745563013949991</v>
      </c>
      <c r="N219">
        <f>YEAR(Table1[[#This Row],[Date]])</f>
        <v>2024</v>
      </c>
      <c r="O219" t="str">
        <f>TEXT(Table1[[#This Row],[Date]],"mmm")</f>
        <v>Sept</v>
      </c>
      <c r="P219">
        <f>MONTH(Table1[[#This Row],[Date]])</f>
        <v>9</v>
      </c>
    </row>
    <row r="220" spans="1:16" x14ac:dyDescent="0.25">
      <c r="A220" t="s">
        <v>239</v>
      </c>
      <c r="B220" t="s">
        <v>34</v>
      </c>
      <c r="C220" t="s">
        <v>10</v>
      </c>
      <c r="D220" s="1">
        <v>45420</v>
      </c>
      <c r="E220">
        <v>56459</v>
      </c>
      <c r="F220">
        <v>3074</v>
      </c>
      <c r="G220">
        <v>281</v>
      </c>
      <c r="H220" s="4">
        <v>800.82</v>
      </c>
      <c r="I220" s="4">
        <v>14129.37</v>
      </c>
      <c r="J220" s="7">
        <f>Table1[[#This Row],[Clicks]]/Table1[[#This Row],[Impressions]]</f>
        <v>5.4446589560566076E-2</v>
      </c>
      <c r="K220" s="7">
        <f>IFERROR(Table1[[#This Row],[Conversions]]/Table1[[#This Row],[Clicks]],0)</f>
        <v>9.141184124918672E-2</v>
      </c>
      <c r="L220" s="6">
        <f>IF(Table1[[#This Row],[Conversions]]=0,0,Table1[[#This Row],[Ad Spend]]/Table1[[#This Row],[Conversions]])</f>
        <v>2.8498932384341638</v>
      </c>
      <c r="M220" s="8">
        <f>IF(Table1[[#This Row],[Ad Spend]]=0,0,Table1[[#This Row],[Revenue]]/Table1[[#This Row],[Ad Spend]])</f>
        <v>17.643627781523939</v>
      </c>
      <c r="N220">
        <f>YEAR(Table1[[#This Row],[Date]])</f>
        <v>2024</v>
      </c>
      <c r="O220" t="str">
        <f>TEXT(Table1[[#This Row],[Date]],"mmm")</f>
        <v>May</v>
      </c>
      <c r="P220">
        <f>MONTH(Table1[[#This Row],[Date]])</f>
        <v>5</v>
      </c>
    </row>
    <row r="221" spans="1:16" x14ac:dyDescent="0.25">
      <c r="A221" t="s">
        <v>240</v>
      </c>
      <c r="B221" t="s">
        <v>9</v>
      </c>
      <c r="C221" t="s">
        <v>12</v>
      </c>
      <c r="D221" s="1">
        <v>45620</v>
      </c>
      <c r="E221">
        <v>49206</v>
      </c>
      <c r="F221">
        <v>2530</v>
      </c>
      <c r="G221">
        <v>241</v>
      </c>
      <c r="H221" s="4">
        <v>1021.76</v>
      </c>
      <c r="I221" s="4">
        <v>19869.95</v>
      </c>
      <c r="J221" s="7">
        <f>Table1[[#This Row],[Clicks]]/Table1[[#This Row],[Impressions]]</f>
        <v>5.1416493923505266E-2</v>
      </c>
      <c r="K221" s="7">
        <f>IFERROR(Table1[[#This Row],[Conversions]]/Table1[[#This Row],[Clicks]],0)</f>
        <v>9.5256916996047436E-2</v>
      </c>
      <c r="L221" s="6">
        <f>IF(Table1[[#This Row],[Conversions]]=0,0,Table1[[#This Row],[Ad Spend]]/Table1[[#This Row],[Conversions]])</f>
        <v>4.239668049792531</v>
      </c>
      <c r="M221" s="8">
        <f>IF(Table1[[#This Row],[Ad Spend]]=0,0,Table1[[#This Row],[Revenue]]/Table1[[#This Row],[Ad Spend]])</f>
        <v>19.446787895396181</v>
      </c>
      <c r="N221">
        <f>YEAR(Table1[[#This Row],[Date]])</f>
        <v>2024</v>
      </c>
      <c r="O221" t="str">
        <f>TEXT(Table1[[#This Row],[Date]],"mmm")</f>
        <v>Nov</v>
      </c>
      <c r="P221">
        <f>MONTH(Table1[[#This Row],[Date]])</f>
        <v>11</v>
      </c>
    </row>
    <row r="222" spans="1:16" x14ac:dyDescent="0.25">
      <c r="A222" t="s">
        <v>241</v>
      </c>
      <c r="B222" t="s">
        <v>47</v>
      </c>
      <c r="C222" t="s">
        <v>12</v>
      </c>
      <c r="D222" s="1">
        <v>45313</v>
      </c>
      <c r="E222">
        <v>12437</v>
      </c>
      <c r="F222">
        <v>195</v>
      </c>
      <c r="G222">
        <v>27</v>
      </c>
      <c r="H222" s="4">
        <v>3900.91</v>
      </c>
      <c r="I222" s="4">
        <v>1254.57</v>
      </c>
      <c r="J222" s="7">
        <f>Table1[[#This Row],[Clicks]]/Table1[[#This Row],[Impressions]]</f>
        <v>1.5679022272252152E-2</v>
      </c>
      <c r="K222" s="7">
        <f>IFERROR(Table1[[#This Row],[Conversions]]/Table1[[#This Row],[Clicks]],0)</f>
        <v>0.13846153846153847</v>
      </c>
      <c r="L222" s="6">
        <f>IF(Table1[[#This Row],[Conversions]]=0,0,Table1[[#This Row],[Ad Spend]]/Table1[[#This Row],[Conversions]])</f>
        <v>144.47814814814814</v>
      </c>
      <c r="M222" s="8">
        <f>IF(Table1[[#This Row],[Ad Spend]]=0,0,Table1[[#This Row],[Revenue]]/Table1[[#This Row],[Ad Spend]])</f>
        <v>0.32160957315088018</v>
      </c>
      <c r="N222">
        <f>YEAR(Table1[[#This Row],[Date]])</f>
        <v>2024</v>
      </c>
      <c r="O222" t="str">
        <f>TEXT(Table1[[#This Row],[Date]],"mmm")</f>
        <v>Jan</v>
      </c>
      <c r="P222">
        <f>MONTH(Table1[[#This Row],[Date]])</f>
        <v>1</v>
      </c>
    </row>
    <row r="223" spans="1:16" x14ac:dyDescent="0.25">
      <c r="A223" t="s">
        <v>242</v>
      </c>
      <c r="B223" t="s">
        <v>14</v>
      </c>
      <c r="C223" t="s">
        <v>12</v>
      </c>
      <c r="D223" s="1">
        <v>45505</v>
      </c>
      <c r="E223">
        <v>12939</v>
      </c>
      <c r="F223">
        <v>580</v>
      </c>
      <c r="G223">
        <v>58</v>
      </c>
      <c r="H223" s="4">
        <v>1590.42</v>
      </c>
      <c r="I223" s="4">
        <v>6708.57</v>
      </c>
      <c r="J223" s="7">
        <f>Table1[[#This Row],[Clicks]]/Table1[[#This Row],[Impressions]]</f>
        <v>4.4825720689388671E-2</v>
      </c>
      <c r="K223" s="7">
        <f>IFERROR(Table1[[#This Row],[Conversions]]/Table1[[#This Row],[Clicks]],0)</f>
        <v>0.1</v>
      </c>
      <c r="L223" s="6">
        <f>IF(Table1[[#This Row],[Conversions]]=0,0,Table1[[#This Row],[Ad Spend]]/Table1[[#This Row],[Conversions]])</f>
        <v>27.421034482758621</v>
      </c>
      <c r="M223" s="8">
        <f>IF(Table1[[#This Row],[Ad Spend]]=0,0,Table1[[#This Row],[Revenue]]/Table1[[#This Row],[Ad Spend]])</f>
        <v>4.2181121967782094</v>
      </c>
      <c r="N223">
        <f>YEAR(Table1[[#This Row],[Date]])</f>
        <v>2024</v>
      </c>
      <c r="O223" t="str">
        <f>TEXT(Table1[[#This Row],[Date]],"mmm")</f>
        <v>Aug</v>
      </c>
      <c r="P223">
        <f>MONTH(Table1[[#This Row],[Date]])</f>
        <v>8</v>
      </c>
    </row>
    <row r="224" spans="1:16" x14ac:dyDescent="0.25">
      <c r="A224" t="s">
        <v>243</v>
      </c>
      <c r="B224" t="s">
        <v>41</v>
      </c>
      <c r="C224" t="s">
        <v>37</v>
      </c>
      <c r="D224" s="1">
        <v>45704</v>
      </c>
      <c r="E224">
        <v>111454</v>
      </c>
      <c r="F224">
        <v>3435</v>
      </c>
      <c r="G224">
        <v>101</v>
      </c>
      <c r="H224" s="4">
        <v>487.58</v>
      </c>
      <c r="I224" s="4">
        <v>6460.02</v>
      </c>
      <c r="J224" s="7">
        <f>Table1[[#This Row],[Clicks]]/Table1[[#This Row],[Impressions]]</f>
        <v>3.0819889820015434E-2</v>
      </c>
      <c r="K224" s="7">
        <f>IFERROR(Table1[[#This Row],[Conversions]]/Table1[[#This Row],[Clicks]],0)</f>
        <v>2.9403202328966521E-2</v>
      </c>
      <c r="L224" s="6">
        <f>IF(Table1[[#This Row],[Conversions]]=0,0,Table1[[#This Row],[Ad Spend]]/Table1[[#This Row],[Conversions]])</f>
        <v>4.8275247524752469</v>
      </c>
      <c r="M224" s="8">
        <f>IF(Table1[[#This Row],[Ad Spend]]=0,0,Table1[[#This Row],[Revenue]]/Table1[[#This Row],[Ad Spend]])</f>
        <v>13.249148857623366</v>
      </c>
      <c r="N224">
        <f>YEAR(Table1[[#This Row],[Date]])</f>
        <v>2025</v>
      </c>
      <c r="O224" t="str">
        <f>TEXT(Table1[[#This Row],[Date]],"mmm")</f>
        <v>Feb</v>
      </c>
      <c r="P224">
        <f>MONTH(Table1[[#This Row],[Date]])</f>
        <v>2</v>
      </c>
    </row>
    <row r="225" spans="1:16" x14ac:dyDescent="0.25">
      <c r="A225" t="s">
        <v>244</v>
      </c>
      <c r="B225" t="s">
        <v>41</v>
      </c>
      <c r="C225" t="s">
        <v>17</v>
      </c>
      <c r="D225" s="1">
        <v>45396</v>
      </c>
      <c r="E225">
        <v>94179</v>
      </c>
      <c r="F225">
        <v>4941</v>
      </c>
      <c r="G225">
        <v>299</v>
      </c>
      <c r="H225" s="4">
        <v>3648.14</v>
      </c>
      <c r="I225" s="4">
        <v>27932.57</v>
      </c>
      <c r="J225" s="7">
        <f>Table1[[#This Row],[Clicks]]/Table1[[#This Row],[Impressions]]</f>
        <v>5.2463925078839228E-2</v>
      </c>
      <c r="K225" s="7">
        <f>IFERROR(Table1[[#This Row],[Conversions]]/Table1[[#This Row],[Clicks]],0)</f>
        <v>6.0514065978546853E-2</v>
      </c>
      <c r="L225" s="6">
        <f>IF(Table1[[#This Row],[Conversions]]=0,0,Table1[[#This Row],[Ad Spend]]/Table1[[#This Row],[Conversions]])</f>
        <v>12.201137123745818</v>
      </c>
      <c r="M225" s="8">
        <f>IF(Table1[[#This Row],[Ad Spend]]=0,0,Table1[[#This Row],[Revenue]]/Table1[[#This Row],[Ad Spend]])</f>
        <v>7.6566606544704978</v>
      </c>
      <c r="N225">
        <f>YEAR(Table1[[#This Row],[Date]])</f>
        <v>2024</v>
      </c>
      <c r="O225" t="str">
        <f>TEXT(Table1[[#This Row],[Date]],"mmm")</f>
        <v>Apr</v>
      </c>
      <c r="P225">
        <f>MONTH(Table1[[#This Row],[Date]])</f>
        <v>4</v>
      </c>
    </row>
    <row r="226" spans="1:16" x14ac:dyDescent="0.25">
      <c r="A226" t="s">
        <v>245</v>
      </c>
      <c r="B226" t="s">
        <v>47</v>
      </c>
      <c r="C226" t="s">
        <v>17</v>
      </c>
      <c r="D226" s="1">
        <v>45358</v>
      </c>
      <c r="E226">
        <v>102134</v>
      </c>
      <c r="F226">
        <v>4703</v>
      </c>
      <c r="G226">
        <v>158</v>
      </c>
      <c r="H226" s="4">
        <v>1360.34</v>
      </c>
      <c r="I226" s="4">
        <v>5095.8500000000004</v>
      </c>
      <c r="J226" s="7">
        <f>Table1[[#This Row],[Clicks]]/Table1[[#This Row],[Impressions]]</f>
        <v>4.6047349560381458E-2</v>
      </c>
      <c r="K226" s="7">
        <f>IFERROR(Table1[[#This Row],[Conversions]]/Table1[[#This Row],[Clicks]],0)</f>
        <v>3.3595577291090792E-2</v>
      </c>
      <c r="L226" s="6">
        <f>IF(Table1[[#This Row],[Conversions]]=0,0,Table1[[#This Row],[Ad Spend]]/Table1[[#This Row],[Conversions]])</f>
        <v>8.6097468354430369</v>
      </c>
      <c r="M226" s="8">
        <f>IF(Table1[[#This Row],[Ad Spend]]=0,0,Table1[[#This Row],[Revenue]]/Table1[[#This Row],[Ad Spend]])</f>
        <v>3.7460120264051637</v>
      </c>
      <c r="N226">
        <f>YEAR(Table1[[#This Row],[Date]])</f>
        <v>2024</v>
      </c>
      <c r="O226" t="str">
        <f>TEXT(Table1[[#This Row],[Date]],"mmm")</f>
        <v>Mar</v>
      </c>
      <c r="P226">
        <f>MONTH(Table1[[#This Row],[Date]])</f>
        <v>3</v>
      </c>
    </row>
    <row r="227" spans="1:16" x14ac:dyDescent="0.25">
      <c r="A227" t="s">
        <v>246</v>
      </c>
      <c r="B227" t="s">
        <v>41</v>
      </c>
      <c r="C227" t="s">
        <v>37</v>
      </c>
      <c r="D227" s="1">
        <v>45364</v>
      </c>
      <c r="E227">
        <v>30378</v>
      </c>
      <c r="F227">
        <v>411</v>
      </c>
      <c r="G227">
        <v>58</v>
      </c>
      <c r="H227" s="4">
        <v>4347.99</v>
      </c>
      <c r="I227" s="4">
        <v>3585.18</v>
      </c>
      <c r="J227" s="7">
        <f>Table1[[#This Row],[Clicks]]/Table1[[#This Row],[Impressions]]</f>
        <v>1.3529527947857002E-2</v>
      </c>
      <c r="K227" s="7">
        <f>IFERROR(Table1[[#This Row],[Conversions]]/Table1[[#This Row],[Clicks]],0)</f>
        <v>0.14111922141119221</v>
      </c>
      <c r="L227" s="6">
        <f>IF(Table1[[#This Row],[Conversions]]=0,0,Table1[[#This Row],[Ad Spend]]/Table1[[#This Row],[Conversions]])</f>
        <v>74.965344827586208</v>
      </c>
      <c r="M227" s="8">
        <f>IF(Table1[[#This Row],[Ad Spend]]=0,0,Table1[[#This Row],[Revenue]]/Table1[[#This Row],[Ad Spend]])</f>
        <v>0.82456031407615937</v>
      </c>
      <c r="N227">
        <f>YEAR(Table1[[#This Row],[Date]])</f>
        <v>2024</v>
      </c>
      <c r="O227" t="str">
        <f>TEXT(Table1[[#This Row],[Date]],"mmm")</f>
        <v>Mar</v>
      </c>
      <c r="P227">
        <f>MONTH(Table1[[#This Row],[Date]])</f>
        <v>3</v>
      </c>
    </row>
    <row r="228" spans="1:16" x14ac:dyDescent="0.25">
      <c r="A228" t="s">
        <v>247</v>
      </c>
      <c r="B228" t="s">
        <v>16</v>
      </c>
      <c r="C228" t="s">
        <v>19</v>
      </c>
      <c r="D228" s="1">
        <v>45587</v>
      </c>
      <c r="E228">
        <v>86976</v>
      </c>
      <c r="F228">
        <v>2025</v>
      </c>
      <c r="G228">
        <v>82</v>
      </c>
      <c r="H228" s="4">
        <v>4980.6499999999996</v>
      </c>
      <c r="I228" s="4">
        <v>5467.88</v>
      </c>
      <c r="J228" s="7">
        <f>Table1[[#This Row],[Clicks]]/Table1[[#This Row],[Impressions]]</f>
        <v>2.3282284768211921E-2</v>
      </c>
      <c r="K228" s="7">
        <f>IFERROR(Table1[[#This Row],[Conversions]]/Table1[[#This Row],[Clicks]],0)</f>
        <v>4.049382716049383E-2</v>
      </c>
      <c r="L228" s="6">
        <f>IF(Table1[[#This Row],[Conversions]]=0,0,Table1[[#This Row],[Ad Spend]]/Table1[[#This Row],[Conversions]])</f>
        <v>60.739634146341459</v>
      </c>
      <c r="M228" s="8">
        <f>IF(Table1[[#This Row],[Ad Spend]]=0,0,Table1[[#This Row],[Revenue]]/Table1[[#This Row],[Ad Spend]])</f>
        <v>1.0978245811289693</v>
      </c>
      <c r="N228">
        <f>YEAR(Table1[[#This Row],[Date]])</f>
        <v>2024</v>
      </c>
      <c r="O228" t="str">
        <f>TEXT(Table1[[#This Row],[Date]],"mmm")</f>
        <v>Oct</v>
      </c>
      <c r="P228">
        <f>MONTH(Table1[[#This Row],[Date]])</f>
        <v>10</v>
      </c>
    </row>
    <row r="229" spans="1:16" x14ac:dyDescent="0.25">
      <c r="A229" t="s">
        <v>248</v>
      </c>
      <c r="B229" t="s">
        <v>34</v>
      </c>
      <c r="C229" t="s">
        <v>17</v>
      </c>
      <c r="D229" s="1">
        <v>45303</v>
      </c>
      <c r="E229">
        <v>28605</v>
      </c>
      <c r="F229">
        <v>2178</v>
      </c>
      <c r="G229">
        <v>186</v>
      </c>
      <c r="H229" s="4">
        <v>4840.1000000000004</v>
      </c>
      <c r="I229" s="4">
        <v>7721.69</v>
      </c>
      <c r="J229" s="7">
        <f>Table1[[#This Row],[Clicks]]/Table1[[#This Row],[Impressions]]</f>
        <v>7.6140534871525958E-2</v>
      </c>
      <c r="K229" s="7">
        <f>IFERROR(Table1[[#This Row],[Conversions]]/Table1[[#This Row],[Clicks]],0)</f>
        <v>8.5399449035812675E-2</v>
      </c>
      <c r="L229" s="6">
        <f>IF(Table1[[#This Row],[Conversions]]=0,0,Table1[[#This Row],[Ad Spend]]/Table1[[#This Row],[Conversions]])</f>
        <v>26.022043010752689</v>
      </c>
      <c r="M229" s="8">
        <f>IF(Table1[[#This Row],[Ad Spend]]=0,0,Table1[[#This Row],[Revenue]]/Table1[[#This Row],[Ad Spend]])</f>
        <v>1.595357533935249</v>
      </c>
      <c r="N229">
        <f>YEAR(Table1[[#This Row],[Date]])</f>
        <v>2024</v>
      </c>
      <c r="O229" t="str">
        <f>TEXT(Table1[[#This Row],[Date]],"mmm")</f>
        <v>Jan</v>
      </c>
      <c r="P229">
        <f>MONTH(Table1[[#This Row],[Date]])</f>
        <v>1</v>
      </c>
    </row>
    <row r="230" spans="1:16" x14ac:dyDescent="0.25">
      <c r="A230" t="s">
        <v>249</v>
      </c>
      <c r="B230" t="s">
        <v>47</v>
      </c>
      <c r="C230" t="s">
        <v>10</v>
      </c>
      <c r="D230" s="1">
        <v>45317</v>
      </c>
      <c r="E230">
        <v>78755</v>
      </c>
      <c r="F230">
        <v>3515</v>
      </c>
      <c r="G230">
        <v>473</v>
      </c>
      <c r="H230" s="4">
        <v>3340.45</v>
      </c>
      <c r="I230" s="4">
        <v>31718.76</v>
      </c>
      <c r="J230" s="7">
        <f>Table1[[#This Row],[Clicks]]/Table1[[#This Row],[Impressions]]</f>
        <v>4.4632086851628471E-2</v>
      </c>
      <c r="K230" s="7">
        <f>IFERROR(Table1[[#This Row],[Conversions]]/Table1[[#This Row],[Clicks]],0)</f>
        <v>0.13456614509246087</v>
      </c>
      <c r="L230" s="6">
        <f>IF(Table1[[#This Row],[Conversions]]=0,0,Table1[[#This Row],[Ad Spend]]/Table1[[#This Row],[Conversions]])</f>
        <v>7.0622621564482024</v>
      </c>
      <c r="M230" s="8">
        <f>IF(Table1[[#This Row],[Ad Spend]]=0,0,Table1[[#This Row],[Revenue]]/Table1[[#This Row],[Ad Spend]])</f>
        <v>9.4953554161864417</v>
      </c>
      <c r="N230">
        <f>YEAR(Table1[[#This Row],[Date]])</f>
        <v>2024</v>
      </c>
      <c r="O230" t="str">
        <f>TEXT(Table1[[#This Row],[Date]],"mmm")</f>
        <v>Jan</v>
      </c>
      <c r="P230">
        <f>MONTH(Table1[[#This Row],[Date]])</f>
        <v>1</v>
      </c>
    </row>
    <row r="231" spans="1:16" x14ac:dyDescent="0.25">
      <c r="A231" t="s">
        <v>250</v>
      </c>
      <c r="B231" t="s">
        <v>31</v>
      </c>
      <c r="C231" t="s">
        <v>10</v>
      </c>
      <c r="D231" s="1">
        <v>45512</v>
      </c>
      <c r="E231">
        <v>40110</v>
      </c>
      <c r="F231">
        <v>2878</v>
      </c>
      <c r="G231">
        <v>329</v>
      </c>
      <c r="H231" s="4">
        <v>3866.51</v>
      </c>
      <c r="I231" s="4">
        <v>18619.34</v>
      </c>
      <c r="J231" s="7">
        <f>Table1[[#This Row],[Clicks]]/Table1[[#This Row],[Impressions]]</f>
        <v>7.1752680129643476E-2</v>
      </c>
      <c r="K231" s="7">
        <f>IFERROR(Table1[[#This Row],[Conversions]]/Table1[[#This Row],[Clicks]],0)</f>
        <v>0.11431549687282835</v>
      </c>
      <c r="L231" s="6">
        <f>IF(Table1[[#This Row],[Conversions]]=0,0,Table1[[#This Row],[Ad Spend]]/Table1[[#This Row],[Conversions]])</f>
        <v>11.752310030395137</v>
      </c>
      <c r="M231" s="8">
        <f>IF(Table1[[#This Row],[Ad Spend]]=0,0,Table1[[#This Row],[Revenue]]/Table1[[#This Row],[Ad Spend]])</f>
        <v>4.8155416641881175</v>
      </c>
      <c r="N231">
        <f>YEAR(Table1[[#This Row],[Date]])</f>
        <v>2024</v>
      </c>
      <c r="O231" t="str">
        <f>TEXT(Table1[[#This Row],[Date]],"mmm")</f>
        <v>Aug</v>
      </c>
      <c r="P231">
        <f>MONTH(Table1[[#This Row],[Date]])</f>
        <v>8</v>
      </c>
    </row>
    <row r="232" spans="1:16" x14ac:dyDescent="0.25">
      <c r="A232" t="s">
        <v>251</v>
      </c>
      <c r="B232" t="s">
        <v>21</v>
      </c>
      <c r="C232" t="s">
        <v>10</v>
      </c>
      <c r="D232" s="1">
        <v>45583</v>
      </c>
      <c r="E232">
        <v>56027</v>
      </c>
      <c r="F232">
        <v>1982</v>
      </c>
      <c r="G232">
        <v>114</v>
      </c>
      <c r="H232" s="4">
        <v>2054.4699999999998</v>
      </c>
      <c r="I232" s="4">
        <v>7414.04</v>
      </c>
      <c r="J232" s="7">
        <f>Table1[[#This Row],[Clicks]]/Table1[[#This Row],[Impressions]]</f>
        <v>3.5375800953111894E-2</v>
      </c>
      <c r="K232" s="7">
        <f>IFERROR(Table1[[#This Row],[Conversions]]/Table1[[#This Row],[Clicks]],0)</f>
        <v>5.7517658930373361E-2</v>
      </c>
      <c r="L232" s="6">
        <f>IF(Table1[[#This Row],[Conversions]]=0,0,Table1[[#This Row],[Ad Spend]]/Table1[[#This Row],[Conversions]])</f>
        <v>18.021666666666665</v>
      </c>
      <c r="M232" s="8">
        <f>IF(Table1[[#This Row],[Ad Spend]]=0,0,Table1[[#This Row],[Revenue]]/Table1[[#This Row],[Ad Spend]])</f>
        <v>3.6087360730504709</v>
      </c>
      <c r="N232">
        <f>YEAR(Table1[[#This Row],[Date]])</f>
        <v>2024</v>
      </c>
      <c r="O232" t="str">
        <f>TEXT(Table1[[#This Row],[Date]],"mmm")</f>
        <v>Oct</v>
      </c>
      <c r="P232">
        <f>MONTH(Table1[[#This Row],[Date]])</f>
        <v>10</v>
      </c>
    </row>
    <row r="233" spans="1:16" x14ac:dyDescent="0.25">
      <c r="A233" t="s">
        <v>252</v>
      </c>
      <c r="B233" t="s">
        <v>34</v>
      </c>
      <c r="C233" t="s">
        <v>12</v>
      </c>
      <c r="D233" s="1">
        <v>45640</v>
      </c>
      <c r="E233">
        <v>36145</v>
      </c>
      <c r="F233">
        <v>686</v>
      </c>
      <c r="G233">
        <v>22</v>
      </c>
      <c r="H233" s="4">
        <v>1991.35</v>
      </c>
      <c r="I233" s="4">
        <v>2610.9299999999998</v>
      </c>
      <c r="J233" s="7">
        <f>Table1[[#This Row],[Clicks]]/Table1[[#This Row],[Impressions]]</f>
        <v>1.8979111910361047E-2</v>
      </c>
      <c r="K233" s="7">
        <f>IFERROR(Table1[[#This Row],[Conversions]]/Table1[[#This Row],[Clicks]],0)</f>
        <v>3.2069970845481049E-2</v>
      </c>
      <c r="L233" s="6">
        <f>IF(Table1[[#This Row],[Conversions]]=0,0,Table1[[#This Row],[Ad Spend]]/Table1[[#This Row],[Conversions]])</f>
        <v>90.515909090909091</v>
      </c>
      <c r="M233" s="8">
        <f>IF(Table1[[#This Row],[Ad Spend]]=0,0,Table1[[#This Row],[Revenue]]/Table1[[#This Row],[Ad Spend]])</f>
        <v>1.3111356617370125</v>
      </c>
      <c r="N233">
        <f>YEAR(Table1[[#This Row],[Date]])</f>
        <v>2024</v>
      </c>
      <c r="O233" t="str">
        <f>TEXT(Table1[[#This Row],[Date]],"mmm")</f>
        <v>Dec</v>
      </c>
      <c r="P233">
        <f>MONTH(Table1[[#This Row],[Date]])</f>
        <v>12</v>
      </c>
    </row>
    <row r="234" spans="1:16" x14ac:dyDescent="0.25">
      <c r="A234" t="s">
        <v>253</v>
      </c>
      <c r="B234" t="s">
        <v>47</v>
      </c>
      <c r="C234" t="s">
        <v>37</v>
      </c>
      <c r="D234" s="1">
        <v>45393</v>
      </c>
      <c r="E234">
        <v>138463</v>
      </c>
      <c r="F234">
        <v>5275</v>
      </c>
      <c r="G234">
        <v>133</v>
      </c>
      <c r="H234" s="4">
        <v>386.79</v>
      </c>
      <c r="I234" s="4">
        <v>12150.77</v>
      </c>
      <c r="J234" s="7">
        <f>Table1[[#This Row],[Clicks]]/Table1[[#This Row],[Impressions]]</f>
        <v>3.8096820089121283E-2</v>
      </c>
      <c r="K234" s="7">
        <f>IFERROR(Table1[[#This Row],[Conversions]]/Table1[[#This Row],[Clicks]],0)</f>
        <v>2.5213270142180094E-2</v>
      </c>
      <c r="L234" s="6">
        <f>IF(Table1[[#This Row],[Conversions]]=0,0,Table1[[#This Row],[Ad Spend]]/Table1[[#This Row],[Conversions]])</f>
        <v>2.9081954887218044</v>
      </c>
      <c r="M234" s="8">
        <f>IF(Table1[[#This Row],[Ad Spend]]=0,0,Table1[[#This Row],[Revenue]]/Table1[[#This Row],[Ad Spend]])</f>
        <v>31.414385066832132</v>
      </c>
      <c r="N234">
        <f>YEAR(Table1[[#This Row],[Date]])</f>
        <v>2024</v>
      </c>
      <c r="O234" t="str">
        <f>TEXT(Table1[[#This Row],[Date]],"mmm")</f>
        <v>Apr</v>
      </c>
      <c r="P234">
        <f>MONTH(Table1[[#This Row],[Date]])</f>
        <v>4</v>
      </c>
    </row>
    <row r="235" spans="1:16" x14ac:dyDescent="0.25">
      <c r="A235" t="s">
        <v>254</v>
      </c>
      <c r="B235" t="s">
        <v>41</v>
      </c>
      <c r="C235" t="s">
        <v>12</v>
      </c>
      <c r="D235" s="1">
        <v>45525</v>
      </c>
      <c r="E235">
        <v>44043</v>
      </c>
      <c r="F235">
        <v>2309</v>
      </c>
      <c r="G235">
        <v>200</v>
      </c>
      <c r="H235" s="4">
        <v>1774.24</v>
      </c>
      <c r="I235" s="4">
        <v>16261.36</v>
      </c>
      <c r="J235" s="7">
        <f>Table1[[#This Row],[Clicks]]/Table1[[#This Row],[Impressions]]</f>
        <v>5.242603818995073E-2</v>
      </c>
      <c r="K235" s="7">
        <f>IFERROR(Table1[[#This Row],[Conversions]]/Table1[[#This Row],[Clicks]],0)</f>
        <v>8.6617583369423989E-2</v>
      </c>
      <c r="L235" s="6">
        <f>IF(Table1[[#This Row],[Conversions]]=0,0,Table1[[#This Row],[Ad Spend]]/Table1[[#This Row],[Conversions]])</f>
        <v>8.8712</v>
      </c>
      <c r="M235" s="8">
        <f>IF(Table1[[#This Row],[Ad Spend]]=0,0,Table1[[#This Row],[Revenue]]/Table1[[#This Row],[Ad Spend]])</f>
        <v>9.1652538551717928</v>
      </c>
      <c r="N235">
        <f>YEAR(Table1[[#This Row],[Date]])</f>
        <v>2024</v>
      </c>
      <c r="O235" t="str">
        <f>TEXT(Table1[[#This Row],[Date]],"mmm")</f>
        <v>Aug</v>
      </c>
      <c r="P235">
        <f>MONTH(Table1[[#This Row],[Date]])</f>
        <v>8</v>
      </c>
    </row>
    <row r="236" spans="1:16" x14ac:dyDescent="0.25">
      <c r="A236" t="s">
        <v>255</v>
      </c>
      <c r="B236" t="s">
        <v>16</v>
      </c>
      <c r="C236" t="s">
        <v>17</v>
      </c>
      <c r="D236" s="1">
        <v>45607</v>
      </c>
      <c r="E236">
        <v>83442</v>
      </c>
      <c r="F236">
        <v>4302</v>
      </c>
      <c r="G236">
        <v>369</v>
      </c>
      <c r="H236" s="4">
        <v>2646.63</v>
      </c>
      <c r="I236" s="4">
        <v>25455.34</v>
      </c>
      <c r="J236" s="7">
        <f>Table1[[#This Row],[Clicks]]/Table1[[#This Row],[Impressions]]</f>
        <v>5.1556769971956566E-2</v>
      </c>
      <c r="K236" s="7">
        <f>IFERROR(Table1[[#This Row],[Conversions]]/Table1[[#This Row],[Clicks]],0)</f>
        <v>8.5774058577405859E-2</v>
      </c>
      <c r="L236" s="6">
        <f>IF(Table1[[#This Row],[Conversions]]=0,0,Table1[[#This Row],[Ad Spend]]/Table1[[#This Row],[Conversions]])</f>
        <v>7.1724390243902443</v>
      </c>
      <c r="M236" s="8">
        <f>IF(Table1[[#This Row],[Ad Spend]]=0,0,Table1[[#This Row],[Revenue]]/Table1[[#This Row],[Ad Spend]])</f>
        <v>9.6180198970010924</v>
      </c>
      <c r="N236">
        <f>YEAR(Table1[[#This Row],[Date]])</f>
        <v>2024</v>
      </c>
      <c r="O236" t="str">
        <f>TEXT(Table1[[#This Row],[Date]],"mmm")</f>
        <v>Nov</v>
      </c>
      <c r="P236">
        <f>MONTH(Table1[[#This Row],[Date]])</f>
        <v>11</v>
      </c>
    </row>
    <row r="237" spans="1:16" x14ac:dyDescent="0.25">
      <c r="A237" t="s">
        <v>256</v>
      </c>
      <c r="B237" t="s">
        <v>34</v>
      </c>
      <c r="C237" t="s">
        <v>17</v>
      </c>
      <c r="D237" s="1">
        <v>45709</v>
      </c>
      <c r="E237">
        <v>9361</v>
      </c>
      <c r="F237">
        <v>334</v>
      </c>
      <c r="G237">
        <v>35</v>
      </c>
      <c r="H237" s="4">
        <v>4903.51</v>
      </c>
      <c r="I237" s="4">
        <v>2742.96</v>
      </c>
      <c r="J237" s="7">
        <f>Table1[[#This Row],[Clicks]]/Table1[[#This Row],[Impressions]]</f>
        <v>3.5679948723426981E-2</v>
      </c>
      <c r="K237" s="7">
        <f>IFERROR(Table1[[#This Row],[Conversions]]/Table1[[#This Row],[Clicks]],0)</f>
        <v>0.10479041916167664</v>
      </c>
      <c r="L237" s="6">
        <f>IF(Table1[[#This Row],[Conversions]]=0,0,Table1[[#This Row],[Ad Spend]]/Table1[[#This Row],[Conversions]])</f>
        <v>140.10028571428572</v>
      </c>
      <c r="M237" s="8">
        <f>IF(Table1[[#This Row],[Ad Spend]]=0,0,Table1[[#This Row],[Revenue]]/Table1[[#This Row],[Ad Spend]])</f>
        <v>0.55938705131630195</v>
      </c>
      <c r="N237">
        <f>YEAR(Table1[[#This Row],[Date]])</f>
        <v>2025</v>
      </c>
      <c r="O237" t="str">
        <f>TEXT(Table1[[#This Row],[Date]],"mmm")</f>
        <v>Feb</v>
      </c>
      <c r="P237">
        <f>MONTH(Table1[[#This Row],[Date]])</f>
        <v>2</v>
      </c>
    </row>
    <row r="238" spans="1:16" x14ac:dyDescent="0.25">
      <c r="A238" t="s">
        <v>257</v>
      </c>
      <c r="B238" t="s">
        <v>31</v>
      </c>
      <c r="C238" t="s">
        <v>12</v>
      </c>
      <c r="D238" s="1">
        <v>45534</v>
      </c>
      <c r="E238">
        <v>74607</v>
      </c>
      <c r="F238">
        <v>5796</v>
      </c>
      <c r="G238">
        <v>705</v>
      </c>
      <c r="H238" s="4">
        <v>3925.58</v>
      </c>
      <c r="I238" s="4">
        <v>54823.22</v>
      </c>
      <c r="J238" s="7">
        <f>Table1[[#This Row],[Clicks]]/Table1[[#This Row],[Impressions]]</f>
        <v>7.7687080300776062E-2</v>
      </c>
      <c r="K238" s="7">
        <f>IFERROR(Table1[[#This Row],[Conversions]]/Table1[[#This Row],[Clicks]],0)</f>
        <v>0.12163561076604555</v>
      </c>
      <c r="L238" s="6">
        <f>IF(Table1[[#This Row],[Conversions]]=0,0,Table1[[#This Row],[Ad Spend]]/Table1[[#This Row],[Conversions]])</f>
        <v>5.5681985815602832</v>
      </c>
      <c r="M238" s="8">
        <f>IF(Table1[[#This Row],[Ad Spend]]=0,0,Table1[[#This Row],[Revenue]]/Table1[[#This Row],[Ad Spend]])</f>
        <v>13.965635651292294</v>
      </c>
      <c r="N238">
        <f>YEAR(Table1[[#This Row],[Date]])</f>
        <v>2024</v>
      </c>
      <c r="O238" t="str">
        <f>TEXT(Table1[[#This Row],[Date]],"mmm")</f>
        <v>Aug</v>
      </c>
      <c r="P238">
        <f>MONTH(Table1[[#This Row],[Date]])</f>
        <v>8</v>
      </c>
    </row>
    <row r="239" spans="1:16" x14ac:dyDescent="0.25">
      <c r="A239" t="s">
        <v>258</v>
      </c>
      <c r="B239" t="s">
        <v>31</v>
      </c>
      <c r="C239" t="s">
        <v>12</v>
      </c>
      <c r="D239" s="1">
        <v>45537</v>
      </c>
      <c r="E239">
        <v>49698</v>
      </c>
      <c r="F239">
        <v>2320</v>
      </c>
      <c r="G239">
        <v>263</v>
      </c>
      <c r="H239" s="4">
        <v>3918.11</v>
      </c>
      <c r="I239" s="4">
        <v>15259.01</v>
      </c>
      <c r="J239" s="7">
        <f>Table1[[#This Row],[Clicks]]/Table1[[#This Row],[Impressions]]</f>
        <v>4.668195903255664E-2</v>
      </c>
      <c r="K239" s="7">
        <f>IFERROR(Table1[[#This Row],[Conversions]]/Table1[[#This Row],[Clicks]],0)</f>
        <v>0.11336206896551725</v>
      </c>
      <c r="L239" s="6">
        <f>IF(Table1[[#This Row],[Conversions]]=0,0,Table1[[#This Row],[Ad Spend]]/Table1[[#This Row],[Conversions]])</f>
        <v>14.897756653992396</v>
      </c>
      <c r="M239" s="8">
        <f>IF(Table1[[#This Row],[Ad Spend]]=0,0,Table1[[#This Row],[Revenue]]/Table1[[#This Row],[Ad Spend]])</f>
        <v>3.8944822886544785</v>
      </c>
      <c r="N239">
        <f>YEAR(Table1[[#This Row],[Date]])</f>
        <v>2024</v>
      </c>
      <c r="O239" t="str">
        <f>TEXT(Table1[[#This Row],[Date]],"mmm")</f>
        <v>Sept</v>
      </c>
      <c r="P239">
        <f>MONTH(Table1[[#This Row],[Date]])</f>
        <v>9</v>
      </c>
    </row>
    <row r="240" spans="1:16" x14ac:dyDescent="0.25">
      <c r="A240" t="s">
        <v>259</v>
      </c>
      <c r="B240" t="s">
        <v>14</v>
      </c>
      <c r="C240" t="s">
        <v>10</v>
      </c>
      <c r="D240" s="1">
        <v>45585</v>
      </c>
      <c r="E240">
        <v>33808</v>
      </c>
      <c r="F240">
        <v>789</v>
      </c>
      <c r="G240">
        <v>61</v>
      </c>
      <c r="H240" s="4">
        <v>2210.15</v>
      </c>
      <c r="I240" s="4">
        <v>3739.06</v>
      </c>
      <c r="J240" s="7">
        <f>Table1[[#This Row],[Clicks]]/Table1[[#This Row],[Impressions]]</f>
        <v>2.3337671557027921E-2</v>
      </c>
      <c r="K240" s="7">
        <f>IFERROR(Table1[[#This Row],[Conversions]]/Table1[[#This Row],[Clicks]],0)</f>
        <v>7.731305449936629E-2</v>
      </c>
      <c r="L240" s="6">
        <f>IF(Table1[[#This Row],[Conversions]]=0,0,Table1[[#This Row],[Ad Spend]]/Table1[[#This Row],[Conversions]])</f>
        <v>36.231967213114757</v>
      </c>
      <c r="M240" s="8">
        <f>IF(Table1[[#This Row],[Ad Spend]]=0,0,Table1[[#This Row],[Revenue]]/Table1[[#This Row],[Ad Spend]])</f>
        <v>1.6917675270909214</v>
      </c>
      <c r="N240">
        <f>YEAR(Table1[[#This Row],[Date]])</f>
        <v>2024</v>
      </c>
      <c r="O240" t="str">
        <f>TEXT(Table1[[#This Row],[Date]],"mmm")</f>
        <v>Oct</v>
      </c>
      <c r="P240">
        <f>MONTH(Table1[[#This Row],[Date]])</f>
        <v>10</v>
      </c>
    </row>
    <row r="241" spans="1:16" x14ac:dyDescent="0.25">
      <c r="A241" t="s">
        <v>260</v>
      </c>
      <c r="B241" t="s">
        <v>14</v>
      </c>
      <c r="C241" t="s">
        <v>17</v>
      </c>
      <c r="D241" s="1">
        <v>45548</v>
      </c>
      <c r="E241">
        <v>128628</v>
      </c>
      <c r="F241">
        <v>9145</v>
      </c>
      <c r="G241">
        <v>1057</v>
      </c>
      <c r="H241" s="4">
        <v>498.95</v>
      </c>
      <c r="I241" s="4">
        <v>35735.32</v>
      </c>
      <c r="J241" s="7">
        <f>Table1[[#This Row],[Clicks]]/Table1[[#This Row],[Impressions]]</f>
        <v>7.1096495319837055E-2</v>
      </c>
      <c r="K241" s="7">
        <f>IFERROR(Table1[[#This Row],[Conversions]]/Table1[[#This Row],[Clicks]],0)</f>
        <v>0.11558228540185894</v>
      </c>
      <c r="L241" s="6">
        <f>IF(Table1[[#This Row],[Conversions]]=0,0,Table1[[#This Row],[Ad Spend]]/Table1[[#This Row],[Conversions]])</f>
        <v>0.47204351939451278</v>
      </c>
      <c r="M241" s="8">
        <f>IF(Table1[[#This Row],[Ad Spend]]=0,0,Table1[[#This Row],[Revenue]]/Table1[[#This Row],[Ad Spend]])</f>
        <v>71.621044192804888</v>
      </c>
      <c r="N241">
        <f>YEAR(Table1[[#This Row],[Date]])</f>
        <v>2024</v>
      </c>
      <c r="O241" t="str">
        <f>TEXT(Table1[[#This Row],[Date]],"mmm")</f>
        <v>Sept</v>
      </c>
      <c r="P241">
        <f>MONTH(Table1[[#This Row],[Date]])</f>
        <v>9</v>
      </c>
    </row>
    <row r="242" spans="1:16" x14ac:dyDescent="0.25">
      <c r="A242" t="s">
        <v>261</v>
      </c>
      <c r="B242" t="s">
        <v>14</v>
      </c>
      <c r="C242" t="s">
        <v>12</v>
      </c>
      <c r="D242" s="1">
        <v>45458</v>
      </c>
      <c r="E242">
        <v>130402</v>
      </c>
      <c r="F242">
        <v>6100</v>
      </c>
      <c r="G242">
        <v>370</v>
      </c>
      <c r="H242" s="4">
        <v>1031.28</v>
      </c>
      <c r="I242" s="4">
        <v>41148.589999999997</v>
      </c>
      <c r="J242" s="7">
        <f>Table1[[#This Row],[Clicks]]/Table1[[#This Row],[Impressions]]</f>
        <v>4.6778423643809144E-2</v>
      </c>
      <c r="K242" s="7">
        <f>IFERROR(Table1[[#This Row],[Conversions]]/Table1[[#This Row],[Clicks]],0)</f>
        <v>6.0655737704918035E-2</v>
      </c>
      <c r="L242" s="6">
        <f>IF(Table1[[#This Row],[Conversions]]=0,0,Table1[[#This Row],[Ad Spend]]/Table1[[#This Row],[Conversions]])</f>
        <v>2.787243243243243</v>
      </c>
      <c r="M242" s="8">
        <f>IF(Table1[[#This Row],[Ad Spend]]=0,0,Table1[[#This Row],[Revenue]]/Table1[[#This Row],[Ad Spend]])</f>
        <v>39.900502288418274</v>
      </c>
      <c r="N242">
        <f>YEAR(Table1[[#This Row],[Date]])</f>
        <v>2024</v>
      </c>
      <c r="O242" t="str">
        <f>TEXT(Table1[[#This Row],[Date]],"mmm")</f>
        <v>Jun</v>
      </c>
      <c r="P242">
        <f>MONTH(Table1[[#This Row],[Date]])</f>
        <v>6</v>
      </c>
    </row>
    <row r="243" spans="1:16" x14ac:dyDescent="0.25">
      <c r="A243" t="s">
        <v>262</v>
      </c>
      <c r="B243" t="s">
        <v>47</v>
      </c>
      <c r="C243" t="s">
        <v>12</v>
      </c>
      <c r="D243" s="1">
        <v>45473</v>
      </c>
      <c r="E243">
        <v>74300</v>
      </c>
      <c r="F243">
        <v>3916</v>
      </c>
      <c r="G243">
        <v>176</v>
      </c>
      <c r="H243" s="4">
        <v>1383.29</v>
      </c>
      <c r="I243" s="4">
        <v>13342.33</v>
      </c>
      <c r="J243" s="7">
        <f>Table1[[#This Row],[Clicks]]/Table1[[#This Row],[Impressions]]</f>
        <v>5.2705248990578733E-2</v>
      </c>
      <c r="K243" s="7">
        <f>IFERROR(Table1[[#This Row],[Conversions]]/Table1[[#This Row],[Clicks]],0)</f>
        <v>4.49438202247191E-2</v>
      </c>
      <c r="L243" s="6">
        <f>IF(Table1[[#This Row],[Conversions]]=0,0,Table1[[#This Row],[Ad Spend]]/Table1[[#This Row],[Conversions]])</f>
        <v>7.8596022727272725</v>
      </c>
      <c r="M243" s="8">
        <f>IF(Table1[[#This Row],[Ad Spend]]=0,0,Table1[[#This Row],[Revenue]]/Table1[[#This Row],[Ad Spend]])</f>
        <v>9.6453599751317505</v>
      </c>
      <c r="N243">
        <f>YEAR(Table1[[#This Row],[Date]])</f>
        <v>2024</v>
      </c>
      <c r="O243" t="str">
        <f>TEXT(Table1[[#This Row],[Date]],"mmm")</f>
        <v>Jun</v>
      </c>
      <c r="P243">
        <f>MONTH(Table1[[#This Row],[Date]])</f>
        <v>6</v>
      </c>
    </row>
    <row r="244" spans="1:16" x14ac:dyDescent="0.25">
      <c r="A244" t="s">
        <v>263</v>
      </c>
      <c r="B244" t="s">
        <v>14</v>
      </c>
      <c r="C244" t="s">
        <v>19</v>
      </c>
      <c r="D244" s="1">
        <v>45686</v>
      </c>
      <c r="E244">
        <v>80760</v>
      </c>
      <c r="F244">
        <v>4792</v>
      </c>
      <c r="G244">
        <v>525</v>
      </c>
      <c r="H244" s="4">
        <v>2547.21</v>
      </c>
      <c r="I244" s="4">
        <v>35689.68</v>
      </c>
      <c r="J244" s="7">
        <f>Table1[[#This Row],[Clicks]]/Table1[[#This Row],[Impressions]]</f>
        <v>5.9336305101535411E-2</v>
      </c>
      <c r="K244" s="7">
        <f>IFERROR(Table1[[#This Row],[Conversions]]/Table1[[#This Row],[Clicks]],0)</f>
        <v>0.10955759599332221</v>
      </c>
      <c r="L244" s="6">
        <f>IF(Table1[[#This Row],[Conversions]]=0,0,Table1[[#This Row],[Ad Spend]]/Table1[[#This Row],[Conversions]])</f>
        <v>4.8518285714285714</v>
      </c>
      <c r="M244" s="8">
        <f>IF(Table1[[#This Row],[Ad Spend]]=0,0,Table1[[#This Row],[Revenue]]/Table1[[#This Row],[Ad Spend]])</f>
        <v>14.011282933091501</v>
      </c>
      <c r="N244">
        <f>YEAR(Table1[[#This Row],[Date]])</f>
        <v>2025</v>
      </c>
      <c r="O244" t="str">
        <f>TEXT(Table1[[#This Row],[Date]],"mmm")</f>
        <v>Jan</v>
      </c>
      <c r="P244">
        <f>MONTH(Table1[[#This Row],[Date]])</f>
        <v>1</v>
      </c>
    </row>
    <row r="245" spans="1:16" x14ac:dyDescent="0.25">
      <c r="A245" t="s">
        <v>264</v>
      </c>
      <c r="B245" t="s">
        <v>34</v>
      </c>
      <c r="C245" t="s">
        <v>19</v>
      </c>
      <c r="D245" s="1">
        <v>45354</v>
      </c>
      <c r="E245">
        <v>147394</v>
      </c>
      <c r="F245">
        <v>5391</v>
      </c>
      <c r="G245">
        <v>794</v>
      </c>
      <c r="H245" s="4">
        <v>4128.21</v>
      </c>
      <c r="I245" s="4">
        <v>91675.94</v>
      </c>
      <c r="J245" s="7">
        <f>Table1[[#This Row],[Clicks]]/Table1[[#This Row],[Impressions]]</f>
        <v>3.6575437263389285E-2</v>
      </c>
      <c r="K245" s="7">
        <f>IFERROR(Table1[[#This Row],[Conversions]]/Table1[[#This Row],[Clicks]],0)</f>
        <v>0.14728250788350955</v>
      </c>
      <c r="L245" s="6">
        <f>IF(Table1[[#This Row],[Conversions]]=0,0,Table1[[#This Row],[Ad Spend]]/Table1[[#This Row],[Conversions]])</f>
        <v>5.1992569269521409</v>
      </c>
      <c r="M245" s="8">
        <f>IF(Table1[[#This Row],[Ad Spend]]=0,0,Table1[[#This Row],[Revenue]]/Table1[[#This Row],[Ad Spend]])</f>
        <v>22.207189072261343</v>
      </c>
      <c r="N245">
        <f>YEAR(Table1[[#This Row],[Date]])</f>
        <v>2024</v>
      </c>
      <c r="O245" t="str">
        <f>TEXT(Table1[[#This Row],[Date]],"mmm")</f>
        <v>Mar</v>
      </c>
      <c r="P245">
        <f>MONTH(Table1[[#This Row],[Date]])</f>
        <v>3</v>
      </c>
    </row>
    <row r="246" spans="1:16" x14ac:dyDescent="0.25">
      <c r="A246" t="s">
        <v>265</v>
      </c>
      <c r="B246" t="s">
        <v>16</v>
      </c>
      <c r="C246" t="s">
        <v>19</v>
      </c>
      <c r="D246" s="1">
        <v>45313</v>
      </c>
      <c r="E246">
        <v>80400</v>
      </c>
      <c r="F246">
        <v>6180</v>
      </c>
      <c r="G246">
        <v>187</v>
      </c>
      <c r="H246" s="4">
        <v>4635.25</v>
      </c>
      <c r="I246" s="4">
        <v>16006.68</v>
      </c>
      <c r="J246" s="7">
        <f>Table1[[#This Row],[Clicks]]/Table1[[#This Row],[Impressions]]</f>
        <v>7.6865671641791047E-2</v>
      </c>
      <c r="K246" s="7">
        <f>IFERROR(Table1[[#This Row],[Conversions]]/Table1[[#This Row],[Clicks]],0)</f>
        <v>3.0258899676375406E-2</v>
      </c>
      <c r="L246" s="6">
        <f>IF(Table1[[#This Row],[Conversions]]=0,0,Table1[[#This Row],[Ad Spend]]/Table1[[#This Row],[Conversions]])</f>
        <v>24.787433155080215</v>
      </c>
      <c r="M246" s="8">
        <f>IF(Table1[[#This Row],[Ad Spend]]=0,0,Table1[[#This Row],[Revenue]]/Table1[[#This Row],[Ad Spend]])</f>
        <v>3.4532506337306512</v>
      </c>
      <c r="N246">
        <f>YEAR(Table1[[#This Row],[Date]])</f>
        <v>2024</v>
      </c>
      <c r="O246" t="str">
        <f>TEXT(Table1[[#This Row],[Date]],"mmm")</f>
        <v>Jan</v>
      </c>
      <c r="P246">
        <f>MONTH(Table1[[#This Row],[Date]])</f>
        <v>1</v>
      </c>
    </row>
    <row r="247" spans="1:16" x14ac:dyDescent="0.25">
      <c r="A247" t="s">
        <v>266</v>
      </c>
      <c r="B247" t="s">
        <v>41</v>
      </c>
      <c r="C247" t="s">
        <v>37</v>
      </c>
      <c r="D247" s="1">
        <v>45395</v>
      </c>
      <c r="E247">
        <v>146184</v>
      </c>
      <c r="F247">
        <v>4236</v>
      </c>
      <c r="G247">
        <v>394</v>
      </c>
      <c r="H247" s="4">
        <v>1503.78</v>
      </c>
      <c r="I247" s="4">
        <v>12183.53</v>
      </c>
      <c r="J247" s="7">
        <f>Table1[[#This Row],[Clicks]]/Table1[[#This Row],[Impressions]]</f>
        <v>2.897717944508291E-2</v>
      </c>
      <c r="K247" s="7">
        <f>IFERROR(Table1[[#This Row],[Conversions]]/Table1[[#This Row],[Clicks]],0)</f>
        <v>9.3012275731822469E-2</v>
      </c>
      <c r="L247" s="6">
        <f>IF(Table1[[#This Row],[Conversions]]=0,0,Table1[[#This Row],[Ad Spend]]/Table1[[#This Row],[Conversions]])</f>
        <v>3.8167005076142133</v>
      </c>
      <c r="M247" s="8">
        <f>IF(Table1[[#This Row],[Ad Spend]]=0,0,Table1[[#This Row],[Revenue]]/Table1[[#This Row],[Ad Spend]])</f>
        <v>8.1019364534705876</v>
      </c>
      <c r="N247">
        <f>YEAR(Table1[[#This Row],[Date]])</f>
        <v>2024</v>
      </c>
      <c r="O247" t="str">
        <f>TEXT(Table1[[#This Row],[Date]],"mmm")</f>
        <v>Apr</v>
      </c>
      <c r="P247">
        <f>MONTH(Table1[[#This Row],[Date]])</f>
        <v>4</v>
      </c>
    </row>
    <row r="248" spans="1:16" x14ac:dyDescent="0.25">
      <c r="A248" t="s">
        <v>267</v>
      </c>
      <c r="B248" t="s">
        <v>14</v>
      </c>
      <c r="C248" t="s">
        <v>37</v>
      </c>
      <c r="D248" s="1">
        <v>45317</v>
      </c>
      <c r="E248">
        <v>144209</v>
      </c>
      <c r="F248">
        <v>3720</v>
      </c>
      <c r="G248">
        <v>186</v>
      </c>
      <c r="H248" s="4">
        <v>680.95</v>
      </c>
      <c r="I248" s="4">
        <v>9863.4599999999991</v>
      </c>
      <c r="J248" s="7">
        <f>Table1[[#This Row],[Clicks]]/Table1[[#This Row],[Impressions]]</f>
        <v>2.5795893460186257E-2</v>
      </c>
      <c r="K248" s="7">
        <f>IFERROR(Table1[[#This Row],[Conversions]]/Table1[[#This Row],[Clicks]],0)</f>
        <v>0.05</v>
      </c>
      <c r="L248" s="6">
        <f>IF(Table1[[#This Row],[Conversions]]=0,0,Table1[[#This Row],[Ad Spend]]/Table1[[#This Row],[Conversions]])</f>
        <v>3.6610215053763442</v>
      </c>
      <c r="M248" s="8">
        <f>IF(Table1[[#This Row],[Ad Spend]]=0,0,Table1[[#This Row],[Revenue]]/Table1[[#This Row],[Ad Spend]])</f>
        <v>14.484852044937218</v>
      </c>
      <c r="N248">
        <f>YEAR(Table1[[#This Row],[Date]])</f>
        <v>2024</v>
      </c>
      <c r="O248" t="str">
        <f>TEXT(Table1[[#This Row],[Date]],"mmm")</f>
        <v>Jan</v>
      </c>
      <c r="P248">
        <f>MONTH(Table1[[#This Row],[Date]])</f>
        <v>1</v>
      </c>
    </row>
    <row r="249" spans="1:16" x14ac:dyDescent="0.25">
      <c r="A249" t="s">
        <v>268</v>
      </c>
      <c r="B249" t="s">
        <v>41</v>
      </c>
      <c r="C249" t="s">
        <v>10</v>
      </c>
      <c r="D249" s="1">
        <v>45640</v>
      </c>
      <c r="E249">
        <v>41036</v>
      </c>
      <c r="F249">
        <v>425</v>
      </c>
      <c r="G249">
        <v>38</v>
      </c>
      <c r="H249" s="4">
        <v>4659.68</v>
      </c>
      <c r="I249" s="4">
        <v>2306.25</v>
      </c>
      <c r="J249" s="7">
        <f>Table1[[#This Row],[Clicks]]/Table1[[#This Row],[Impressions]]</f>
        <v>1.0356759918120675E-2</v>
      </c>
      <c r="K249" s="7">
        <f>IFERROR(Table1[[#This Row],[Conversions]]/Table1[[#This Row],[Clicks]],0)</f>
        <v>8.9411764705882357E-2</v>
      </c>
      <c r="L249" s="6">
        <f>IF(Table1[[#This Row],[Conversions]]=0,0,Table1[[#This Row],[Ad Spend]]/Table1[[#This Row],[Conversions]])</f>
        <v>122.62315789473685</v>
      </c>
      <c r="M249" s="8">
        <f>IF(Table1[[#This Row],[Ad Spend]]=0,0,Table1[[#This Row],[Revenue]]/Table1[[#This Row],[Ad Spend]])</f>
        <v>0.49493742059540569</v>
      </c>
      <c r="N249">
        <f>YEAR(Table1[[#This Row],[Date]])</f>
        <v>2024</v>
      </c>
      <c r="O249" t="str">
        <f>TEXT(Table1[[#This Row],[Date]],"mmm")</f>
        <v>Dec</v>
      </c>
      <c r="P249">
        <f>MONTH(Table1[[#This Row],[Date]])</f>
        <v>12</v>
      </c>
    </row>
    <row r="250" spans="1:16" x14ac:dyDescent="0.25">
      <c r="A250" t="s">
        <v>269</v>
      </c>
      <c r="B250" t="s">
        <v>41</v>
      </c>
      <c r="C250" t="s">
        <v>17</v>
      </c>
      <c r="D250" s="1">
        <v>45625</v>
      </c>
      <c r="E250">
        <v>57286</v>
      </c>
      <c r="F250">
        <v>3604</v>
      </c>
      <c r="G250">
        <v>206</v>
      </c>
      <c r="H250" s="4">
        <v>1569.99</v>
      </c>
      <c r="I250" s="4">
        <v>5338.75</v>
      </c>
      <c r="J250" s="7">
        <f>Table1[[#This Row],[Clicks]]/Table1[[#This Row],[Impressions]]</f>
        <v>6.2912404426910595E-2</v>
      </c>
      <c r="K250" s="7">
        <f>IFERROR(Table1[[#This Row],[Conversions]]/Table1[[#This Row],[Clicks]],0)</f>
        <v>5.7158712541620423E-2</v>
      </c>
      <c r="L250" s="6">
        <f>IF(Table1[[#This Row],[Conversions]]=0,0,Table1[[#This Row],[Ad Spend]]/Table1[[#This Row],[Conversions]])</f>
        <v>7.6213106796116508</v>
      </c>
      <c r="M250" s="8">
        <f>IF(Table1[[#This Row],[Ad Spend]]=0,0,Table1[[#This Row],[Revenue]]/Table1[[#This Row],[Ad Spend]])</f>
        <v>3.4004993662380016</v>
      </c>
      <c r="N250">
        <f>YEAR(Table1[[#This Row],[Date]])</f>
        <v>2024</v>
      </c>
      <c r="O250" t="str">
        <f>TEXT(Table1[[#This Row],[Date]],"mmm")</f>
        <v>Nov</v>
      </c>
      <c r="P250">
        <f>MONTH(Table1[[#This Row],[Date]])</f>
        <v>11</v>
      </c>
    </row>
    <row r="251" spans="1:16" x14ac:dyDescent="0.25">
      <c r="A251" t="s">
        <v>270</v>
      </c>
      <c r="B251" t="s">
        <v>9</v>
      </c>
      <c r="C251" t="s">
        <v>12</v>
      </c>
      <c r="D251" s="1">
        <v>45410</v>
      </c>
      <c r="E251">
        <v>145286</v>
      </c>
      <c r="F251">
        <v>8965</v>
      </c>
      <c r="G251">
        <v>1170</v>
      </c>
      <c r="H251" s="4">
        <v>379.03</v>
      </c>
      <c r="I251" s="4">
        <v>131212.09</v>
      </c>
      <c r="J251" s="7">
        <f>Table1[[#This Row],[Clicks]]/Table1[[#This Row],[Impressions]]</f>
        <v>6.1705876684608287E-2</v>
      </c>
      <c r="K251" s="7">
        <f>IFERROR(Table1[[#This Row],[Conversions]]/Table1[[#This Row],[Clicks]],0)</f>
        <v>0.13050752928053541</v>
      </c>
      <c r="L251" s="6">
        <f>IF(Table1[[#This Row],[Conversions]]=0,0,Table1[[#This Row],[Ad Spend]]/Table1[[#This Row],[Conversions]])</f>
        <v>0.32395726495726496</v>
      </c>
      <c r="M251" s="8">
        <f>IF(Table1[[#This Row],[Ad Spend]]=0,0,Table1[[#This Row],[Revenue]]/Table1[[#This Row],[Ad Spend]])</f>
        <v>346.17864021317575</v>
      </c>
      <c r="N251">
        <f>YEAR(Table1[[#This Row],[Date]])</f>
        <v>2024</v>
      </c>
      <c r="O251" t="str">
        <f>TEXT(Table1[[#This Row],[Date]],"mmm")</f>
        <v>Apr</v>
      </c>
      <c r="P251">
        <f>MONTH(Table1[[#This Row],[Date]])</f>
        <v>4</v>
      </c>
    </row>
    <row r="252" spans="1:16" x14ac:dyDescent="0.25">
      <c r="A252" t="s">
        <v>271</v>
      </c>
      <c r="B252" t="s">
        <v>21</v>
      </c>
      <c r="C252" t="s">
        <v>37</v>
      </c>
      <c r="D252" s="1">
        <v>45310</v>
      </c>
      <c r="E252">
        <v>109069</v>
      </c>
      <c r="F252">
        <v>7106</v>
      </c>
      <c r="G252">
        <v>314</v>
      </c>
      <c r="H252" s="4">
        <v>3795.22</v>
      </c>
      <c r="I252" s="4">
        <v>33669.93</v>
      </c>
      <c r="J252" s="7">
        <f>Table1[[#This Row],[Clicks]]/Table1[[#This Row],[Impressions]]</f>
        <v>6.5151417909763545E-2</v>
      </c>
      <c r="K252" s="7">
        <f>IFERROR(Table1[[#This Row],[Conversions]]/Table1[[#This Row],[Clicks]],0)</f>
        <v>4.4188010132282581E-2</v>
      </c>
      <c r="L252" s="6">
        <f>IF(Table1[[#This Row],[Conversions]]=0,0,Table1[[#This Row],[Ad Spend]]/Table1[[#This Row],[Conversions]])</f>
        <v>12.086687898089171</v>
      </c>
      <c r="M252" s="8">
        <f>IF(Table1[[#This Row],[Ad Spend]]=0,0,Table1[[#This Row],[Revenue]]/Table1[[#This Row],[Ad Spend]])</f>
        <v>8.8716675186155225</v>
      </c>
      <c r="N252">
        <f>YEAR(Table1[[#This Row],[Date]])</f>
        <v>2024</v>
      </c>
      <c r="O252" t="str">
        <f>TEXT(Table1[[#This Row],[Date]],"mmm")</f>
        <v>Jan</v>
      </c>
      <c r="P252">
        <f>MONTH(Table1[[#This Row],[Date]])</f>
        <v>1</v>
      </c>
    </row>
    <row r="253" spans="1:16" x14ac:dyDescent="0.25">
      <c r="A253" t="s">
        <v>272</v>
      </c>
      <c r="B253" t="s">
        <v>34</v>
      </c>
      <c r="C253" t="s">
        <v>10</v>
      </c>
      <c r="D253" s="1">
        <v>45296</v>
      </c>
      <c r="E253">
        <v>83221</v>
      </c>
      <c r="F253">
        <v>4140</v>
      </c>
      <c r="G253">
        <v>140</v>
      </c>
      <c r="H253" s="4">
        <v>4918.37</v>
      </c>
      <c r="I253" s="4">
        <v>6783.86</v>
      </c>
      <c r="J253" s="7">
        <f>Table1[[#This Row],[Clicks]]/Table1[[#This Row],[Impressions]]</f>
        <v>4.9747059035579959E-2</v>
      </c>
      <c r="K253" s="7">
        <f>IFERROR(Table1[[#This Row],[Conversions]]/Table1[[#This Row],[Clicks]],0)</f>
        <v>3.3816425120772944E-2</v>
      </c>
      <c r="L253" s="6">
        <f>IF(Table1[[#This Row],[Conversions]]=0,0,Table1[[#This Row],[Ad Spend]]/Table1[[#This Row],[Conversions]])</f>
        <v>35.131214285714286</v>
      </c>
      <c r="M253" s="8">
        <f>IF(Table1[[#This Row],[Ad Spend]]=0,0,Table1[[#This Row],[Revenue]]/Table1[[#This Row],[Ad Spend]])</f>
        <v>1.3792902933288873</v>
      </c>
      <c r="N253">
        <f>YEAR(Table1[[#This Row],[Date]])</f>
        <v>2024</v>
      </c>
      <c r="O253" t="str">
        <f>TEXT(Table1[[#This Row],[Date]],"mmm")</f>
        <v>Jan</v>
      </c>
      <c r="P253">
        <f>MONTH(Table1[[#This Row],[Date]])</f>
        <v>1</v>
      </c>
    </row>
    <row r="254" spans="1:16" x14ac:dyDescent="0.25">
      <c r="A254" t="s">
        <v>273</v>
      </c>
      <c r="B254" t="s">
        <v>41</v>
      </c>
      <c r="C254" t="s">
        <v>37</v>
      </c>
      <c r="D254" s="1">
        <v>45550</v>
      </c>
      <c r="E254">
        <v>127688</v>
      </c>
      <c r="F254">
        <v>3715</v>
      </c>
      <c r="G254">
        <v>464</v>
      </c>
      <c r="H254" s="4">
        <v>1787.28</v>
      </c>
      <c r="I254" s="4">
        <v>43203.93</v>
      </c>
      <c r="J254" s="7">
        <f>Table1[[#This Row],[Clicks]]/Table1[[#This Row],[Impressions]]</f>
        <v>2.9094354990288829E-2</v>
      </c>
      <c r="K254" s="7">
        <f>IFERROR(Table1[[#This Row],[Conversions]]/Table1[[#This Row],[Clicks]],0)</f>
        <v>0.12489905787348587</v>
      </c>
      <c r="L254" s="6">
        <f>IF(Table1[[#This Row],[Conversions]]=0,0,Table1[[#This Row],[Ad Spend]]/Table1[[#This Row],[Conversions]])</f>
        <v>3.8518965517241379</v>
      </c>
      <c r="M254" s="8">
        <f>IF(Table1[[#This Row],[Ad Spend]]=0,0,Table1[[#This Row],[Revenue]]/Table1[[#This Row],[Ad Spend]])</f>
        <v>24.173005908419498</v>
      </c>
      <c r="N254">
        <f>YEAR(Table1[[#This Row],[Date]])</f>
        <v>2024</v>
      </c>
      <c r="O254" t="str">
        <f>TEXT(Table1[[#This Row],[Date]],"mmm")</f>
        <v>Sept</v>
      </c>
      <c r="P254">
        <f>MONTH(Table1[[#This Row],[Date]])</f>
        <v>9</v>
      </c>
    </row>
    <row r="255" spans="1:16" x14ac:dyDescent="0.25">
      <c r="A255" t="s">
        <v>274</v>
      </c>
      <c r="B255" t="s">
        <v>34</v>
      </c>
      <c r="C255" t="s">
        <v>37</v>
      </c>
      <c r="D255" s="1">
        <v>45299</v>
      </c>
      <c r="E255">
        <v>93371</v>
      </c>
      <c r="F255">
        <v>6102</v>
      </c>
      <c r="G255">
        <v>572</v>
      </c>
      <c r="H255" s="4">
        <v>3834.96</v>
      </c>
      <c r="I255" s="4">
        <v>21478.31</v>
      </c>
      <c r="J255" s="7">
        <f>Table1[[#This Row],[Clicks]]/Table1[[#This Row],[Impressions]]</f>
        <v>6.5352197149007724E-2</v>
      </c>
      <c r="K255" s="7">
        <f>IFERROR(Table1[[#This Row],[Conversions]]/Table1[[#This Row],[Clicks]],0)</f>
        <v>9.3739757456571621E-2</v>
      </c>
      <c r="L255" s="6">
        <f>IF(Table1[[#This Row],[Conversions]]=0,0,Table1[[#This Row],[Ad Spend]]/Table1[[#This Row],[Conversions]])</f>
        <v>6.7044755244755248</v>
      </c>
      <c r="M255" s="8">
        <f>IF(Table1[[#This Row],[Ad Spend]]=0,0,Table1[[#This Row],[Revenue]]/Table1[[#This Row],[Ad Spend]])</f>
        <v>5.6006607630848828</v>
      </c>
      <c r="N255">
        <f>YEAR(Table1[[#This Row],[Date]])</f>
        <v>2024</v>
      </c>
      <c r="O255" t="str">
        <f>TEXT(Table1[[#This Row],[Date]],"mmm")</f>
        <v>Jan</v>
      </c>
      <c r="P255">
        <f>MONTH(Table1[[#This Row],[Date]])</f>
        <v>1</v>
      </c>
    </row>
    <row r="256" spans="1:16" x14ac:dyDescent="0.25">
      <c r="A256" t="s">
        <v>275</v>
      </c>
      <c r="B256" t="s">
        <v>21</v>
      </c>
      <c r="C256" t="s">
        <v>17</v>
      </c>
      <c r="D256" s="1">
        <v>45555</v>
      </c>
      <c r="E256">
        <v>90964</v>
      </c>
      <c r="F256">
        <v>1461</v>
      </c>
      <c r="G256">
        <v>156</v>
      </c>
      <c r="H256" s="4">
        <v>1086.95</v>
      </c>
      <c r="I256" s="4">
        <v>5313.55</v>
      </c>
      <c r="J256" s="7">
        <f>Table1[[#This Row],[Clicks]]/Table1[[#This Row],[Impressions]]</f>
        <v>1.6061298975418848E-2</v>
      </c>
      <c r="K256" s="7">
        <f>IFERROR(Table1[[#This Row],[Conversions]]/Table1[[#This Row],[Clicks]],0)</f>
        <v>0.10677618069815195</v>
      </c>
      <c r="L256" s="6">
        <f>IF(Table1[[#This Row],[Conversions]]=0,0,Table1[[#This Row],[Ad Spend]]/Table1[[#This Row],[Conversions]])</f>
        <v>6.9676282051282055</v>
      </c>
      <c r="M256" s="8">
        <f>IF(Table1[[#This Row],[Ad Spend]]=0,0,Table1[[#This Row],[Revenue]]/Table1[[#This Row],[Ad Spend]])</f>
        <v>4.8884953309719856</v>
      </c>
      <c r="N256">
        <f>YEAR(Table1[[#This Row],[Date]])</f>
        <v>2024</v>
      </c>
      <c r="O256" t="str">
        <f>TEXT(Table1[[#This Row],[Date]],"mmm")</f>
        <v>Sept</v>
      </c>
      <c r="P256">
        <f>MONTH(Table1[[#This Row],[Date]])</f>
        <v>9</v>
      </c>
    </row>
    <row r="257" spans="1:16" x14ac:dyDescent="0.25">
      <c r="A257" t="s">
        <v>276</v>
      </c>
      <c r="B257" t="s">
        <v>47</v>
      </c>
      <c r="C257" t="s">
        <v>37</v>
      </c>
      <c r="D257" s="1">
        <v>45295</v>
      </c>
      <c r="E257">
        <v>73363</v>
      </c>
      <c r="F257">
        <v>2703</v>
      </c>
      <c r="G257">
        <v>211</v>
      </c>
      <c r="H257" s="4">
        <v>1481.57</v>
      </c>
      <c r="I257" s="4">
        <v>11175.09</v>
      </c>
      <c r="J257" s="7">
        <f>Table1[[#This Row],[Clicks]]/Table1[[#This Row],[Impressions]]</f>
        <v>3.684418576121478E-2</v>
      </c>
      <c r="K257" s="7">
        <f>IFERROR(Table1[[#This Row],[Conversions]]/Table1[[#This Row],[Clicks]],0)</f>
        <v>7.8061413244543104E-2</v>
      </c>
      <c r="L257" s="6">
        <f>IF(Table1[[#This Row],[Conversions]]=0,0,Table1[[#This Row],[Ad Spend]]/Table1[[#This Row],[Conversions]])</f>
        <v>7.0216587677725117</v>
      </c>
      <c r="M257" s="8">
        <f>IF(Table1[[#This Row],[Ad Spend]]=0,0,Table1[[#This Row],[Revenue]]/Table1[[#This Row],[Ad Spend]])</f>
        <v>7.5427350715794734</v>
      </c>
      <c r="N257">
        <f>YEAR(Table1[[#This Row],[Date]])</f>
        <v>2024</v>
      </c>
      <c r="O257" t="str">
        <f>TEXT(Table1[[#This Row],[Date]],"mmm")</f>
        <v>Jan</v>
      </c>
      <c r="P257">
        <f>MONTH(Table1[[#This Row],[Date]])</f>
        <v>1</v>
      </c>
    </row>
    <row r="258" spans="1:16" x14ac:dyDescent="0.25">
      <c r="A258" t="s">
        <v>277</v>
      </c>
      <c r="B258" t="s">
        <v>31</v>
      </c>
      <c r="C258" t="s">
        <v>19</v>
      </c>
      <c r="D258" s="1">
        <v>45626</v>
      </c>
      <c r="E258">
        <v>99254</v>
      </c>
      <c r="F258">
        <v>5805</v>
      </c>
      <c r="G258">
        <v>162</v>
      </c>
      <c r="H258" s="4">
        <v>767.48</v>
      </c>
      <c r="I258" s="4">
        <v>8210.26</v>
      </c>
      <c r="J258" s="7">
        <f>Table1[[#This Row],[Clicks]]/Table1[[#This Row],[Impressions]]</f>
        <v>5.8486307856610312E-2</v>
      </c>
      <c r="K258" s="7">
        <f>IFERROR(Table1[[#This Row],[Conversions]]/Table1[[#This Row],[Clicks]],0)</f>
        <v>2.7906976744186046E-2</v>
      </c>
      <c r="L258" s="6">
        <f>IF(Table1[[#This Row],[Conversions]]=0,0,Table1[[#This Row],[Ad Spend]]/Table1[[#This Row],[Conversions]])</f>
        <v>4.7375308641975309</v>
      </c>
      <c r="M258" s="8">
        <f>IF(Table1[[#This Row],[Ad Spend]]=0,0,Table1[[#This Row],[Revenue]]/Table1[[#This Row],[Ad Spend]])</f>
        <v>10.697685933183926</v>
      </c>
      <c r="N258">
        <f>YEAR(Table1[[#This Row],[Date]])</f>
        <v>2024</v>
      </c>
      <c r="O258" t="str">
        <f>TEXT(Table1[[#This Row],[Date]],"mmm")</f>
        <v>Nov</v>
      </c>
      <c r="P258">
        <f>MONTH(Table1[[#This Row],[Date]])</f>
        <v>11</v>
      </c>
    </row>
    <row r="259" spans="1:16" x14ac:dyDescent="0.25">
      <c r="A259" t="s">
        <v>278</v>
      </c>
      <c r="B259" t="s">
        <v>21</v>
      </c>
      <c r="C259" t="s">
        <v>12</v>
      </c>
      <c r="D259" s="1">
        <v>45652</v>
      </c>
      <c r="E259">
        <v>86521</v>
      </c>
      <c r="F259">
        <v>5045</v>
      </c>
      <c r="G259">
        <v>519</v>
      </c>
      <c r="H259" s="4">
        <v>4715.05</v>
      </c>
      <c r="I259" s="4">
        <v>29455.53</v>
      </c>
      <c r="J259" s="7">
        <f>Table1[[#This Row],[Clicks]]/Table1[[#This Row],[Impressions]]</f>
        <v>5.8309543347857748E-2</v>
      </c>
      <c r="K259" s="7">
        <f>IFERROR(Table1[[#This Row],[Conversions]]/Table1[[#This Row],[Clicks]],0)</f>
        <v>0.10287413280475718</v>
      </c>
      <c r="L259" s="6">
        <f>IF(Table1[[#This Row],[Conversions]]=0,0,Table1[[#This Row],[Ad Spend]]/Table1[[#This Row],[Conversions]])</f>
        <v>9.0848747591522159</v>
      </c>
      <c r="M259" s="8">
        <f>IF(Table1[[#This Row],[Ad Spend]]=0,0,Table1[[#This Row],[Revenue]]/Table1[[#This Row],[Ad Spend]])</f>
        <v>6.247129934995387</v>
      </c>
      <c r="N259">
        <f>YEAR(Table1[[#This Row],[Date]])</f>
        <v>2024</v>
      </c>
      <c r="O259" t="str">
        <f>TEXT(Table1[[#This Row],[Date]],"mmm")</f>
        <v>Dec</v>
      </c>
      <c r="P259">
        <f>MONTH(Table1[[#This Row],[Date]])</f>
        <v>12</v>
      </c>
    </row>
    <row r="260" spans="1:16" x14ac:dyDescent="0.25">
      <c r="A260" t="s">
        <v>279</v>
      </c>
      <c r="B260" t="s">
        <v>14</v>
      </c>
      <c r="C260" t="s">
        <v>37</v>
      </c>
      <c r="D260" s="1">
        <v>45360</v>
      </c>
      <c r="E260">
        <v>130352</v>
      </c>
      <c r="F260">
        <v>2701</v>
      </c>
      <c r="G260">
        <v>316</v>
      </c>
      <c r="H260" s="4">
        <v>3107.55</v>
      </c>
      <c r="I260" s="4">
        <v>19460.72</v>
      </c>
      <c r="J260" s="7">
        <f>Table1[[#This Row],[Clicks]]/Table1[[#This Row],[Impressions]]</f>
        <v>2.0720817478826561E-2</v>
      </c>
      <c r="K260" s="7">
        <f>IFERROR(Table1[[#This Row],[Conversions]]/Table1[[#This Row],[Clicks]],0)</f>
        <v>0.11699370603480193</v>
      </c>
      <c r="L260" s="6">
        <f>IF(Table1[[#This Row],[Conversions]]=0,0,Table1[[#This Row],[Ad Spend]]/Table1[[#This Row],[Conversions]])</f>
        <v>9.8340189873417732</v>
      </c>
      <c r="M260" s="8">
        <f>IF(Table1[[#This Row],[Ad Spend]]=0,0,Table1[[#This Row],[Revenue]]/Table1[[#This Row],[Ad Spend]])</f>
        <v>6.2623996395874562</v>
      </c>
      <c r="N260">
        <f>YEAR(Table1[[#This Row],[Date]])</f>
        <v>2024</v>
      </c>
      <c r="O260" t="str">
        <f>TEXT(Table1[[#This Row],[Date]],"mmm")</f>
        <v>Mar</v>
      </c>
      <c r="P260">
        <f>MONTH(Table1[[#This Row],[Date]])</f>
        <v>3</v>
      </c>
    </row>
    <row r="261" spans="1:16" x14ac:dyDescent="0.25">
      <c r="A261" t="s">
        <v>280</v>
      </c>
      <c r="B261" t="s">
        <v>41</v>
      </c>
      <c r="C261" t="s">
        <v>12</v>
      </c>
      <c r="D261" s="1">
        <v>45702</v>
      </c>
      <c r="E261">
        <v>62255</v>
      </c>
      <c r="F261">
        <v>3942</v>
      </c>
      <c r="G261">
        <v>427</v>
      </c>
      <c r="H261" s="4">
        <v>3059.91</v>
      </c>
      <c r="I261" s="4">
        <v>42160.73</v>
      </c>
      <c r="J261" s="7">
        <f>Table1[[#This Row],[Clicks]]/Table1[[#This Row],[Impressions]]</f>
        <v>6.3320215243755515E-2</v>
      </c>
      <c r="K261" s="7">
        <f>IFERROR(Table1[[#This Row],[Conversions]]/Table1[[#This Row],[Clicks]],0)</f>
        <v>0.10832064941653982</v>
      </c>
      <c r="L261" s="6">
        <f>IF(Table1[[#This Row],[Conversions]]=0,0,Table1[[#This Row],[Ad Spend]]/Table1[[#This Row],[Conversions]])</f>
        <v>7.1660655737704912</v>
      </c>
      <c r="M261" s="8">
        <f>IF(Table1[[#This Row],[Ad Spend]]=0,0,Table1[[#This Row],[Revenue]]/Table1[[#This Row],[Ad Spend]])</f>
        <v>13.778421587563034</v>
      </c>
      <c r="N261">
        <f>YEAR(Table1[[#This Row],[Date]])</f>
        <v>2025</v>
      </c>
      <c r="O261" t="str">
        <f>TEXT(Table1[[#This Row],[Date]],"mmm")</f>
        <v>Feb</v>
      </c>
      <c r="P261">
        <f>MONTH(Table1[[#This Row],[Date]])</f>
        <v>2</v>
      </c>
    </row>
    <row r="262" spans="1:16" x14ac:dyDescent="0.25">
      <c r="A262" t="s">
        <v>281</v>
      </c>
      <c r="B262" t="s">
        <v>41</v>
      </c>
      <c r="C262" t="s">
        <v>12</v>
      </c>
      <c r="D262" s="1">
        <v>45652</v>
      </c>
      <c r="E262">
        <v>99839</v>
      </c>
      <c r="F262">
        <v>1544</v>
      </c>
      <c r="G262">
        <v>144</v>
      </c>
      <c r="H262" s="4">
        <v>496.44</v>
      </c>
      <c r="I262" s="4">
        <v>10766.15</v>
      </c>
      <c r="J262" s="7">
        <f>Table1[[#This Row],[Clicks]]/Table1[[#This Row],[Impressions]]</f>
        <v>1.5464898486563367E-2</v>
      </c>
      <c r="K262" s="7">
        <f>IFERROR(Table1[[#This Row],[Conversions]]/Table1[[#This Row],[Clicks]],0)</f>
        <v>9.3264248704663211E-2</v>
      </c>
      <c r="L262" s="6">
        <f>IF(Table1[[#This Row],[Conversions]]=0,0,Table1[[#This Row],[Ad Spend]]/Table1[[#This Row],[Conversions]])</f>
        <v>3.4474999999999998</v>
      </c>
      <c r="M262" s="8">
        <f>IF(Table1[[#This Row],[Ad Spend]]=0,0,Table1[[#This Row],[Revenue]]/Table1[[#This Row],[Ad Spend]])</f>
        <v>21.686709370719523</v>
      </c>
      <c r="N262">
        <f>YEAR(Table1[[#This Row],[Date]])</f>
        <v>2024</v>
      </c>
      <c r="O262" t="str">
        <f>TEXT(Table1[[#This Row],[Date]],"mmm")</f>
        <v>Dec</v>
      </c>
      <c r="P262">
        <f>MONTH(Table1[[#This Row],[Date]])</f>
        <v>12</v>
      </c>
    </row>
    <row r="263" spans="1:16" x14ac:dyDescent="0.25">
      <c r="A263" t="s">
        <v>282</v>
      </c>
      <c r="B263" t="s">
        <v>14</v>
      </c>
      <c r="C263" t="s">
        <v>12</v>
      </c>
      <c r="D263" s="1">
        <v>45566</v>
      </c>
      <c r="E263">
        <v>44282</v>
      </c>
      <c r="F263">
        <v>952</v>
      </c>
      <c r="G263">
        <v>124</v>
      </c>
      <c r="H263" s="4">
        <v>2320.83</v>
      </c>
      <c r="I263" s="4">
        <v>10915.66</v>
      </c>
      <c r="J263" s="7">
        <f>Table1[[#This Row],[Clicks]]/Table1[[#This Row],[Impressions]]</f>
        <v>2.1498577300031615E-2</v>
      </c>
      <c r="K263" s="7">
        <f>IFERROR(Table1[[#This Row],[Conversions]]/Table1[[#This Row],[Clicks]],0)</f>
        <v>0.13025210084033614</v>
      </c>
      <c r="L263" s="6">
        <f>IF(Table1[[#This Row],[Conversions]]=0,0,Table1[[#This Row],[Ad Spend]]/Table1[[#This Row],[Conversions]])</f>
        <v>18.716370967741934</v>
      </c>
      <c r="M263" s="8">
        <f>IF(Table1[[#This Row],[Ad Spend]]=0,0,Table1[[#This Row],[Revenue]]/Table1[[#This Row],[Ad Spend]])</f>
        <v>4.7033432004929274</v>
      </c>
      <c r="N263">
        <f>YEAR(Table1[[#This Row],[Date]])</f>
        <v>2024</v>
      </c>
      <c r="O263" t="str">
        <f>TEXT(Table1[[#This Row],[Date]],"mmm")</f>
        <v>Oct</v>
      </c>
      <c r="P263">
        <f>MONTH(Table1[[#This Row],[Date]])</f>
        <v>10</v>
      </c>
    </row>
    <row r="264" spans="1:16" x14ac:dyDescent="0.25">
      <c r="A264" t="s">
        <v>283</v>
      </c>
      <c r="B264" t="s">
        <v>41</v>
      </c>
      <c r="C264" t="s">
        <v>10</v>
      </c>
      <c r="D264" s="1">
        <v>45553</v>
      </c>
      <c r="E264">
        <v>121780</v>
      </c>
      <c r="F264">
        <v>8111</v>
      </c>
      <c r="G264">
        <v>640</v>
      </c>
      <c r="H264" s="4">
        <v>2663.59</v>
      </c>
      <c r="I264" s="4">
        <v>42035.1</v>
      </c>
      <c r="J264" s="7">
        <f>Table1[[#This Row],[Clicks]]/Table1[[#This Row],[Impressions]]</f>
        <v>6.6603711611101984E-2</v>
      </c>
      <c r="K264" s="7">
        <f>IFERROR(Table1[[#This Row],[Conversions]]/Table1[[#This Row],[Clicks]],0)</f>
        <v>7.8905190482061405E-2</v>
      </c>
      <c r="L264" s="6">
        <f>IF(Table1[[#This Row],[Conversions]]=0,0,Table1[[#This Row],[Ad Spend]]/Table1[[#This Row],[Conversions]])</f>
        <v>4.1618593750000006</v>
      </c>
      <c r="M264" s="8">
        <f>IF(Table1[[#This Row],[Ad Spend]]=0,0,Table1[[#This Row],[Revenue]]/Table1[[#This Row],[Ad Spend]])</f>
        <v>15.781370255932782</v>
      </c>
      <c r="N264">
        <f>YEAR(Table1[[#This Row],[Date]])</f>
        <v>2024</v>
      </c>
      <c r="O264" t="str">
        <f>TEXT(Table1[[#This Row],[Date]],"mmm")</f>
        <v>Sept</v>
      </c>
      <c r="P264">
        <f>MONTH(Table1[[#This Row],[Date]])</f>
        <v>9</v>
      </c>
    </row>
    <row r="265" spans="1:16" x14ac:dyDescent="0.25">
      <c r="A265" t="s">
        <v>284</v>
      </c>
      <c r="B265" t="s">
        <v>31</v>
      </c>
      <c r="C265" t="s">
        <v>12</v>
      </c>
      <c r="D265" s="1">
        <v>45528</v>
      </c>
      <c r="E265">
        <v>85784</v>
      </c>
      <c r="F265">
        <v>5201</v>
      </c>
      <c r="G265">
        <v>371</v>
      </c>
      <c r="H265" s="4">
        <v>4118.9799999999996</v>
      </c>
      <c r="I265" s="4">
        <v>35089.35</v>
      </c>
      <c r="J265" s="7">
        <f>Table1[[#This Row],[Clicks]]/Table1[[#This Row],[Impressions]]</f>
        <v>6.0629021728993752E-2</v>
      </c>
      <c r="K265" s="7">
        <f>IFERROR(Table1[[#This Row],[Conversions]]/Table1[[#This Row],[Clicks]],0)</f>
        <v>7.1332436069986543E-2</v>
      </c>
      <c r="L265" s="6">
        <f>IF(Table1[[#This Row],[Conversions]]=0,0,Table1[[#This Row],[Ad Spend]]/Table1[[#This Row],[Conversions]])</f>
        <v>11.102371967654985</v>
      </c>
      <c r="M265" s="8">
        <f>IF(Table1[[#This Row],[Ad Spend]]=0,0,Table1[[#This Row],[Revenue]]/Table1[[#This Row],[Ad Spend]])</f>
        <v>8.5189415826248247</v>
      </c>
      <c r="N265">
        <f>YEAR(Table1[[#This Row],[Date]])</f>
        <v>2024</v>
      </c>
      <c r="O265" t="str">
        <f>TEXT(Table1[[#This Row],[Date]],"mmm")</f>
        <v>Aug</v>
      </c>
      <c r="P265">
        <f>MONTH(Table1[[#This Row],[Date]])</f>
        <v>8</v>
      </c>
    </row>
    <row r="266" spans="1:16" x14ac:dyDescent="0.25">
      <c r="A266" t="s">
        <v>285</v>
      </c>
      <c r="B266" t="s">
        <v>9</v>
      </c>
      <c r="C266" t="s">
        <v>10</v>
      </c>
      <c r="D266" s="1">
        <v>45508</v>
      </c>
      <c r="E266">
        <v>95316</v>
      </c>
      <c r="F266">
        <v>5626</v>
      </c>
      <c r="G266">
        <v>508</v>
      </c>
      <c r="H266" s="4">
        <v>489.23</v>
      </c>
      <c r="I266" s="4">
        <v>55586.3</v>
      </c>
      <c r="J266" s="7">
        <f>Table1[[#This Row],[Clicks]]/Table1[[#This Row],[Impressions]]</f>
        <v>5.902471778085526E-2</v>
      </c>
      <c r="K266" s="7">
        <f>IFERROR(Table1[[#This Row],[Conversions]]/Table1[[#This Row],[Clicks]],0)</f>
        <v>9.0295058656238894E-2</v>
      </c>
      <c r="L266" s="6">
        <f>IF(Table1[[#This Row],[Conversions]]=0,0,Table1[[#This Row],[Ad Spend]]/Table1[[#This Row],[Conversions]])</f>
        <v>0.96305118110236221</v>
      </c>
      <c r="M266" s="8">
        <f>IF(Table1[[#This Row],[Ad Spend]]=0,0,Table1[[#This Row],[Revenue]]/Table1[[#This Row],[Ad Spend]])</f>
        <v>113.61997424524253</v>
      </c>
      <c r="N266">
        <f>YEAR(Table1[[#This Row],[Date]])</f>
        <v>2024</v>
      </c>
      <c r="O266" t="str">
        <f>TEXT(Table1[[#This Row],[Date]],"mmm")</f>
        <v>Aug</v>
      </c>
      <c r="P266">
        <f>MONTH(Table1[[#This Row],[Date]])</f>
        <v>8</v>
      </c>
    </row>
    <row r="267" spans="1:16" x14ac:dyDescent="0.25">
      <c r="A267" t="s">
        <v>286</v>
      </c>
      <c r="B267" t="s">
        <v>41</v>
      </c>
      <c r="C267" t="s">
        <v>10</v>
      </c>
      <c r="D267" s="1">
        <v>45438</v>
      </c>
      <c r="E267">
        <v>112182</v>
      </c>
      <c r="F267">
        <v>2535</v>
      </c>
      <c r="G267">
        <v>95</v>
      </c>
      <c r="H267" s="4">
        <v>3279.32</v>
      </c>
      <c r="I267" s="4">
        <v>8828.25</v>
      </c>
      <c r="J267" s="7">
        <f>Table1[[#This Row],[Clicks]]/Table1[[#This Row],[Impressions]]</f>
        <v>2.2597208108252661E-2</v>
      </c>
      <c r="K267" s="7">
        <f>IFERROR(Table1[[#This Row],[Conversions]]/Table1[[#This Row],[Clicks]],0)</f>
        <v>3.7475345167652857E-2</v>
      </c>
      <c r="L267" s="6">
        <f>IF(Table1[[#This Row],[Conversions]]=0,0,Table1[[#This Row],[Ad Spend]]/Table1[[#This Row],[Conversions]])</f>
        <v>34.519157894736843</v>
      </c>
      <c r="M267" s="8">
        <f>IF(Table1[[#This Row],[Ad Spend]]=0,0,Table1[[#This Row],[Revenue]]/Table1[[#This Row],[Ad Spend]])</f>
        <v>2.6920977519729701</v>
      </c>
      <c r="N267">
        <f>YEAR(Table1[[#This Row],[Date]])</f>
        <v>2024</v>
      </c>
      <c r="O267" t="str">
        <f>TEXT(Table1[[#This Row],[Date]],"mmm")</f>
        <v>May</v>
      </c>
      <c r="P267">
        <f>MONTH(Table1[[#This Row],[Date]])</f>
        <v>5</v>
      </c>
    </row>
    <row r="268" spans="1:16" x14ac:dyDescent="0.25">
      <c r="A268" t="s">
        <v>287</v>
      </c>
      <c r="B268" t="s">
        <v>21</v>
      </c>
      <c r="C268" t="s">
        <v>19</v>
      </c>
      <c r="D268" s="1">
        <v>45487</v>
      </c>
      <c r="E268">
        <v>122581</v>
      </c>
      <c r="F268">
        <v>8687</v>
      </c>
      <c r="G268">
        <v>1197</v>
      </c>
      <c r="H268" s="4">
        <v>2003.1</v>
      </c>
      <c r="I268" s="4">
        <v>105662.82</v>
      </c>
      <c r="J268" s="7">
        <f>Table1[[#This Row],[Clicks]]/Table1[[#This Row],[Impressions]]</f>
        <v>7.0867426436397152E-2</v>
      </c>
      <c r="K268" s="7">
        <f>IFERROR(Table1[[#This Row],[Conversions]]/Table1[[#This Row],[Clicks]],0)</f>
        <v>0.13779210314262691</v>
      </c>
      <c r="L268" s="6">
        <f>IF(Table1[[#This Row],[Conversions]]=0,0,Table1[[#This Row],[Ad Spend]]/Table1[[#This Row],[Conversions]])</f>
        <v>1.6734335839598997</v>
      </c>
      <c r="M268" s="8">
        <f>IF(Table1[[#This Row],[Ad Spend]]=0,0,Table1[[#This Row],[Revenue]]/Table1[[#This Row],[Ad Spend]])</f>
        <v>52.749648045529433</v>
      </c>
      <c r="N268">
        <f>YEAR(Table1[[#This Row],[Date]])</f>
        <v>2024</v>
      </c>
      <c r="O268" t="str">
        <f>TEXT(Table1[[#This Row],[Date]],"mmm")</f>
        <v>Jul</v>
      </c>
      <c r="P268">
        <f>MONTH(Table1[[#This Row],[Date]])</f>
        <v>7</v>
      </c>
    </row>
    <row r="269" spans="1:16" x14ac:dyDescent="0.25">
      <c r="A269" t="s">
        <v>288</v>
      </c>
      <c r="B269" t="s">
        <v>16</v>
      </c>
      <c r="C269" t="s">
        <v>19</v>
      </c>
      <c r="D269" s="1">
        <v>45352</v>
      </c>
      <c r="E269">
        <v>51785</v>
      </c>
      <c r="F269">
        <v>4116</v>
      </c>
      <c r="G269">
        <v>292</v>
      </c>
      <c r="H269" s="4">
        <v>811.27</v>
      </c>
      <c r="I269" s="4">
        <v>34418.75</v>
      </c>
      <c r="J269" s="7">
        <f>Table1[[#This Row],[Clicks]]/Table1[[#This Row],[Impressions]]</f>
        <v>7.9482475620353391E-2</v>
      </c>
      <c r="K269" s="7">
        <f>IFERROR(Table1[[#This Row],[Conversions]]/Table1[[#This Row],[Clicks]],0)</f>
        <v>7.0942662779397467E-2</v>
      </c>
      <c r="L269" s="6">
        <f>IF(Table1[[#This Row],[Conversions]]=0,0,Table1[[#This Row],[Ad Spend]]/Table1[[#This Row],[Conversions]])</f>
        <v>2.7783219178082192</v>
      </c>
      <c r="M269" s="8">
        <f>IF(Table1[[#This Row],[Ad Spend]]=0,0,Table1[[#This Row],[Revenue]]/Table1[[#This Row],[Ad Spend]])</f>
        <v>42.42576454201437</v>
      </c>
      <c r="N269">
        <f>YEAR(Table1[[#This Row],[Date]])</f>
        <v>2024</v>
      </c>
      <c r="O269" t="str">
        <f>TEXT(Table1[[#This Row],[Date]],"mmm")</f>
        <v>Mar</v>
      </c>
      <c r="P269">
        <f>MONTH(Table1[[#This Row],[Date]])</f>
        <v>3</v>
      </c>
    </row>
    <row r="270" spans="1:16" x14ac:dyDescent="0.25">
      <c r="A270" t="s">
        <v>289</v>
      </c>
      <c r="B270" t="s">
        <v>31</v>
      </c>
      <c r="C270" t="s">
        <v>10</v>
      </c>
      <c r="D270" s="1">
        <v>45444</v>
      </c>
      <c r="E270">
        <v>126373</v>
      </c>
      <c r="F270">
        <v>7221</v>
      </c>
      <c r="G270">
        <v>655</v>
      </c>
      <c r="H270" s="4">
        <v>2753.28</v>
      </c>
      <c r="I270" s="4">
        <v>67030.11</v>
      </c>
      <c r="J270" s="7">
        <f>Table1[[#This Row],[Clicks]]/Table1[[#This Row],[Impressions]]</f>
        <v>5.7140370174008685E-2</v>
      </c>
      <c r="K270" s="7">
        <f>IFERROR(Table1[[#This Row],[Conversions]]/Table1[[#This Row],[Clicks]],0)</f>
        <v>9.0707658219083234E-2</v>
      </c>
      <c r="L270" s="6">
        <f>IF(Table1[[#This Row],[Conversions]]=0,0,Table1[[#This Row],[Ad Spend]]/Table1[[#This Row],[Conversions]])</f>
        <v>4.2034809160305349</v>
      </c>
      <c r="M270" s="8">
        <f>IF(Table1[[#This Row],[Ad Spend]]=0,0,Table1[[#This Row],[Revenue]]/Table1[[#This Row],[Ad Spend]])</f>
        <v>24.345547855648533</v>
      </c>
      <c r="N270">
        <f>YEAR(Table1[[#This Row],[Date]])</f>
        <v>2024</v>
      </c>
      <c r="O270" t="str">
        <f>TEXT(Table1[[#This Row],[Date]],"mmm")</f>
        <v>Jun</v>
      </c>
      <c r="P270">
        <f>MONTH(Table1[[#This Row],[Date]])</f>
        <v>6</v>
      </c>
    </row>
    <row r="271" spans="1:16" x14ac:dyDescent="0.25">
      <c r="A271" t="s">
        <v>290</v>
      </c>
      <c r="B271" t="s">
        <v>14</v>
      </c>
      <c r="C271" t="s">
        <v>17</v>
      </c>
      <c r="D271" s="1">
        <v>45469</v>
      </c>
      <c r="E271">
        <v>45664</v>
      </c>
      <c r="F271">
        <v>1337</v>
      </c>
      <c r="G271">
        <v>189</v>
      </c>
      <c r="H271" s="4">
        <v>3680.11</v>
      </c>
      <c r="I271" s="4">
        <v>5912.76</v>
      </c>
      <c r="J271" s="7">
        <f>Table1[[#This Row],[Clicks]]/Table1[[#This Row],[Impressions]]</f>
        <v>2.9279081990189207E-2</v>
      </c>
      <c r="K271" s="7">
        <f>IFERROR(Table1[[#This Row],[Conversions]]/Table1[[#This Row],[Clicks]],0)</f>
        <v>0.14136125654450263</v>
      </c>
      <c r="L271" s="6">
        <f>IF(Table1[[#This Row],[Conversions]]=0,0,Table1[[#This Row],[Ad Spend]]/Table1[[#This Row],[Conversions]])</f>
        <v>19.471481481481483</v>
      </c>
      <c r="M271" s="8">
        <f>IF(Table1[[#This Row],[Ad Spend]]=0,0,Table1[[#This Row],[Revenue]]/Table1[[#This Row],[Ad Spend]])</f>
        <v>1.6066802351016682</v>
      </c>
      <c r="N271">
        <f>YEAR(Table1[[#This Row],[Date]])</f>
        <v>2024</v>
      </c>
      <c r="O271" t="str">
        <f>TEXT(Table1[[#This Row],[Date]],"mmm")</f>
        <v>Jun</v>
      </c>
      <c r="P271">
        <f>MONTH(Table1[[#This Row],[Date]])</f>
        <v>6</v>
      </c>
    </row>
    <row r="272" spans="1:16" x14ac:dyDescent="0.25">
      <c r="A272" t="s">
        <v>291</v>
      </c>
      <c r="B272" t="s">
        <v>21</v>
      </c>
      <c r="C272" t="s">
        <v>12</v>
      </c>
      <c r="D272" s="1">
        <v>45684</v>
      </c>
      <c r="E272">
        <v>9101</v>
      </c>
      <c r="F272">
        <v>244</v>
      </c>
      <c r="G272">
        <v>7</v>
      </c>
      <c r="H272" s="4">
        <v>3050.93</v>
      </c>
      <c r="I272" s="4">
        <v>452.51</v>
      </c>
      <c r="J272" s="7">
        <f>Table1[[#This Row],[Clicks]]/Table1[[#This Row],[Impressions]]</f>
        <v>2.6810240632897483E-2</v>
      </c>
      <c r="K272" s="7">
        <f>IFERROR(Table1[[#This Row],[Conversions]]/Table1[[#This Row],[Clicks]],0)</f>
        <v>2.8688524590163935E-2</v>
      </c>
      <c r="L272" s="6">
        <f>IF(Table1[[#This Row],[Conversions]]=0,0,Table1[[#This Row],[Ad Spend]]/Table1[[#This Row],[Conversions]])</f>
        <v>435.84714285714284</v>
      </c>
      <c r="M272" s="8">
        <f>IF(Table1[[#This Row],[Ad Spend]]=0,0,Table1[[#This Row],[Revenue]]/Table1[[#This Row],[Ad Spend]])</f>
        <v>0.14831870937714076</v>
      </c>
      <c r="N272">
        <f>YEAR(Table1[[#This Row],[Date]])</f>
        <v>2025</v>
      </c>
      <c r="O272" t="str">
        <f>TEXT(Table1[[#This Row],[Date]],"mmm")</f>
        <v>Jan</v>
      </c>
      <c r="P272">
        <f>MONTH(Table1[[#This Row],[Date]])</f>
        <v>1</v>
      </c>
    </row>
    <row r="273" spans="1:16" x14ac:dyDescent="0.25">
      <c r="A273" t="s">
        <v>292</v>
      </c>
      <c r="B273" t="s">
        <v>31</v>
      </c>
      <c r="C273" t="s">
        <v>37</v>
      </c>
      <c r="D273" s="1">
        <v>45671</v>
      </c>
      <c r="E273">
        <v>16596</v>
      </c>
      <c r="F273">
        <v>633</v>
      </c>
      <c r="G273">
        <v>31</v>
      </c>
      <c r="H273" s="4">
        <v>1242.8900000000001</v>
      </c>
      <c r="I273" s="4">
        <v>3297.56</v>
      </c>
      <c r="J273" s="7">
        <f>Table1[[#This Row],[Clicks]]/Table1[[#This Row],[Impressions]]</f>
        <v>3.8141720896601589E-2</v>
      </c>
      <c r="K273" s="7">
        <f>IFERROR(Table1[[#This Row],[Conversions]]/Table1[[#This Row],[Clicks]],0)</f>
        <v>4.8973143759873619E-2</v>
      </c>
      <c r="L273" s="6">
        <f>IF(Table1[[#This Row],[Conversions]]=0,0,Table1[[#This Row],[Ad Spend]]/Table1[[#This Row],[Conversions]])</f>
        <v>40.093225806451613</v>
      </c>
      <c r="M273" s="8">
        <f>IF(Table1[[#This Row],[Ad Spend]]=0,0,Table1[[#This Row],[Revenue]]/Table1[[#This Row],[Ad Spend]])</f>
        <v>2.6531390549445244</v>
      </c>
      <c r="N273">
        <f>YEAR(Table1[[#This Row],[Date]])</f>
        <v>2025</v>
      </c>
      <c r="O273" t="str">
        <f>TEXT(Table1[[#This Row],[Date]],"mmm")</f>
        <v>Jan</v>
      </c>
      <c r="P273">
        <f>MONTH(Table1[[#This Row],[Date]])</f>
        <v>1</v>
      </c>
    </row>
    <row r="274" spans="1:16" x14ac:dyDescent="0.25">
      <c r="A274" t="s">
        <v>293</v>
      </c>
      <c r="B274" t="s">
        <v>31</v>
      </c>
      <c r="C274" t="s">
        <v>37</v>
      </c>
      <c r="D274" s="1">
        <v>45549</v>
      </c>
      <c r="E274">
        <v>80828</v>
      </c>
      <c r="F274">
        <v>2133</v>
      </c>
      <c r="G274">
        <v>296</v>
      </c>
      <c r="H274" s="4">
        <v>2965.33</v>
      </c>
      <c r="I274" s="4">
        <v>23013.25</v>
      </c>
      <c r="J274" s="7">
        <f>Table1[[#This Row],[Clicks]]/Table1[[#This Row],[Impressions]]</f>
        <v>2.6389370020289998E-2</v>
      </c>
      <c r="K274" s="7">
        <f>IFERROR(Table1[[#This Row],[Conversions]]/Table1[[#This Row],[Clicks]],0)</f>
        <v>0.13877168307548055</v>
      </c>
      <c r="L274" s="6">
        <f>IF(Table1[[#This Row],[Conversions]]=0,0,Table1[[#This Row],[Ad Spend]]/Table1[[#This Row],[Conversions]])</f>
        <v>10.018006756756757</v>
      </c>
      <c r="M274" s="8">
        <f>IF(Table1[[#This Row],[Ad Spend]]=0,0,Table1[[#This Row],[Revenue]]/Table1[[#This Row],[Ad Spend]])</f>
        <v>7.760771988277865</v>
      </c>
      <c r="N274">
        <f>YEAR(Table1[[#This Row],[Date]])</f>
        <v>2024</v>
      </c>
      <c r="O274" t="str">
        <f>TEXT(Table1[[#This Row],[Date]],"mmm")</f>
        <v>Sept</v>
      </c>
      <c r="P274">
        <f>MONTH(Table1[[#This Row],[Date]])</f>
        <v>9</v>
      </c>
    </row>
    <row r="275" spans="1:16" x14ac:dyDescent="0.25">
      <c r="A275" t="s">
        <v>294</v>
      </c>
      <c r="B275" t="s">
        <v>47</v>
      </c>
      <c r="C275" t="s">
        <v>37</v>
      </c>
      <c r="D275" s="1">
        <v>45446</v>
      </c>
      <c r="E275">
        <v>42554</v>
      </c>
      <c r="F275">
        <v>3361</v>
      </c>
      <c r="G275">
        <v>294</v>
      </c>
      <c r="H275" s="4">
        <v>2185.09</v>
      </c>
      <c r="I275" s="4">
        <v>13969.53</v>
      </c>
      <c r="J275" s="7">
        <f>Table1[[#This Row],[Clicks]]/Table1[[#This Row],[Impressions]]</f>
        <v>7.8981999342012499E-2</v>
      </c>
      <c r="K275" s="7">
        <f>IFERROR(Table1[[#This Row],[Conversions]]/Table1[[#This Row],[Clicks]],0)</f>
        <v>8.7473966081523358E-2</v>
      </c>
      <c r="L275" s="6">
        <f>IF(Table1[[#This Row],[Conversions]]=0,0,Table1[[#This Row],[Ad Spend]]/Table1[[#This Row],[Conversions]])</f>
        <v>7.4322789115646266</v>
      </c>
      <c r="M275" s="8">
        <f>IF(Table1[[#This Row],[Ad Spend]]=0,0,Table1[[#This Row],[Revenue]]/Table1[[#This Row],[Ad Spend]])</f>
        <v>6.39311424243395</v>
      </c>
      <c r="N275">
        <f>YEAR(Table1[[#This Row],[Date]])</f>
        <v>2024</v>
      </c>
      <c r="O275" t="str">
        <f>TEXT(Table1[[#This Row],[Date]],"mmm")</f>
        <v>Jun</v>
      </c>
      <c r="P275">
        <f>MONTH(Table1[[#This Row],[Date]])</f>
        <v>6</v>
      </c>
    </row>
    <row r="276" spans="1:16" x14ac:dyDescent="0.25">
      <c r="A276" t="s">
        <v>295</v>
      </c>
      <c r="B276" t="s">
        <v>16</v>
      </c>
      <c r="C276" t="s">
        <v>17</v>
      </c>
      <c r="D276" s="1">
        <v>45576</v>
      </c>
      <c r="E276">
        <v>134924</v>
      </c>
      <c r="F276">
        <v>1792</v>
      </c>
      <c r="G276">
        <v>116</v>
      </c>
      <c r="H276" s="4">
        <v>3287.92</v>
      </c>
      <c r="I276" s="4">
        <v>6741.39</v>
      </c>
      <c r="J276" s="7">
        <f>Table1[[#This Row],[Clicks]]/Table1[[#This Row],[Impressions]]</f>
        <v>1.3281551095431502E-2</v>
      </c>
      <c r="K276" s="7">
        <f>IFERROR(Table1[[#This Row],[Conversions]]/Table1[[#This Row],[Clicks]],0)</f>
        <v>6.4732142857142863E-2</v>
      </c>
      <c r="L276" s="6">
        <f>IF(Table1[[#This Row],[Conversions]]=0,0,Table1[[#This Row],[Ad Spend]]/Table1[[#This Row],[Conversions]])</f>
        <v>28.344137931034485</v>
      </c>
      <c r="M276" s="8">
        <f>IF(Table1[[#This Row],[Ad Spend]]=0,0,Table1[[#This Row],[Revenue]]/Table1[[#This Row],[Ad Spend]])</f>
        <v>2.0503509817757122</v>
      </c>
      <c r="N276">
        <f>YEAR(Table1[[#This Row],[Date]])</f>
        <v>2024</v>
      </c>
      <c r="O276" t="str">
        <f>TEXT(Table1[[#This Row],[Date]],"mmm")</f>
        <v>Oct</v>
      </c>
      <c r="P276">
        <f>MONTH(Table1[[#This Row],[Date]])</f>
        <v>10</v>
      </c>
    </row>
    <row r="277" spans="1:16" x14ac:dyDescent="0.25">
      <c r="A277" t="s">
        <v>296</v>
      </c>
      <c r="B277" t="s">
        <v>47</v>
      </c>
      <c r="C277" t="s">
        <v>17</v>
      </c>
      <c r="D277" s="1">
        <v>45501</v>
      </c>
      <c r="E277">
        <v>44116</v>
      </c>
      <c r="F277">
        <v>1367</v>
      </c>
      <c r="G277">
        <v>60</v>
      </c>
      <c r="H277" s="4">
        <v>2782.06</v>
      </c>
      <c r="I277" s="4">
        <v>2645.81</v>
      </c>
      <c r="J277" s="7">
        <f>Table1[[#This Row],[Clicks]]/Table1[[#This Row],[Impressions]]</f>
        <v>3.0986490162299391E-2</v>
      </c>
      <c r="K277" s="7">
        <f>IFERROR(Table1[[#This Row],[Conversions]]/Table1[[#This Row],[Clicks]],0)</f>
        <v>4.3891733723482075E-2</v>
      </c>
      <c r="L277" s="6">
        <f>IF(Table1[[#This Row],[Conversions]]=0,0,Table1[[#This Row],[Ad Spend]]/Table1[[#This Row],[Conversions]])</f>
        <v>46.367666666666665</v>
      </c>
      <c r="M277" s="8">
        <f>IF(Table1[[#This Row],[Ad Spend]]=0,0,Table1[[#This Row],[Revenue]]/Table1[[#This Row],[Ad Spend]])</f>
        <v>0.95102549909060197</v>
      </c>
      <c r="N277">
        <f>YEAR(Table1[[#This Row],[Date]])</f>
        <v>2024</v>
      </c>
      <c r="O277" t="str">
        <f>TEXT(Table1[[#This Row],[Date]],"mmm")</f>
        <v>Jul</v>
      </c>
      <c r="P277">
        <f>MONTH(Table1[[#This Row],[Date]])</f>
        <v>7</v>
      </c>
    </row>
    <row r="278" spans="1:16" x14ac:dyDescent="0.25">
      <c r="A278" t="s">
        <v>297</v>
      </c>
      <c r="B278" t="s">
        <v>14</v>
      </c>
      <c r="C278" t="s">
        <v>19</v>
      </c>
      <c r="D278" s="1">
        <v>45654</v>
      </c>
      <c r="E278">
        <v>42840</v>
      </c>
      <c r="F278">
        <v>2844</v>
      </c>
      <c r="G278">
        <v>395</v>
      </c>
      <c r="H278" s="4">
        <v>2899.45</v>
      </c>
      <c r="I278" s="4">
        <v>46127.55</v>
      </c>
      <c r="J278" s="7">
        <f>Table1[[#This Row],[Clicks]]/Table1[[#This Row],[Impressions]]</f>
        <v>6.638655462184874E-2</v>
      </c>
      <c r="K278" s="7">
        <f>IFERROR(Table1[[#This Row],[Conversions]]/Table1[[#This Row],[Clicks]],0)</f>
        <v>0.1388888888888889</v>
      </c>
      <c r="L278" s="6">
        <f>IF(Table1[[#This Row],[Conversions]]=0,0,Table1[[#This Row],[Ad Spend]]/Table1[[#This Row],[Conversions]])</f>
        <v>7.3403797468354428</v>
      </c>
      <c r="M278" s="8">
        <f>IF(Table1[[#This Row],[Ad Spend]]=0,0,Table1[[#This Row],[Revenue]]/Table1[[#This Row],[Ad Spend]])</f>
        <v>15.909068961354741</v>
      </c>
      <c r="N278">
        <f>YEAR(Table1[[#This Row],[Date]])</f>
        <v>2024</v>
      </c>
      <c r="O278" t="str">
        <f>TEXT(Table1[[#This Row],[Date]],"mmm")</f>
        <v>Dec</v>
      </c>
      <c r="P278">
        <f>MONTH(Table1[[#This Row],[Date]])</f>
        <v>12</v>
      </c>
    </row>
    <row r="279" spans="1:16" x14ac:dyDescent="0.25">
      <c r="A279" t="s">
        <v>298</v>
      </c>
      <c r="B279" t="s">
        <v>16</v>
      </c>
      <c r="C279" t="s">
        <v>17</v>
      </c>
      <c r="D279" s="1">
        <v>45416</v>
      </c>
      <c r="E279">
        <v>71845</v>
      </c>
      <c r="F279">
        <v>1741</v>
      </c>
      <c r="G279">
        <v>181</v>
      </c>
      <c r="H279" s="4">
        <v>4626.6899999999996</v>
      </c>
      <c r="I279" s="4">
        <v>18953.11</v>
      </c>
      <c r="J279" s="7">
        <f>Table1[[#This Row],[Clicks]]/Table1[[#This Row],[Impressions]]</f>
        <v>2.4232723223606374E-2</v>
      </c>
      <c r="K279" s="7">
        <f>IFERROR(Table1[[#This Row],[Conversions]]/Table1[[#This Row],[Clicks]],0)</f>
        <v>0.10396323951751867</v>
      </c>
      <c r="L279" s="6">
        <f>IF(Table1[[#This Row],[Conversions]]=0,0,Table1[[#This Row],[Ad Spend]]/Table1[[#This Row],[Conversions]])</f>
        <v>25.561823204419888</v>
      </c>
      <c r="M279" s="8">
        <f>IF(Table1[[#This Row],[Ad Spend]]=0,0,Table1[[#This Row],[Revenue]]/Table1[[#This Row],[Ad Spend]])</f>
        <v>4.0964728564049038</v>
      </c>
      <c r="N279">
        <f>YEAR(Table1[[#This Row],[Date]])</f>
        <v>2024</v>
      </c>
      <c r="O279" t="str">
        <f>TEXT(Table1[[#This Row],[Date]],"mmm")</f>
        <v>May</v>
      </c>
      <c r="P279">
        <f>MONTH(Table1[[#This Row],[Date]])</f>
        <v>5</v>
      </c>
    </row>
    <row r="280" spans="1:16" x14ac:dyDescent="0.25">
      <c r="A280" t="s">
        <v>299</v>
      </c>
      <c r="B280" t="s">
        <v>9</v>
      </c>
      <c r="C280" t="s">
        <v>12</v>
      </c>
      <c r="D280" s="1">
        <v>45662</v>
      </c>
      <c r="E280">
        <v>54933</v>
      </c>
      <c r="F280">
        <v>747</v>
      </c>
      <c r="G280">
        <v>51</v>
      </c>
      <c r="H280" s="4">
        <v>3103.85</v>
      </c>
      <c r="I280" s="4">
        <v>1221.69</v>
      </c>
      <c r="J280" s="7">
        <f>Table1[[#This Row],[Clicks]]/Table1[[#This Row],[Impressions]]</f>
        <v>1.3598383485336683E-2</v>
      </c>
      <c r="K280" s="7">
        <f>IFERROR(Table1[[#This Row],[Conversions]]/Table1[[#This Row],[Clicks]],0)</f>
        <v>6.8273092369477914E-2</v>
      </c>
      <c r="L280" s="6">
        <f>IF(Table1[[#This Row],[Conversions]]=0,0,Table1[[#This Row],[Ad Spend]]/Table1[[#This Row],[Conversions]])</f>
        <v>60.859803921568627</v>
      </c>
      <c r="M280" s="8">
        <f>IF(Table1[[#This Row],[Ad Spend]]=0,0,Table1[[#This Row],[Revenue]]/Table1[[#This Row],[Ad Spend]])</f>
        <v>0.3936047167227798</v>
      </c>
      <c r="N280">
        <f>YEAR(Table1[[#This Row],[Date]])</f>
        <v>2025</v>
      </c>
      <c r="O280" t="str">
        <f>TEXT(Table1[[#This Row],[Date]],"mmm")</f>
        <v>Jan</v>
      </c>
      <c r="P280">
        <f>MONTH(Table1[[#This Row],[Date]])</f>
        <v>1</v>
      </c>
    </row>
    <row r="281" spans="1:16" x14ac:dyDescent="0.25">
      <c r="A281" t="s">
        <v>300</v>
      </c>
      <c r="B281" t="s">
        <v>9</v>
      </c>
      <c r="C281" t="s">
        <v>37</v>
      </c>
      <c r="D281" s="1">
        <v>45703</v>
      </c>
      <c r="E281">
        <v>61889</v>
      </c>
      <c r="F281">
        <v>2695</v>
      </c>
      <c r="G281">
        <v>358</v>
      </c>
      <c r="H281" s="4">
        <v>1798.23</v>
      </c>
      <c r="I281" s="4">
        <v>41421.31</v>
      </c>
      <c r="J281" s="7">
        <f>Table1[[#This Row],[Clicks]]/Table1[[#This Row],[Impressions]]</f>
        <v>4.3545702790479729E-2</v>
      </c>
      <c r="K281" s="7">
        <f>IFERROR(Table1[[#This Row],[Conversions]]/Table1[[#This Row],[Clicks]],0)</f>
        <v>0.13283858998144712</v>
      </c>
      <c r="L281" s="6">
        <f>IF(Table1[[#This Row],[Conversions]]=0,0,Table1[[#This Row],[Ad Spend]]/Table1[[#This Row],[Conversions]])</f>
        <v>5.0229888268156424</v>
      </c>
      <c r="M281" s="8">
        <f>IF(Table1[[#This Row],[Ad Spend]]=0,0,Table1[[#This Row],[Revenue]]/Table1[[#This Row],[Ad Spend]])</f>
        <v>23.034489470201251</v>
      </c>
      <c r="N281">
        <f>YEAR(Table1[[#This Row],[Date]])</f>
        <v>2025</v>
      </c>
      <c r="O281" t="str">
        <f>TEXT(Table1[[#This Row],[Date]],"mmm")</f>
        <v>Feb</v>
      </c>
      <c r="P281">
        <f>MONTH(Table1[[#This Row],[Date]])</f>
        <v>2</v>
      </c>
    </row>
    <row r="282" spans="1:16" x14ac:dyDescent="0.25">
      <c r="A282" t="s">
        <v>301</v>
      </c>
      <c r="B282" t="s">
        <v>31</v>
      </c>
      <c r="C282" t="s">
        <v>37</v>
      </c>
      <c r="D282" s="1">
        <v>45389</v>
      </c>
      <c r="E282">
        <v>35753</v>
      </c>
      <c r="F282">
        <v>2226</v>
      </c>
      <c r="G282">
        <v>262</v>
      </c>
      <c r="H282" s="4">
        <v>4589.32</v>
      </c>
      <c r="I282" s="4">
        <v>23465.41</v>
      </c>
      <c r="J282" s="7">
        <f>Table1[[#This Row],[Clicks]]/Table1[[#This Row],[Impressions]]</f>
        <v>6.2260509607585376E-2</v>
      </c>
      <c r="K282" s="7">
        <f>IFERROR(Table1[[#This Row],[Conversions]]/Table1[[#This Row],[Clicks]],0)</f>
        <v>0.11769991015274034</v>
      </c>
      <c r="L282" s="6">
        <f>IF(Table1[[#This Row],[Conversions]]=0,0,Table1[[#This Row],[Ad Spend]]/Table1[[#This Row],[Conversions]])</f>
        <v>17.51648854961832</v>
      </c>
      <c r="M282" s="8">
        <f>IF(Table1[[#This Row],[Ad Spend]]=0,0,Table1[[#This Row],[Revenue]]/Table1[[#This Row],[Ad Spend]])</f>
        <v>5.1130472488298926</v>
      </c>
      <c r="N282">
        <f>YEAR(Table1[[#This Row],[Date]])</f>
        <v>2024</v>
      </c>
      <c r="O282" t="str">
        <f>TEXT(Table1[[#This Row],[Date]],"mmm")</f>
        <v>Apr</v>
      </c>
      <c r="P282">
        <f>MONTH(Table1[[#This Row],[Date]])</f>
        <v>4</v>
      </c>
    </row>
    <row r="283" spans="1:16" x14ac:dyDescent="0.25">
      <c r="A283" t="s">
        <v>302</v>
      </c>
      <c r="B283" t="s">
        <v>14</v>
      </c>
      <c r="C283" t="s">
        <v>17</v>
      </c>
      <c r="D283" s="1">
        <v>45414</v>
      </c>
      <c r="E283">
        <v>149724</v>
      </c>
      <c r="F283">
        <v>4867</v>
      </c>
      <c r="G283">
        <v>276</v>
      </c>
      <c r="H283" s="4">
        <v>2438</v>
      </c>
      <c r="I283" s="4">
        <v>23424.71</v>
      </c>
      <c r="J283" s="7">
        <f>Table1[[#This Row],[Clicks]]/Table1[[#This Row],[Impressions]]</f>
        <v>3.250647858726724E-2</v>
      </c>
      <c r="K283" s="7">
        <f>IFERROR(Table1[[#This Row],[Conversions]]/Table1[[#This Row],[Clicks]],0)</f>
        <v>5.6708444627080336E-2</v>
      </c>
      <c r="L283" s="6">
        <f>IF(Table1[[#This Row],[Conversions]]=0,0,Table1[[#This Row],[Ad Spend]]/Table1[[#This Row],[Conversions]])</f>
        <v>8.8333333333333339</v>
      </c>
      <c r="M283" s="8">
        <f>IF(Table1[[#This Row],[Ad Spend]]=0,0,Table1[[#This Row],[Revenue]]/Table1[[#This Row],[Ad Spend]])</f>
        <v>9.6081665299425758</v>
      </c>
      <c r="N283">
        <f>YEAR(Table1[[#This Row],[Date]])</f>
        <v>2024</v>
      </c>
      <c r="O283" t="str">
        <f>TEXT(Table1[[#This Row],[Date]],"mmm")</f>
        <v>May</v>
      </c>
      <c r="P283">
        <f>MONTH(Table1[[#This Row],[Date]])</f>
        <v>5</v>
      </c>
    </row>
    <row r="284" spans="1:16" x14ac:dyDescent="0.25">
      <c r="A284" t="s">
        <v>303</v>
      </c>
      <c r="B284" t="s">
        <v>34</v>
      </c>
      <c r="C284" t="s">
        <v>19</v>
      </c>
      <c r="D284" s="1">
        <v>45476</v>
      </c>
      <c r="E284">
        <v>139431</v>
      </c>
      <c r="F284">
        <v>10010</v>
      </c>
      <c r="G284">
        <v>806</v>
      </c>
      <c r="H284" s="4">
        <v>4053.52</v>
      </c>
      <c r="I284" s="4">
        <v>74346.53</v>
      </c>
      <c r="J284" s="7">
        <f>Table1[[#This Row],[Clicks]]/Table1[[#This Row],[Impressions]]</f>
        <v>7.1791782315267047E-2</v>
      </c>
      <c r="K284" s="7">
        <f>IFERROR(Table1[[#This Row],[Conversions]]/Table1[[#This Row],[Clicks]],0)</f>
        <v>8.0519480519480519E-2</v>
      </c>
      <c r="L284" s="6">
        <f>IF(Table1[[#This Row],[Conversions]]=0,0,Table1[[#This Row],[Ad Spend]]/Table1[[#This Row],[Conversions]])</f>
        <v>5.0291811414392056</v>
      </c>
      <c r="M284" s="8">
        <f>IF(Table1[[#This Row],[Ad Spend]]=0,0,Table1[[#This Row],[Revenue]]/Table1[[#This Row],[Ad Spend]])</f>
        <v>18.341226884288222</v>
      </c>
      <c r="N284">
        <f>YEAR(Table1[[#This Row],[Date]])</f>
        <v>2024</v>
      </c>
      <c r="O284" t="str">
        <f>TEXT(Table1[[#This Row],[Date]],"mmm")</f>
        <v>Jul</v>
      </c>
      <c r="P284">
        <f>MONTH(Table1[[#This Row],[Date]])</f>
        <v>7</v>
      </c>
    </row>
    <row r="285" spans="1:16" x14ac:dyDescent="0.25">
      <c r="A285" t="s">
        <v>304</v>
      </c>
      <c r="B285" t="s">
        <v>47</v>
      </c>
      <c r="C285" t="s">
        <v>37</v>
      </c>
      <c r="D285" s="1">
        <v>45481</v>
      </c>
      <c r="E285">
        <v>87030</v>
      </c>
      <c r="F285">
        <v>3392</v>
      </c>
      <c r="G285">
        <v>315</v>
      </c>
      <c r="H285" s="4">
        <v>1262.1199999999999</v>
      </c>
      <c r="I285" s="4">
        <v>10896.57</v>
      </c>
      <c r="J285" s="7">
        <f>Table1[[#This Row],[Clicks]]/Table1[[#This Row],[Impressions]]</f>
        <v>3.8975066069171553E-2</v>
      </c>
      <c r="K285" s="7">
        <f>IFERROR(Table1[[#This Row],[Conversions]]/Table1[[#This Row],[Clicks]],0)</f>
        <v>9.2865566037735853E-2</v>
      </c>
      <c r="L285" s="6">
        <f>IF(Table1[[#This Row],[Conversions]]=0,0,Table1[[#This Row],[Ad Spend]]/Table1[[#This Row],[Conversions]])</f>
        <v>4.006730158730158</v>
      </c>
      <c r="M285" s="8">
        <f>IF(Table1[[#This Row],[Ad Spend]]=0,0,Table1[[#This Row],[Revenue]]/Table1[[#This Row],[Ad Spend]])</f>
        <v>8.6335451462618451</v>
      </c>
      <c r="N285">
        <f>YEAR(Table1[[#This Row],[Date]])</f>
        <v>2024</v>
      </c>
      <c r="O285" t="str">
        <f>TEXT(Table1[[#This Row],[Date]],"mmm")</f>
        <v>Jul</v>
      </c>
      <c r="P285">
        <f>MONTH(Table1[[#This Row],[Date]])</f>
        <v>7</v>
      </c>
    </row>
    <row r="286" spans="1:16" x14ac:dyDescent="0.25">
      <c r="A286" t="s">
        <v>305</v>
      </c>
      <c r="B286" t="s">
        <v>34</v>
      </c>
      <c r="C286" t="s">
        <v>12</v>
      </c>
      <c r="D286" s="1">
        <v>45591</v>
      </c>
      <c r="E286">
        <v>114465</v>
      </c>
      <c r="F286">
        <v>3509</v>
      </c>
      <c r="G286">
        <v>159</v>
      </c>
      <c r="H286" s="4">
        <v>1304.0899999999999</v>
      </c>
      <c r="I286" s="4">
        <v>12239.65</v>
      </c>
      <c r="J286" s="7">
        <f>Table1[[#This Row],[Clicks]]/Table1[[#This Row],[Impressions]]</f>
        <v>3.0655658935045647E-2</v>
      </c>
      <c r="K286" s="7">
        <f>IFERROR(Table1[[#This Row],[Conversions]]/Table1[[#This Row],[Clicks]],0)</f>
        <v>4.531205471644343E-2</v>
      </c>
      <c r="L286" s="6">
        <f>IF(Table1[[#This Row],[Conversions]]=0,0,Table1[[#This Row],[Ad Spend]]/Table1[[#This Row],[Conversions]])</f>
        <v>8.2018238993710693</v>
      </c>
      <c r="M286" s="8">
        <f>IF(Table1[[#This Row],[Ad Spend]]=0,0,Table1[[#This Row],[Revenue]]/Table1[[#This Row],[Ad Spend]])</f>
        <v>9.385586884340805</v>
      </c>
      <c r="N286">
        <f>YEAR(Table1[[#This Row],[Date]])</f>
        <v>2024</v>
      </c>
      <c r="O286" t="str">
        <f>TEXT(Table1[[#This Row],[Date]],"mmm")</f>
        <v>Oct</v>
      </c>
      <c r="P286">
        <f>MONTH(Table1[[#This Row],[Date]])</f>
        <v>10</v>
      </c>
    </row>
    <row r="287" spans="1:16" x14ac:dyDescent="0.25">
      <c r="A287" t="s">
        <v>306</v>
      </c>
      <c r="B287" t="s">
        <v>14</v>
      </c>
      <c r="C287" t="s">
        <v>17</v>
      </c>
      <c r="D287" s="1">
        <v>45573</v>
      </c>
      <c r="E287">
        <v>93490</v>
      </c>
      <c r="F287">
        <v>2618</v>
      </c>
      <c r="G287">
        <v>331</v>
      </c>
      <c r="H287" s="4">
        <v>4839.24</v>
      </c>
      <c r="I287" s="4">
        <v>27860.09</v>
      </c>
      <c r="J287" s="7">
        <f>Table1[[#This Row],[Clicks]]/Table1[[#This Row],[Impressions]]</f>
        <v>2.8002994972724356E-2</v>
      </c>
      <c r="K287" s="7">
        <f>IFERROR(Table1[[#This Row],[Conversions]]/Table1[[#This Row],[Clicks]],0)</f>
        <v>0.12643239113827348</v>
      </c>
      <c r="L287" s="6">
        <f>IF(Table1[[#This Row],[Conversions]]=0,0,Table1[[#This Row],[Ad Spend]]/Table1[[#This Row],[Conversions]])</f>
        <v>14.620060422960725</v>
      </c>
      <c r="M287" s="8">
        <f>IF(Table1[[#This Row],[Ad Spend]]=0,0,Table1[[#This Row],[Revenue]]/Table1[[#This Row],[Ad Spend]])</f>
        <v>5.7571209528768987</v>
      </c>
      <c r="N287">
        <f>YEAR(Table1[[#This Row],[Date]])</f>
        <v>2024</v>
      </c>
      <c r="O287" t="str">
        <f>TEXT(Table1[[#This Row],[Date]],"mmm")</f>
        <v>Oct</v>
      </c>
      <c r="P287">
        <f>MONTH(Table1[[#This Row],[Date]])</f>
        <v>10</v>
      </c>
    </row>
    <row r="288" spans="1:16" x14ac:dyDescent="0.25">
      <c r="A288" t="s">
        <v>307</v>
      </c>
      <c r="B288" t="s">
        <v>41</v>
      </c>
      <c r="C288" t="s">
        <v>17</v>
      </c>
      <c r="D288" s="1">
        <v>45378</v>
      </c>
      <c r="E288">
        <v>97320</v>
      </c>
      <c r="F288">
        <v>2126</v>
      </c>
      <c r="G288">
        <v>241</v>
      </c>
      <c r="H288" s="4">
        <v>2543.92</v>
      </c>
      <c r="I288" s="4">
        <v>26917.279999999999</v>
      </c>
      <c r="J288" s="7">
        <f>Table1[[#This Row],[Clicks]]/Table1[[#This Row],[Impressions]]</f>
        <v>2.1845458281956432E-2</v>
      </c>
      <c r="K288" s="7">
        <f>IFERROR(Table1[[#This Row],[Conversions]]/Table1[[#This Row],[Clicks]],0)</f>
        <v>0.11335841956726246</v>
      </c>
      <c r="L288" s="6">
        <f>IF(Table1[[#This Row],[Conversions]]=0,0,Table1[[#This Row],[Ad Spend]]/Table1[[#This Row],[Conversions]])</f>
        <v>10.555684647302904</v>
      </c>
      <c r="M288" s="8">
        <f>IF(Table1[[#This Row],[Ad Spend]]=0,0,Table1[[#This Row],[Revenue]]/Table1[[#This Row],[Ad Spend]])</f>
        <v>10.58102456052077</v>
      </c>
      <c r="N288">
        <f>YEAR(Table1[[#This Row],[Date]])</f>
        <v>2024</v>
      </c>
      <c r="O288" t="str">
        <f>TEXT(Table1[[#This Row],[Date]],"mmm")</f>
        <v>Mar</v>
      </c>
      <c r="P288">
        <f>MONTH(Table1[[#This Row],[Date]])</f>
        <v>3</v>
      </c>
    </row>
    <row r="289" spans="1:16" x14ac:dyDescent="0.25">
      <c r="A289" t="s">
        <v>308</v>
      </c>
      <c r="B289" t="s">
        <v>31</v>
      </c>
      <c r="C289" t="s">
        <v>12</v>
      </c>
      <c r="D289" s="1">
        <v>45309</v>
      </c>
      <c r="E289">
        <v>24485</v>
      </c>
      <c r="F289">
        <v>1864</v>
      </c>
      <c r="G289">
        <v>199</v>
      </c>
      <c r="H289" s="4">
        <v>3868.83</v>
      </c>
      <c r="I289" s="4">
        <v>12186.61</v>
      </c>
      <c r="J289" s="7">
        <f>Table1[[#This Row],[Clicks]]/Table1[[#This Row],[Impressions]]</f>
        <v>7.6128241780682046E-2</v>
      </c>
      <c r="K289" s="7">
        <f>IFERROR(Table1[[#This Row],[Conversions]]/Table1[[#This Row],[Clicks]],0)</f>
        <v>0.10675965665236052</v>
      </c>
      <c r="L289" s="6">
        <f>IF(Table1[[#This Row],[Conversions]]=0,0,Table1[[#This Row],[Ad Spend]]/Table1[[#This Row],[Conversions]])</f>
        <v>19.441356783919598</v>
      </c>
      <c r="M289" s="8">
        <f>IF(Table1[[#This Row],[Ad Spend]]=0,0,Table1[[#This Row],[Revenue]]/Table1[[#This Row],[Ad Spend]])</f>
        <v>3.1499471416423055</v>
      </c>
      <c r="N289">
        <f>YEAR(Table1[[#This Row],[Date]])</f>
        <v>2024</v>
      </c>
      <c r="O289" t="str">
        <f>TEXT(Table1[[#This Row],[Date]],"mmm")</f>
        <v>Jan</v>
      </c>
      <c r="P289">
        <f>MONTH(Table1[[#This Row],[Date]])</f>
        <v>1</v>
      </c>
    </row>
    <row r="290" spans="1:16" x14ac:dyDescent="0.25">
      <c r="A290" t="s">
        <v>309</v>
      </c>
      <c r="B290" t="s">
        <v>14</v>
      </c>
      <c r="C290" t="s">
        <v>10</v>
      </c>
      <c r="D290" s="1">
        <v>45654</v>
      </c>
      <c r="E290">
        <v>44591</v>
      </c>
      <c r="F290">
        <v>474</v>
      </c>
      <c r="G290">
        <v>40</v>
      </c>
      <c r="H290" s="4">
        <v>1991.36</v>
      </c>
      <c r="I290" s="4">
        <v>3271.34</v>
      </c>
      <c r="J290" s="7">
        <f>Table1[[#This Row],[Clicks]]/Table1[[#This Row],[Impressions]]</f>
        <v>1.0629947747303267E-2</v>
      </c>
      <c r="K290" s="7">
        <f>IFERROR(Table1[[#This Row],[Conversions]]/Table1[[#This Row],[Clicks]],0)</f>
        <v>8.4388185654008435E-2</v>
      </c>
      <c r="L290" s="6">
        <f>IF(Table1[[#This Row],[Conversions]]=0,0,Table1[[#This Row],[Ad Spend]]/Table1[[#This Row],[Conversions]])</f>
        <v>49.783999999999999</v>
      </c>
      <c r="M290" s="8">
        <f>IF(Table1[[#This Row],[Ad Spend]]=0,0,Table1[[#This Row],[Revenue]]/Table1[[#This Row],[Ad Spend]])</f>
        <v>1.6427667523702396</v>
      </c>
      <c r="N290">
        <f>YEAR(Table1[[#This Row],[Date]])</f>
        <v>2024</v>
      </c>
      <c r="O290" t="str">
        <f>TEXT(Table1[[#This Row],[Date]],"mmm")</f>
        <v>Dec</v>
      </c>
      <c r="P290">
        <f>MONTH(Table1[[#This Row],[Date]])</f>
        <v>12</v>
      </c>
    </row>
    <row r="291" spans="1:16" x14ac:dyDescent="0.25">
      <c r="A291" t="s">
        <v>310</v>
      </c>
      <c r="B291" t="s">
        <v>41</v>
      </c>
      <c r="C291" t="s">
        <v>17</v>
      </c>
      <c r="D291" s="1">
        <v>45300</v>
      </c>
      <c r="E291">
        <v>6733</v>
      </c>
      <c r="F291">
        <v>318</v>
      </c>
      <c r="G291">
        <v>23</v>
      </c>
      <c r="H291" s="4">
        <v>280.29000000000002</v>
      </c>
      <c r="I291" s="4">
        <v>2121.04</v>
      </c>
      <c r="J291" s="7">
        <f>Table1[[#This Row],[Clicks]]/Table1[[#This Row],[Impressions]]</f>
        <v>4.723006089410367E-2</v>
      </c>
      <c r="K291" s="7">
        <f>IFERROR(Table1[[#This Row],[Conversions]]/Table1[[#This Row],[Clicks]],0)</f>
        <v>7.2327044025157231E-2</v>
      </c>
      <c r="L291" s="6">
        <f>IF(Table1[[#This Row],[Conversions]]=0,0,Table1[[#This Row],[Ad Spend]]/Table1[[#This Row],[Conversions]])</f>
        <v>12.186521739130436</v>
      </c>
      <c r="M291" s="8">
        <f>IF(Table1[[#This Row],[Ad Spend]]=0,0,Table1[[#This Row],[Revenue]]/Table1[[#This Row],[Ad Spend]])</f>
        <v>7.56730529094866</v>
      </c>
      <c r="N291">
        <f>YEAR(Table1[[#This Row],[Date]])</f>
        <v>2024</v>
      </c>
      <c r="O291" t="str">
        <f>TEXT(Table1[[#This Row],[Date]],"mmm")</f>
        <v>Jan</v>
      </c>
      <c r="P291">
        <f>MONTH(Table1[[#This Row],[Date]])</f>
        <v>1</v>
      </c>
    </row>
    <row r="292" spans="1:16" x14ac:dyDescent="0.25">
      <c r="A292" t="s">
        <v>311</v>
      </c>
      <c r="B292" t="s">
        <v>34</v>
      </c>
      <c r="C292" t="s">
        <v>10</v>
      </c>
      <c r="D292" s="1">
        <v>45549</v>
      </c>
      <c r="E292">
        <v>117872</v>
      </c>
      <c r="F292">
        <v>7830</v>
      </c>
      <c r="G292">
        <v>1082</v>
      </c>
      <c r="H292" s="4">
        <v>713.68</v>
      </c>
      <c r="I292" s="4">
        <v>32061.16</v>
      </c>
      <c r="J292" s="7">
        <f>Table1[[#This Row],[Clicks]]/Table1[[#This Row],[Impressions]]</f>
        <v>6.6427989683724722E-2</v>
      </c>
      <c r="K292" s="7">
        <f>IFERROR(Table1[[#This Row],[Conversions]]/Table1[[#This Row],[Clicks]],0)</f>
        <v>0.13818646232439336</v>
      </c>
      <c r="L292" s="6">
        <f>IF(Table1[[#This Row],[Conversions]]=0,0,Table1[[#This Row],[Ad Spend]]/Table1[[#This Row],[Conversions]])</f>
        <v>0.65959334565619221</v>
      </c>
      <c r="M292" s="8">
        <f>IF(Table1[[#This Row],[Ad Spend]]=0,0,Table1[[#This Row],[Revenue]]/Table1[[#This Row],[Ad Spend]])</f>
        <v>44.923719313978253</v>
      </c>
      <c r="N292">
        <f>YEAR(Table1[[#This Row],[Date]])</f>
        <v>2024</v>
      </c>
      <c r="O292" t="str">
        <f>TEXT(Table1[[#This Row],[Date]],"mmm")</f>
        <v>Sept</v>
      </c>
      <c r="P292">
        <f>MONTH(Table1[[#This Row],[Date]])</f>
        <v>9</v>
      </c>
    </row>
    <row r="293" spans="1:16" x14ac:dyDescent="0.25">
      <c r="A293" t="s">
        <v>312</v>
      </c>
      <c r="B293" t="s">
        <v>16</v>
      </c>
      <c r="C293" t="s">
        <v>37</v>
      </c>
      <c r="D293" s="1">
        <v>45390</v>
      </c>
      <c r="E293">
        <v>143007</v>
      </c>
      <c r="F293">
        <v>3956</v>
      </c>
      <c r="G293">
        <v>261</v>
      </c>
      <c r="H293" s="4">
        <v>4015.69</v>
      </c>
      <c r="I293" s="4">
        <v>7282.4</v>
      </c>
      <c r="J293" s="7">
        <f>Table1[[#This Row],[Clicks]]/Table1[[#This Row],[Impressions]]</f>
        <v>2.7662981532372542E-2</v>
      </c>
      <c r="K293" s="7">
        <f>IFERROR(Table1[[#This Row],[Conversions]]/Table1[[#This Row],[Clicks]],0)</f>
        <v>6.5975733063700706E-2</v>
      </c>
      <c r="L293" s="6">
        <f>IF(Table1[[#This Row],[Conversions]]=0,0,Table1[[#This Row],[Ad Spend]]/Table1[[#This Row],[Conversions]])</f>
        <v>15.385785440613027</v>
      </c>
      <c r="M293" s="8">
        <f>IF(Table1[[#This Row],[Ad Spend]]=0,0,Table1[[#This Row],[Revenue]]/Table1[[#This Row],[Ad Spend]])</f>
        <v>1.8134865988161435</v>
      </c>
      <c r="N293">
        <f>YEAR(Table1[[#This Row],[Date]])</f>
        <v>2024</v>
      </c>
      <c r="O293" t="str">
        <f>TEXT(Table1[[#This Row],[Date]],"mmm")</f>
        <v>Apr</v>
      </c>
      <c r="P293">
        <f>MONTH(Table1[[#This Row],[Date]])</f>
        <v>4</v>
      </c>
    </row>
    <row r="294" spans="1:16" x14ac:dyDescent="0.25">
      <c r="A294" t="s">
        <v>313</v>
      </c>
      <c r="B294" t="s">
        <v>21</v>
      </c>
      <c r="C294" t="s">
        <v>17</v>
      </c>
      <c r="D294" s="1">
        <v>45581</v>
      </c>
      <c r="E294">
        <v>68755</v>
      </c>
      <c r="F294">
        <v>5453</v>
      </c>
      <c r="G294">
        <v>269</v>
      </c>
      <c r="H294" s="4">
        <v>3483.4</v>
      </c>
      <c r="I294" s="4">
        <v>28187.63</v>
      </c>
      <c r="J294" s="7">
        <f>Table1[[#This Row],[Clicks]]/Table1[[#This Row],[Impressions]]</f>
        <v>7.9310595593047775E-2</v>
      </c>
      <c r="K294" s="7">
        <f>IFERROR(Table1[[#This Row],[Conversions]]/Table1[[#This Row],[Clicks]],0)</f>
        <v>4.9330643682376676E-2</v>
      </c>
      <c r="L294" s="6">
        <f>IF(Table1[[#This Row],[Conversions]]=0,0,Table1[[#This Row],[Ad Spend]]/Table1[[#This Row],[Conversions]])</f>
        <v>12.949442379182157</v>
      </c>
      <c r="M294" s="8">
        <f>IF(Table1[[#This Row],[Ad Spend]]=0,0,Table1[[#This Row],[Revenue]]/Table1[[#This Row],[Ad Spend]])</f>
        <v>8.0919877131538147</v>
      </c>
      <c r="N294">
        <f>YEAR(Table1[[#This Row],[Date]])</f>
        <v>2024</v>
      </c>
      <c r="O294" t="str">
        <f>TEXT(Table1[[#This Row],[Date]],"mmm")</f>
        <v>Oct</v>
      </c>
      <c r="P294">
        <f>MONTH(Table1[[#This Row],[Date]])</f>
        <v>10</v>
      </c>
    </row>
    <row r="295" spans="1:16" x14ac:dyDescent="0.25">
      <c r="A295" t="s">
        <v>314</v>
      </c>
      <c r="B295" t="s">
        <v>31</v>
      </c>
      <c r="C295" t="s">
        <v>10</v>
      </c>
      <c r="D295" s="1">
        <v>45499</v>
      </c>
      <c r="E295">
        <v>104421</v>
      </c>
      <c r="F295">
        <v>3801</v>
      </c>
      <c r="G295">
        <v>311</v>
      </c>
      <c r="H295" s="4">
        <v>3256.39</v>
      </c>
      <c r="I295" s="4">
        <v>28078.48</v>
      </c>
      <c r="J295" s="7">
        <f>Table1[[#This Row],[Clicks]]/Table1[[#This Row],[Impressions]]</f>
        <v>3.6400723992300398E-2</v>
      </c>
      <c r="K295" s="7">
        <f>IFERROR(Table1[[#This Row],[Conversions]]/Table1[[#This Row],[Clicks]],0)</f>
        <v>8.1820573533280719E-2</v>
      </c>
      <c r="L295" s="6">
        <f>IF(Table1[[#This Row],[Conversions]]=0,0,Table1[[#This Row],[Ad Spend]]/Table1[[#This Row],[Conversions]])</f>
        <v>10.470707395498392</v>
      </c>
      <c r="M295" s="8">
        <f>IF(Table1[[#This Row],[Ad Spend]]=0,0,Table1[[#This Row],[Revenue]]/Table1[[#This Row],[Ad Spend]])</f>
        <v>8.6225789908456907</v>
      </c>
      <c r="N295">
        <f>YEAR(Table1[[#This Row],[Date]])</f>
        <v>2024</v>
      </c>
      <c r="O295" t="str">
        <f>TEXT(Table1[[#This Row],[Date]],"mmm")</f>
        <v>Jul</v>
      </c>
      <c r="P295">
        <f>MONTH(Table1[[#This Row],[Date]])</f>
        <v>7</v>
      </c>
    </row>
    <row r="296" spans="1:16" x14ac:dyDescent="0.25">
      <c r="A296" t="s">
        <v>315</v>
      </c>
      <c r="B296" t="s">
        <v>9</v>
      </c>
      <c r="C296" t="s">
        <v>17</v>
      </c>
      <c r="D296" s="1">
        <v>45514</v>
      </c>
      <c r="E296">
        <v>91840</v>
      </c>
      <c r="F296">
        <v>4556</v>
      </c>
      <c r="G296">
        <v>599</v>
      </c>
      <c r="H296" s="4">
        <v>657.74</v>
      </c>
      <c r="I296" s="4">
        <v>43616.74</v>
      </c>
      <c r="J296" s="7">
        <f>Table1[[#This Row],[Clicks]]/Table1[[#This Row],[Impressions]]</f>
        <v>4.960801393728223E-2</v>
      </c>
      <c r="K296" s="7">
        <f>IFERROR(Table1[[#This Row],[Conversions]]/Table1[[#This Row],[Clicks]],0)</f>
        <v>0.13147497805092187</v>
      </c>
      <c r="L296" s="6">
        <f>IF(Table1[[#This Row],[Conversions]]=0,0,Table1[[#This Row],[Ad Spend]]/Table1[[#This Row],[Conversions]])</f>
        <v>1.0980634390651085</v>
      </c>
      <c r="M296" s="8">
        <f>IF(Table1[[#This Row],[Ad Spend]]=0,0,Table1[[#This Row],[Revenue]]/Table1[[#This Row],[Ad Spend]])</f>
        <v>66.31304162739076</v>
      </c>
      <c r="N296">
        <f>YEAR(Table1[[#This Row],[Date]])</f>
        <v>2024</v>
      </c>
      <c r="O296" t="str">
        <f>TEXT(Table1[[#This Row],[Date]],"mmm")</f>
        <v>Aug</v>
      </c>
      <c r="P296">
        <f>MONTH(Table1[[#This Row],[Date]])</f>
        <v>8</v>
      </c>
    </row>
    <row r="297" spans="1:16" x14ac:dyDescent="0.25">
      <c r="A297" t="s">
        <v>316</v>
      </c>
      <c r="B297" t="s">
        <v>31</v>
      </c>
      <c r="C297" t="s">
        <v>37</v>
      </c>
      <c r="D297" s="1">
        <v>45400</v>
      </c>
      <c r="E297">
        <v>129649</v>
      </c>
      <c r="F297">
        <v>3756</v>
      </c>
      <c r="G297">
        <v>526</v>
      </c>
      <c r="H297" s="4">
        <v>3485.26</v>
      </c>
      <c r="I297" s="4">
        <v>25267.62</v>
      </c>
      <c r="J297" s="7">
        <f>Table1[[#This Row],[Clicks]]/Table1[[#This Row],[Impressions]]</f>
        <v>2.8970528118226906E-2</v>
      </c>
      <c r="K297" s="7">
        <f>IFERROR(Table1[[#This Row],[Conversions]]/Table1[[#This Row],[Clicks]],0)</f>
        <v>0.14004259850905218</v>
      </c>
      <c r="L297" s="6">
        <f>IF(Table1[[#This Row],[Conversions]]=0,0,Table1[[#This Row],[Ad Spend]]/Table1[[#This Row],[Conversions]])</f>
        <v>6.6259695817490503</v>
      </c>
      <c r="M297" s="8">
        <f>IF(Table1[[#This Row],[Ad Spend]]=0,0,Table1[[#This Row],[Revenue]]/Table1[[#This Row],[Ad Spend]])</f>
        <v>7.2498522348404419</v>
      </c>
      <c r="N297">
        <f>YEAR(Table1[[#This Row],[Date]])</f>
        <v>2024</v>
      </c>
      <c r="O297" t="str">
        <f>TEXT(Table1[[#This Row],[Date]],"mmm")</f>
        <v>Apr</v>
      </c>
      <c r="P297">
        <f>MONTH(Table1[[#This Row],[Date]])</f>
        <v>4</v>
      </c>
    </row>
    <row r="298" spans="1:16" x14ac:dyDescent="0.25">
      <c r="A298" t="s">
        <v>317</v>
      </c>
      <c r="B298" t="s">
        <v>31</v>
      </c>
      <c r="C298" t="s">
        <v>37</v>
      </c>
      <c r="D298" s="1">
        <v>45453</v>
      </c>
      <c r="E298">
        <v>9104</v>
      </c>
      <c r="F298">
        <v>703</v>
      </c>
      <c r="G298">
        <v>67</v>
      </c>
      <c r="H298" s="4">
        <v>3810.82</v>
      </c>
      <c r="I298" s="4">
        <v>6115.17</v>
      </c>
      <c r="J298" s="7">
        <f>Table1[[#This Row],[Clicks]]/Table1[[#This Row],[Impressions]]</f>
        <v>7.7218804920913889E-2</v>
      </c>
      <c r="K298" s="7">
        <f>IFERROR(Table1[[#This Row],[Conversions]]/Table1[[#This Row],[Clicks]],0)</f>
        <v>9.5305832147937405E-2</v>
      </c>
      <c r="L298" s="6">
        <f>IF(Table1[[#This Row],[Conversions]]=0,0,Table1[[#This Row],[Ad Spend]]/Table1[[#This Row],[Conversions]])</f>
        <v>56.877910447761195</v>
      </c>
      <c r="M298" s="8">
        <f>IF(Table1[[#This Row],[Ad Spend]]=0,0,Table1[[#This Row],[Revenue]]/Table1[[#This Row],[Ad Spend]])</f>
        <v>1.6046861305440823</v>
      </c>
      <c r="N298">
        <f>YEAR(Table1[[#This Row],[Date]])</f>
        <v>2024</v>
      </c>
      <c r="O298" t="str">
        <f>TEXT(Table1[[#This Row],[Date]],"mmm")</f>
        <v>Jun</v>
      </c>
      <c r="P298">
        <f>MONTH(Table1[[#This Row],[Date]])</f>
        <v>6</v>
      </c>
    </row>
    <row r="299" spans="1:16" x14ac:dyDescent="0.25">
      <c r="A299" t="s">
        <v>318</v>
      </c>
      <c r="B299" t="s">
        <v>21</v>
      </c>
      <c r="C299" t="s">
        <v>10</v>
      </c>
      <c r="D299" s="1">
        <v>45445</v>
      </c>
      <c r="E299">
        <v>47585</v>
      </c>
      <c r="F299">
        <v>2354</v>
      </c>
      <c r="G299">
        <v>220</v>
      </c>
      <c r="H299" s="4">
        <v>4277.32</v>
      </c>
      <c r="I299" s="4">
        <v>19294.77</v>
      </c>
      <c r="J299" s="7">
        <f>Table1[[#This Row],[Clicks]]/Table1[[#This Row],[Impressions]]</f>
        <v>4.9469370599978982E-2</v>
      </c>
      <c r="K299" s="7">
        <f>IFERROR(Table1[[#This Row],[Conversions]]/Table1[[#This Row],[Clicks]],0)</f>
        <v>9.3457943925233641E-2</v>
      </c>
      <c r="L299" s="6">
        <f>IF(Table1[[#This Row],[Conversions]]=0,0,Table1[[#This Row],[Ad Spend]]/Table1[[#This Row],[Conversions]])</f>
        <v>19.442363636363634</v>
      </c>
      <c r="M299" s="8">
        <f>IF(Table1[[#This Row],[Ad Spend]]=0,0,Table1[[#This Row],[Revenue]]/Table1[[#This Row],[Ad Spend]])</f>
        <v>4.5109484443530068</v>
      </c>
      <c r="N299">
        <f>YEAR(Table1[[#This Row],[Date]])</f>
        <v>2024</v>
      </c>
      <c r="O299" t="str">
        <f>TEXT(Table1[[#This Row],[Date]],"mmm")</f>
        <v>Jun</v>
      </c>
      <c r="P299">
        <f>MONTH(Table1[[#This Row],[Date]])</f>
        <v>6</v>
      </c>
    </row>
    <row r="300" spans="1:16" x14ac:dyDescent="0.25">
      <c r="A300" t="s">
        <v>319</v>
      </c>
      <c r="B300" t="s">
        <v>47</v>
      </c>
      <c r="C300" t="s">
        <v>17</v>
      </c>
      <c r="D300" s="1">
        <v>45678</v>
      </c>
      <c r="E300">
        <v>41687</v>
      </c>
      <c r="F300">
        <v>2723</v>
      </c>
      <c r="G300">
        <v>298</v>
      </c>
      <c r="H300" s="4">
        <v>576.45000000000005</v>
      </c>
      <c r="I300" s="4">
        <v>28174.61</v>
      </c>
      <c r="J300" s="7">
        <f>Table1[[#This Row],[Clicks]]/Table1[[#This Row],[Impressions]]</f>
        <v>6.5320123779595562E-2</v>
      </c>
      <c r="K300" s="7">
        <f>IFERROR(Table1[[#This Row],[Conversions]]/Table1[[#This Row],[Clicks]],0)</f>
        <v>0.10943811972089607</v>
      </c>
      <c r="L300" s="6">
        <f>IF(Table1[[#This Row],[Conversions]]=0,0,Table1[[#This Row],[Ad Spend]]/Table1[[#This Row],[Conversions]])</f>
        <v>1.9343959731543625</v>
      </c>
      <c r="M300" s="8">
        <f>IF(Table1[[#This Row],[Ad Spend]]=0,0,Table1[[#This Row],[Revenue]]/Table1[[#This Row],[Ad Spend]])</f>
        <v>48.876069043282158</v>
      </c>
      <c r="N300">
        <f>YEAR(Table1[[#This Row],[Date]])</f>
        <v>2025</v>
      </c>
      <c r="O300" t="str">
        <f>TEXT(Table1[[#This Row],[Date]],"mmm")</f>
        <v>Jan</v>
      </c>
      <c r="P300">
        <f>MONTH(Table1[[#This Row],[Date]])</f>
        <v>1</v>
      </c>
    </row>
    <row r="301" spans="1:16" x14ac:dyDescent="0.25">
      <c r="A301" t="s">
        <v>320</v>
      </c>
      <c r="B301" t="s">
        <v>47</v>
      </c>
      <c r="C301" t="s">
        <v>10</v>
      </c>
      <c r="D301" s="1">
        <v>45342</v>
      </c>
      <c r="E301">
        <v>119580</v>
      </c>
      <c r="F301">
        <v>3138</v>
      </c>
      <c r="G301">
        <v>93</v>
      </c>
      <c r="H301" s="4">
        <v>3104.81</v>
      </c>
      <c r="I301" s="4">
        <v>7568.95</v>
      </c>
      <c r="J301" s="7">
        <f>Table1[[#This Row],[Clicks]]/Table1[[#This Row],[Impressions]]</f>
        <v>2.6241846462619168E-2</v>
      </c>
      <c r="K301" s="7">
        <f>IFERROR(Table1[[#This Row],[Conversions]]/Table1[[#This Row],[Clicks]],0)</f>
        <v>2.9636711281070746E-2</v>
      </c>
      <c r="L301" s="6">
        <f>IF(Table1[[#This Row],[Conversions]]=0,0,Table1[[#This Row],[Ad Spend]]/Table1[[#This Row],[Conversions]])</f>
        <v>33.385053763440858</v>
      </c>
      <c r="M301" s="8">
        <f>IF(Table1[[#This Row],[Ad Spend]]=0,0,Table1[[#This Row],[Revenue]]/Table1[[#This Row],[Ad Spend]])</f>
        <v>2.4378142301783363</v>
      </c>
      <c r="N301">
        <f>YEAR(Table1[[#This Row],[Date]])</f>
        <v>2024</v>
      </c>
      <c r="O301" t="str">
        <f>TEXT(Table1[[#This Row],[Date]],"mmm")</f>
        <v>Feb</v>
      </c>
      <c r="P301">
        <f>MONTH(Table1[[#This Row],[Date]])</f>
        <v>2</v>
      </c>
    </row>
    <row r="302" spans="1:16" x14ac:dyDescent="0.25">
      <c r="A302" t="s">
        <v>321</v>
      </c>
      <c r="B302" t="s">
        <v>21</v>
      </c>
      <c r="C302" t="s">
        <v>19</v>
      </c>
      <c r="D302" s="1">
        <v>45307</v>
      </c>
      <c r="E302">
        <v>76651</v>
      </c>
      <c r="F302">
        <v>4970</v>
      </c>
      <c r="G302">
        <v>390</v>
      </c>
      <c r="H302" s="4">
        <v>1295.06</v>
      </c>
      <c r="I302" s="4">
        <v>29368.47</v>
      </c>
      <c r="J302" s="7">
        <f>Table1[[#This Row],[Clicks]]/Table1[[#This Row],[Impressions]]</f>
        <v>6.4839336734028252E-2</v>
      </c>
      <c r="K302" s="7">
        <f>IFERROR(Table1[[#This Row],[Conversions]]/Table1[[#This Row],[Clicks]],0)</f>
        <v>7.847082494969819E-2</v>
      </c>
      <c r="L302" s="6">
        <f>IF(Table1[[#This Row],[Conversions]]=0,0,Table1[[#This Row],[Ad Spend]]/Table1[[#This Row],[Conversions]])</f>
        <v>3.3206666666666664</v>
      </c>
      <c r="M302" s="8">
        <f>IF(Table1[[#This Row],[Ad Spend]]=0,0,Table1[[#This Row],[Revenue]]/Table1[[#This Row],[Ad Spend]])</f>
        <v>22.677304526431211</v>
      </c>
      <c r="N302">
        <f>YEAR(Table1[[#This Row],[Date]])</f>
        <v>2024</v>
      </c>
      <c r="O302" t="str">
        <f>TEXT(Table1[[#This Row],[Date]],"mmm")</f>
        <v>Jan</v>
      </c>
      <c r="P302">
        <f>MONTH(Table1[[#This Row],[Date]])</f>
        <v>1</v>
      </c>
    </row>
    <row r="303" spans="1:16" x14ac:dyDescent="0.25">
      <c r="A303" t="s">
        <v>322</v>
      </c>
      <c r="B303" t="s">
        <v>21</v>
      </c>
      <c r="C303" t="s">
        <v>17</v>
      </c>
      <c r="D303" s="1">
        <v>45387</v>
      </c>
      <c r="E303">
        <v>104633</v>
      </c>
      <c r="F303">
        <v>1673</v>
      </c>
      <c r="G303">
        <v>168</v>
      </c>
      <c r="H303" s="4">
        <v>4030.66</v>
      </c>
      <c r="I303" s="4">
        <v>15340.22</v>
      </c>
      <c r="J303" s="7">
        <f>Table1[[#This Row],[Clicks]]/Table1[[#This Row],[Impressions]]</f>
        <v>1.5989219462311126E-2</v>
      </c>
      <c r="K303" s="7">
        <f>IFERROR(Table1[[#This Row],[Conversions]]/Table1[[#This Row],[Clicks]],0)</f>
        <v>0.100418410041841</v>
      </c>
      <c r="L303" s="6">
        <f>IF(Table1[[#This Row],[Conversions]]=0,0,Table1[[#This Row],[Ad Spend]]/Table1[[#This Row],[Conversions]])</f>
        <v>23.992023809523808</v>
      </c>
      <c r="M303" s="8">
        <f>IF(Table1[[#This Row],[Ad Spend]]=0,0,Table1[[#This Row],[Revenue]]/Table1[[#This Row],[Ad Spend]])</f>
        <v>3.8058829075139058</v>
      </c>
      <c r="N303">
        <f>YEAR(Table1[[#This Row],[Date]])</f>
        <v>2024</v>
      </c>
      <c r="O303" t="str">
        <f>TEXT(Table1[[#This Row],[Date]],"mmm")</f>
        <v>Apr</v>
      </c>
      <c r="P303">
        <f>MONTH(Table1[[#This Row],[Date]])</f>
        <v>4</v>
      </c>
    </row>
    <row r="304" spans="1:16" x14ac:dyDescent="0.25">
      <c r="A304" t="s">
        <v>323</v>
      </c>
      <c r="B304" t="s">
        <v>9</v>
      </c>
      <c r="C304" t="s">
        <v>19</v>
      </c>
      <c r="D304" s="1">
        <v>45370</v>
      </c>
      <c r="E304">
        <v>104614</v>
      </c>
      <c r="F304">
        <v>6257</v>
      </c>
      <c r="G304">
        <v>640</v>
      </c>
      <c r="H304" s="4">
        <v>3750.35</v>
      </c>
      <c r="I304" s="4">
        <v>33067.410000000003</v>
      </c>
      <c r="J304" s="7">
        <f>Table1[[#This Row],[Clicks]]/Table1[[#This Row],[Impressions]]</f>
        <v>5.9810350431108647E-2</v>
      </c>
      <c r="K304" s="7">
        <f>IFERROR(Table1[[#This Row],[Conversions]]/Table1[[#This Row],[Clicks]],0)</f>
        <v>0.10228544030685632</v>
      </c>
      <c r="L304" s="6">
        <f>IF(Table1[[#This Row],[Conversions]]=0,0,Table1[[#This Row],[Ad Spend]]/Table1[[#This Row],[Conversions]])</f>
        <v>5.8599218749999995</v>
      </c>
      <c r="M304" s="8">
        <f>IF(Table1[[#This Row],[Ad Spend]]=0,0,Table1[[#This Row],[Revenue]]/Table1[[#This Row],[Ad Spend]])</f>
        <v>8.8171530657138675</v>
      </c>
      <c r="N304">
        <f>YEAR(Table1[[#This Row],[Date]])</f>
        <v>2024</v>
      </c>
      <c r="O304" t="str">
        <f>TEXT(Table1[[#This Row],[Date]],"mmm")</f>
        <v>Mar</v>
      </c>
      <c r="P304">
        <f>MONTH(Table1[[#This Row],[Date]])</f>
        <v>3</v>
      </c>
    </row>
    <row r="305" spans="1:16" x14ac:dyDescent="0.25">
      <c r="A305" t="s">
        <v>324</v>
      </c>
      <c r="B305" t="s">
        <v>9</v>
      </c>
      <c r="C305" t="s">
        <v>10</v>
      </c>
      <c r="D305" s="1">
        <v>45294</v>
      </c>
      <c r="E305">
        <v>85810</v>
      </c>
      <c r="F305">
        <v>3529</v>
      </c>
      <c r="G305">
        <v>419</v>
      </c>
      <c r="H305" s="4">
        <v>690.71</v>
      </c>
      <c r="I305" s="4">
        <v>12037.75</v>
      </c>
      <c r="J305" s="7">
        <f>Table1[[#This Row],[Clicks]]/Table1[[#This Row],[Impressions]]</f>
        <v>4.112574292040555E-2</v>
      </c>
      <c r="K305" s="7">
        <f>IFERROR(Table1[[#This Row],[Conversions]]/Table1[[#This Row],[Clicks]],0)</f>
        <v>0.11873051856049872</v>
      </c>
      <c r="L305" s="6">
        <f>IF(Table1[[#This Row],[Conversions]]=0,0,Table1[[#This Row],[Ad Spend]]/Table1[[#This Row],[Conversions]])</f>
        <v>1.6484725536992841</v>
      </c>
      <c r="M305" s="8">
        <f>IF(Table1[[#This Row],[Ad Spend]]=0,0,Table1[[#This Row],[Revenue]]/Table1[[#This Row],[Ad Spend]])</f>
        <v>17.428081249728539</v>
      </c>
      <c r="N305">
        <f>YEAR(Table1[[#This Row],[Date]])</f>
        <v>2024</v>
      </c>
      <c r="O305" t="str">
        <f>TEXT(Table1[[#This Row],[Date]],"mmm")</f>
        <v>Jan</v>
      </c>
      <c r="P305">
        <f>MONTH(Table1[[#This Row],[Date]])</f>
        <v>1</v>
      </c>
    </row>
    <row r="306" spans="1:16" x14ac:dyDescent="0.25">
      <c r="A306" t="s">
        <v>325</v>
      </c>
      <c r="B306" t="s">
        <v>21</v>
      </c>
      <c r="C306" t="s">
        <v>17</v>
      </c>
      <c r="D306" s="1">
        <v>45577</v>
      </c>
      <c r="E306">
        <v>139333</v>
      </c>
      <c r="F306">
        <v>5373</v>
      </c>
      <c r="G306">
        <v>125</v>
      </c>
      <c r="H306" s="4">
        <v>1898.79</v>
      </c>
      <c r="I306" s="4">
        <v>3663.3</v>
      </c>
      <c r="J306" s="7">
        <f>Table1[[#This Row],[Clicks]]/Table1[[#This Row],[Impressions]]</f>
        <v>3.8562293211227776E-2</v>
      </c>
      <c r="K306" s="7">
        <f>IFERROR(Table1[[#This Row],[Conversions]]/Table1[[#This Row],[Clicks]],0)</f>
        <v>2.3264470500651405E-2</v>
      </c>
      <c r="L306" s="6">
        <f>IF(Table1[[#This Row],[Conversions]]=0,0,Table1[[#This Row],[Ad Spend]]/Table1[[#This Row],[Conversions]])</f>
        <v>15.19032</v>
      </c>
      <c r="M306" s="8">
        <f>IF(Table1[[#This Row],[Ad Spend]]=0,0,Table1[[#This Row],[Revenue]]/Table1[[#This Row],[Ad Spend]])</f>
        <v>1.9292812791303937</v>
      </c>
      <c r="N306">
        <f>YEAR(Table1[[#This Row],[Date]])</f>
        <v>2024</v>
      </c>
      <c r="O306" t="str">
        <f>TEXT(Table1[[#This Row],[Date]],"mmm")</f>
        <v>Oct</v>
      </c>
      <c r="P306">
        <f>MONTH(Table1[[#This Row],[Date]])</f>
        <v>10</v>
      </c>
    </row>
    <row r="307" spans="1:16" x14ac:dyDescent="0.25">
      <c r="A307" t="s">
        <v>326</v>
      </c>
      <c r="B307" t="s">
        <v>47</v>
      </c>
      <c r="C307" t="s">
        <v>17</v>
      </c>
      <c r="D307" s="1">
        <v>45298</v>
      </c>
      <c r="E307">
        <v>81506</v>
      </c>
      <c r="F307">
        <v>3176</v>
      </c>
      <c r="G307">
        <v>385</v>
      </c>
      <c r="H307" s="4">
        <v>3679.25</v>
      </c>
      <c r="I307" s="4">
        <v>29242.16</v>
      </c>
      <c r="J307" s="7">
        <f>Table1[[#This Row],[Clicks]]/Table1[[#This Row],[Impressions]]</f>
        <v>3.8966456457193335E-2</v>
      </c>
      <c r="K307" s="7">
        <f>IFERROR(Table1[[#This Row],[Conversions]]/Table1[[#This Row],[Clicks]],0)</f>
        <v>0.12122166246851386</v>
      </c>
      <c r="L307" s="6">
        <f>IF(Table1[[#This Row],[Conversions]]=0,0,Table1[[#This Row],[Ad Spend]]/Table1[[#This Row],[Conversions]])</f>
        <v>9.5564935064935064</v>
      </c>
      <c r="M307" s="8">
        <f>IF(Table1[[#This Row],[Ad Spend]]=0,0,Table1[[#This Row],[Revenue]]/Table1[[#This Row],[Ad Spend]])</f>
        <v>7.9478589386423861</v>
      </c>
      <c r="N307">
        <f>YEAR(Table1[[#This Row],[Date]])</f>
        <v>2024</v>
      </c>
      <c r="O307" t="str">
        <f>TEXT(Table1[[#This Row],[Date]],"mmm")</f>
        <v>Jan</v>
      </c>
      <c r="P307">
        <f>MONTH(Table1[[#This Row],[Date]])</f>
        <v>1</v>
      </c>
    </row>
    <row r="308" spans="1:16" x14ac:dyDescent="0.25">
      <c r="A308" t="s">
        <v>327</v>
      </c>
      <c r="B308" t="s">
        <v>14</v>
      </c>
      <c r="C308" t="s">
        <v>12</v>
      </c>
      <c r="D308" s="1">
        <v>45558</v>
      </c>
      <c r="E308">
        <v>49455</v>
      </c>
      <c r="F308">
        <v>2867</v>
      </c>
      <c r="G308">
        <v>120</v>
      </c>
      <c r="H308" s="4">
        <v>1490.81</v>
      </c>
      <c r="I308" s="4">
        <v>5620.88</v>
      </c>
      <c r="J308" s="7">
        <f>Table1[[#This Row],[Clicks]]/Table1[[#This Row],[Impressions]]</f>
        <v>5.7971893640683447E-2</v>
      </c>
      <c r="K308" s="7">
        <f>IFERROR(Table1[[#This Row],[Conversions]]/Table1[[#This Row],[Clicks]],0)</f>
        <v>4.1855598186257413E-2</v>
      </c>
      <c r="L308" s="6">
        <f>IF(Table1[[#This Row],[Conversions]]=0,0,Table1[[#This Row],[Ad Spend]]/Table1[[#This Row],[Conversions]])</f>
        <v>12.423416666666666</v>
      </c>
      <c r="M308" s="8">
        <f>IF(Table1[[#This Row],[Ad Spend]]=0,0,Table1[[#This Row],[Revenue]]/Table1[[#This Row],[Ad Spend]])</f>
        <v>3.7703530295611114</v>
      </c>
      <c r="N308">
        <f>YEAR(Table1[[#This Row],[Date]])</f>
        <v>2024</v>
      </c>
      <c r="O308" t="str">
        <f>TEXT(Table1[[#This Row],[Date]],"mmm")</f>
        <v>Sept</v>
      </c>
      <c r="P308">
        <f>MONTH(Table1[[#This Row],[Date]])</f>
        <v>9</v>
      </c>
    </row>
    <row r="309" spans="1:16" x14ac:dyDescent="0.25">
      <c r="A309" t="s">
        <v>328</v>
      </c>
      <c r="B309" t="s">
        <v>16</v>
      </c>
      <c r="C309" t="s">
        <v>10</v>
      </c>
      <c r="D309" s="1">
        <v>45377</v>
      </c>
      <c r="E309">
        <v>118947</v>
      </c>
      <c r="F309">
        <v>3487</v>
      </c>
      <c r="G309">
        <v>205</v>
      </c>
      <c r="H309" s="4">
        <v>3956.8</v>
      </c>
      <c r="I309" s="4">
        <v>11503.06</v>
      </c>
      <c r="J309" s="7">
        <f>Table1[[#This Row],[Clicks]]/Table1[[#This Row],[Impressions]]</f>
        <v>2.931557752612508E-2</v>
      </c>
      <c r="K309" s="7">
        <f>IFERROR(Table1[[#This Row],[Conversions]]/Table1[[#This Row],[Clicks]],0)</f>
        <v>5.8789790650989389E-2</v>
      </c>
      <c r="L309" s="6">
        <f>IF(Table1[[#This Row],[Conversions]]=0,0,Table1[[#This Row],[Ad Spend]]/Table1[[#This Row],[Conversions]])</f>
        <v>19.301463414634146</v>
      </c>
      <c r="M309" s="8">
        <f>IF(Table1[[#This Row],[Ad Spend]]=0,0,Table1[[#This Row],[Revenue]]/Table1[[#This Row],[Ad Spend]])</f>
        <v>2.9071623534169024</v>
      </c>
      <c r="N309">
        <f>YEAR(Table1[[#This Row],[Date]])</f>
        <v>2024</v>
      </c>
      <c r="O309" t="str">
        <f>TEXT(Table1[[#This Row],[Date]],"mmm")</f>
        <v>Mar</v>
      </c>
      <c r="P309">
        <f>MONTH(Table1[[#This Row],[Date]])</f>
        <v>3</v>
      </c>
    </row>
    <row r="310" spans="1:16" x14ac:dyDescent="0.25">
      <c r="A310" t="s">
        <v>329</v>
      </c>
      <c r="B310" t="s">
        <v>14</v>
      </c>
      <c r="C310" t="s">
        <v>17</v>
      </c>
      <c r="D310" s="1">
        <v>45596</v>
      </c>
      <c r="E310">
        <v>56261</v>
      </c>
      <c r="F310">
        <v>2365</v>
      </c>
      <c r="G310">
        <v>88</v>
      </c>
      <c r="H310" s="4">
        <v>232.48</v>
      </c>
      <c r="I310" s="4">
        <v>5242.09</v>
      </c>
      <c r="J310" s="7">
        <f>Table1[[#This Row],[Clicks]]/Table1[[#This Row],[Impressions]]</f>
        <v>4.2036224027301325E-2</v>
      </c>
      <c r="K310" s="7">
        <f>IFERROR(Table1[[#This Row],[Conversions]]/Table1[[#This Row],[Clicks]],0)</f>
        <v>3.7209302325581395E-2</v>
      </c>
      <c r="L310" s="6">
        <f>IF(Table1[[#This Row],[Conversions]]=0,0,Table1[[#This Row],[Ad Spend]]/Table1[[#This Row],[Conversions]])</f>
        <v>2.6418181818181816</v>
      </c>
      <c r="M310" s="8">
        <f>IF(Table1[[#This Row],[Ad Spend]]=0,0,Table1[[#This Row],[Revenue]]/Table1[[#This Row],[Ad Spend]])</f>
        <v>22.548563317274606</v>
      </c>
      <c r="N310">
        <f>YEAR(Table1[[#This Row],[Date]])</f>
        <v>2024</v>
      </c>
      <c r="O310" t="str">
        <f>TEXT(Table1[[#This Row],[Date]],"mmm")</f>
        <v>Oct</v>
      </c>
      <c r="P310">
        <f>MONTH(Table1[[#This Row],[Date]])</f>
        <v>10</v>
      </c>
    </row>
    <row r="311" spans="1:16" x14ac:dyDescent="0.25">
      <c r="A311" t="s">
        <v>330</v>
      </c>
      <c r="B311" t="s">
        <v>21</v>
      </c>
      <c r="C311" t="s">
        <v>19</v>
      </c>
      <c r="D311" s="1">
        <v>45517</v>
      </c>
      <c r="E311">
        <v>92749</v>
      </c>
      <c r="F311">
        <v>3723</v>
      </c>
      <c r="G311">
        <v>473</v>
      </c>
      <c r="H311" s="4">
        <v>3324.98</v>
      </c>
      <c r="I311" s="4">
        <v>37574.79</v>
      </c>
      <c r="J311" s="7">
        <f>Table1[[#This Row],[Clicks]]/Table1[[#This Row],[Impressions]]</f>
        <v>4.0140594507757497E-2</v>
      </c>
      <c r="K311" s="7">
        <f>IFERROR(Table1[[#This Row],[Conversions]]/Table1[[#This Row],[Clicks]],0)</f>
        <v>0.1270480795057749</v>
      </c>
      <c r="L311" s="6">
        <f>IF(Table1[[#This Row],[Conversions]]=0,0,Table1[[#This Row],[Ad Spend]]/Table1[[#This Row],[Conversions]])</f>
        <v>7.0295560253699785</v>
      </c>
      <c r="M311" s="8">
        <f>IF(Table1[[#This Row],[Ad Spend]]=0,0,Table1[[#This Row],[Revenue]]/Table1[[#This Row],[Ad Spend]])</f>
        <v>11.30075669628088</v>
      </c>
      <c r="N311">
        <f>YEAR(Table1[[#This Row],[Date]])</f>
        <v>2024</v>
      </c>
      <c r="O311" t="str">
        <f>TEXT(Table1[[#This Row],[Date]],"mmm")</f>
        <v>Aug</v>
      </c>
      <c r="P311">
        <f>MONTH(Table1[[#This Row],[Date]])</f>
        <v>8</v>
      </c>
    </row>
    <row r="312" spans="1:16" x14ac:dyDescent="0.25">
      <c r="A312" t="s">
        <v>331</v>
      </c>
      <c r="B312" t="s">
        <v>34</v>
      </c>
      <c r="C312" t="s">
        <v>19</v>
      </c>
      <c r="D312" s="1">
        <v>45600</v>
      </c>
      <c r="E312">
        <v>57652</v>
      </c>
      <c r="F312">
        <v>2509</v>
      </c>
      <c r="G312">
        <v>108</v>
      </c>
      <c r="H312" s="4">
        <v>2111.5500000000002</v>
      </c>
      <c r="I312" s="4">
        <v>5606.69</v>
      </c>
      <c r="J312" s="7">
        <f>Table1[[#This Row],[Clicks]]/Table1[[#This Row],[Impressions]]</f>
        <v>4.3519739124401581E-2</v>
      </c>
      <c r="K312" s="7">
        <f>IFERROR(Table1[[#This Row],[Conversions]]/Table1[[#This Row],[Clicks]],0)</f>
        <v>4.3045037863690711E-2</v>
      </c>
      <c r="L312" s="6">
        <f>IF(Table1[[#This Row],[Conversions]]=0,0,Table1[[#This Row],[Ad Spend]]/Table1[[#This Row],[Conversions]])</f>
        <v>19.551388888888891</v>
      </c>
      <c r="M312" s="8">
        <f>IF(Table1[[#This Row],[Ad Spend]]=0,0,Table1[[#This Row],[Revenue]]/Table1[[#This Row],[Ad Spend]])</f>
        <v>2.6552485141246946</v>
      </c>
      <c r="N312">
        <f>YEAR(Table1[[#This Row],[Date]])</f>
        <v>2024</v>
      </c>
      <c r="O312" t="str">
        <f>TEXT(Table1[[#This Row],[Date]],"mmm")</f>
        <v>Nov</v>
      </c>
      <c r="P312">
        <f>MONTH(Table1[[#This Row],[Date]])</f>
        <v>11</v>
      </c>
    </row>
    <row r="313" spans="1:16" x14ac:dyDescent="0.25">
      <c r="A313" t="s">
        <v>332</v>
      </c>
      <c r="B313" t="s">
        <v>41</v>
      </c>
      <c r="C313" t="s">
        <v>12</v>
      </c>
      <c r="D313" s="1">
        <v>45692</v>
      </c>
      <c r="E313">
        <v>68550</v>
      </c>
      <c r="F313">
        <v>2249</v>
      </c>
      <c r="G313">
        <v>126</v>
      </c>
      <c r="H313" s="4">
        <v>3972.16</v>
      </c>
      <c r="I313" s="4">
        <v>7119.2</v>
      </c>
      <c r="J313" s="7">
        <f>Table1[[#This Row],[Clicks]]/Table1[[#This Row],[Impressions]]</f>
        <v>3.2808169219547774E-2</v>
      </c>
      <c r="K313" s="7">
        <f>IFERROR(Table1[[#This Row],[Conversions]]/Table1[[#This Row],[Clicks]],0)</f>
        <v>5.6024899955535792E-2</v>
      </c>
      <c r="L313" s="6">
        <f>IF(Table1[[#This Row],[Conversions]]=0,0,Table1[[#This Row],[Ad Spend]]/Table1[[#This Row],[Conversions]])</f>
        <v>31.525079365079364</v>
      </c>
      <c r="M313" s="8">
        <f>IF(Table1[[#This Row],[Ad Spend]]=0,0,Table1[[#This Row],[Revenue]]/Table1[[#This Row],[Ad Spend]])</f>
        <v>1.7922742286312736</v>
      </c>
      <c r="N313">
        <f>YEAR(Table1[[#This Row],[Date]])</f>
        <v>2025</v>
      </c>
      <c r="O313" t="str">
        <f>TEXT(Table1[[#This Row],[Date]],"mmm")</f>
        <v>Feb</v>
      </c>
      <c r="P313">
        <f>MONTH(Table1[[#This Row],[Date]])</f>
        <v>2</v>
      </c>
    </row>
    <row r="314" spans="1:16" x14ac:dyDescent="0.25">
      <c r="A314" t="s">
        <v>333</v>
      </c>
      <c r="B314" t="s">
        <v>14</v>
      </c>
      <c r="C314" t="s">
        <v>12</v>
      </c>
      <c r="D314" s="1">
        <v>45571</v>
      </c>
      <c r="E314">
        <v>52166</v>
      </c>
      <c r="F314">
        <v>3011</v>
      </c>
      <c r="G314">
        <v>275</v>
      </c>
      <c r="H314" s="4">
        <v>4774.42</v>
      </c>
      <c r="I314" s="4">
        <v>18194.61</v>
      </c>
      <c r="J314" s="7">
        <f>Table1[[#This Row],[Clicks]]/Table1[[#This Row],[Impressions]]</f>
        <v>5.7719587470766401E-2</v>
      </c>
      <c r="K314" s="7">
        <f>IFERROR(Table1[[#This Row],[Conversions]]/Table1[[#This Row],[Clicks]],0)</f>
        <v>9.13317834606443E-2</v>
      </c>
      <c r="L314" s="6">
        <f>IF(Table1[[#This Row],[Conversions]]=0,0,Table1[[#This Row],[Ad Spend]]/Table1[[#This Row],[Conversions]])</f>
        <v>17.361527272727272</v>
      </c>
      <c r="M314" s="8">
        <f>IF(Table1[[#This Row],[Ad Spend]]=0,0,Table1[[#This Row],[Revenue]]/Table1[[#This Row],[Ad Spend]])</f>
        <v>3.8108524176758642</v>
      </c>
      <c r="N314">
        <f>YEAR(Table1[[#This Row],[Date]])</f>
        <v>2024</v>
      </c>
      <c r="O314" t="str">
        <f>TEXT(Table1[[#This Row],[Date]],"mmm")</f>
        <v>Oct</v>
      </c>
      <c r="P314">
        <f>MONTH(Table1[[#This Row],[Date]])</f>
        <v>10</v>
      </c>
    </row>
    <row r="315" spans="1:16" x14ac:dyDescent="0.25">
      <c r="A315" t="s">
        <v>334</v>
      </c>
      <c r="B315" t="s">
        <v>14</v>
      </c>
      <c r="C315" t="s">
        <v>17</v>
      </c>
      <c r="D315" s="1">
        <v>45700</v>
      </c>
      <c r="E315">
        <v>81370</v>
      </c>
      <c r="F315">
        <v>5548</v>
      </c>
      <c r="G315">
        <v>160</v>
      </c>
      <c r="H315" s="4">
        <v>4269.38</v>
      </c>
      <c r="I315" s="4">
        <v>15920.73</v>
      </c>
      <c r="J315" s="7">
        <f>Table1[[#This Row],[Clicks]]/Table1[[#This Row],[Impressions]]</f>
        <v>6.8182376797345456E-2</v>
      </c>
      <c r="K315" s="7">
        <f>IFERROR(Table1[[#This Row],[Conversions]]/Table1[[#This Row],[Clicks]],0)</f>
        <v>2.8839221341023791E-2</v>
      </c>
      <c r="L315" s="6">
        <f>IF(Table1[[#This Row],[Conversions]]=0,0,Table1[[#This Row],[Ad Spend]]/Table1[[#This Row],[Conversions]])</f>
        <v>26.683624999999999</v>
      </c>
      <c r="M315" s="8">
        <f>IF(Table1[[#This Row],[Ad Spend]]=0,0,Table1[[#This Row],[Revenue]]/Table1[[#This Row],[Ad Spend]])</f>
        <v>3.7290496512374158</v>
      </c>
      <c r="N315">
        <f>YEAR(Table1[[#This Row],[Date]])</f>
        <v>2025</v>
      </c>
      <c r="O315" t="str">
        <f>TEXT(Table1[[#This Row],[Date]],"mmm")</f>
        <v>Feb</v>
      </c>
      <c r="P315">
        <f>MONTH(Table1[[#This Row],[Date]])</f>
        <v>2</v>
      </c>
    </row>
    <row r="316" spans="1:16" x14ac:dyDescent="0.25">
      <c r="A316" t="s">
        <v>335</v>
      </c>
      <c r="B316" t="s">
        <v>41</v>
      </c>
      <c r="C316" t="s">
        <v>37</v>
      </c>
      <c r="D316" s="1">
        <v>45616</v>
      </c>
      <c r="E316">
        <v>84385</v>
      </c>
      <c r="F316">
        <v>2273</v>
      </c>
      <c r="G316">
        <v>240</v>
      </c>
      <c r="H316" s="4">
        <v>3633.13</v>
      </c>
      <c r="I316" s="4">
        <v>23737.84</v>
      </c>
      <c r="J316" s="7">
        <f>Table1[[#This Row],[Clicks]]/Table1[[#This Row],[Impressions]]</f>
        <v>2.6936066836523078E-2</v>
      </c>
      <c r="K316" s="7">
        <f>IFERROR(Table1[[#This Row],[Conversions]]/Table1[[#This Row],[Clicks]],0)</f>
        <v>0.10558732952045755</v>
      </c>
      <c r="L316" s="6">
        <f>IF(Table1[[#This Row],[Conversions]]=0,0,Table1[[#This Row],[Ad Spend]]/Table1[[#This Row],[Conversions]])</f>
        <v>15.138041666666668</v>
      </c>
      <c r="M316" s="8">
        <f>IF(Table1[[#This Row],[Ad Spend]]=0,0,Table1[[#This Row],[Revenue]]/Table1[[#This Row],[Ad Spend]])</f>
        <v>6.5337161070481926</v>
      </c>
      <c r="N316">
        <f>YEAR(Table1[[#This Row],[Date]])</f>
        <v>2024</v>
      </c>
      <c r="O316" t="str">
        <f>TEXT(Table1[[#This Row],[Date]],"mmm")</f>
        <v>Nov</v>
      </c>
      <c r="P316">
        <f>MONTH(Table1[[#This Row],[Date]])</f>
        <v>11</v>
      </c>
    </row>
    <row r="317" spans="1:16" x14ac:dyDescent="0.25">
      <c r="A317" t="s">
        <v>336</v>
      </c>
      <c r="B317" t="s">
        <v>9</v>
      </c>
      <c r="C317" t="s">
        <v>17</v>
      </c>
      <c r="D317" s="1">
        <v>45598</v>
      </c>
      <c r="E317">
        <v>130628</v>
      </c>
      <c r="F317">
        <v>6630</v>
      </c>
      <c r="G317">
        <v>593</v>
      </c>
      <c r="H317" s="4">
        <v>4632.78</v>
      </c>
      <c r="I317" s="4">
        <v>63429.279999999999</v>
      </c>
      <c r="J317" s="7">
        <f>Table1[[#This Row],[Clicks]]/Table1[[#This Row],[Impressions]]</f>
        <v>5.0754815200416449E-2</v>
      </c>
      <c r="K317" s="7">
        <f>IFERROR(Table1[[#This Row],[Conversions]]/Table1[[#This Row],[Clicks]],0)</f>
        <v>8.9441930618401208E-2</v>
      </c>
      <c r="L317" s="6">
        <f>IF(Table1[[#This Row],[Conversions]]=0,0,Table1[[#This Row],[Ad Spend]]/Table1[[#This Row],[Conversions]])</f>
        <v>7.8124451939291735</v>
      </c>
      <c r="M317" s="8">
        <f>IF(Table1[[#This Row],[Ad Spend]]=0,0,Table1[[#This Row],[Revenue]]/Table1[[#This Row],[Ad Spend]])</f>
        <v>13.691407750853699</v>
      </c>
      <c r="N317">
        <f>YEAR(Table1[[#This Row],[Date]])</f>
        <v>2024</v>
      </c>
      <c r="O317" t="str">
        <f>TEXT(Table1[[#This Row],[Date]],"mmm")</f>
        <v>Nov</v>
      </c>
      <c r="P317">
        <f>MONTH(Table1[[#This Row],[Date]])</f>
        <v>11</v>
      </c>
    </row>
    <row r="318" spans="1:16" x14ac:dyDescent="0.25">
      <c r="A318" t="s">
        <v>337</v>
      </c>
      <c r="B318" t="s">
        <v>21</v>
      </c>
      <c r="C318" t="s">
        <v>12</v>
      </c>
      <c r="D318" s="1">
        <v>45310</v>
      </c>
      <c r="E318">
        <v>99248</v>
      </c>
      <c r="F318">
        <v>5866</v>
      </c>
      <c r="G318">
        <v>736</v>
      </c>
      <c r="H318" s="4">
        <v>3050.34</v>
      </c>
      <c r="I318" s="4">
        <v>82019.929999999993</v>
      </c>
      <c r="J318" s="7">
        <f>Table1[[#This Row],[Clicks]]/Table1[[#This Row],[Impressions]]</f>
        <v>5.9104465581170398E-2</v>
      </c>
      <c r="K318" s="7">
        <f>IFERROR(Table1[[#This Row],[Conversions]]/Table1[[#This Row],[Clicks]],0)</f>
        <v>0.12546880327309923</v>
      </c>
      <c r="L318" s="6">
        <f>IF(Table1[[#This Row],[Conversions]]=0,0,Table1[[#This Row],[Ad Spend]]/Table1[[#This Row],[Conversions]])</f>
        <v>4.1444836956521742</v>
      </c>
      <c r="M318" s="8">
        <f>IF(Table1[[#This Row],[Ad Spend]]=0,0,Table1[[#This Row],[Revenue]]/Table1[[#This Row],[Ad Spend]])</f>
        <v>26.88878288977622</v>
      </c>
      <c r="N318">
        <f>YEAR(Table1[[#This Row],[Date]])</f>
        <v>2024</v>
      </c>
      <c r="O318" t="str">
        <f>TEXT(Table1[[#This Row],[Date]],"mmm")</f>
        <v>Jan</v>
      </c>
      <c r="P318">
        <f>MONTH(Table1[[#This Row],[Date]])</f>
        <v>1</v>
      </c>
    </row>
    <row r="319" spans="1:16" x14ac:dyDescent="0.25">
      <c r="A319" t="s">
        <v>338</v>
      </c>
      <c r="B319" t="s">
        <v>9</v>
      </c>
      <c r="C319" t="s">
        <v>37</v>
      </c>
      <c r="D319" s="1">
        <v>45628</v>
      </c>
      <c r="E319">
        <v>98063</v>
      </c>
      <c r="F319">
        <v>2122</v>
      </c>
      <c r="G319">
        <v>211</v>
      </c>
      <c r="H319" s="4">
        <v>2903.46</v>
      </c>
      <c r="I319" s="4">
        <v>17830.16</v>
      </c>
      <c r="J319" s="7">
        <f>Table1[[#This Row],[Clicks]]/Table1[[#This Row],[Impressions]]</f>
        <v>2.1639150342127E-2</v>
      </c>
      <c r="K319" s="7">
        <f>IFERROR(Table1[[#This Row],[Conversions]]/Table1[[#This Row],[Clicks]],0)</f>
        <v>9.9434495758718197E-2</v>
      </c>
      <c r="L319" s="6">
        <f>IF(Table1[[#This Row],[Conversions]]=0,0,Table1[[#This Row],[Ad Spend]]/Table1[[#This Row],[Conversions]])</f>
        <v>13.760473933649289</v>
      </c>
      <c r="M319" s="8">
        <f>IF(Table1[[#This Row],[Ad Spend]]=0,0,Table1[[#This Row],[Revenue]]/Table1[[#This Row],[Ad Spend]])</f>
        <v>6.1410041812182703</v>
      </c>
      <c r="N319">
        <f>YEAR(Table1[[#This Row],[Date]])</f>
        <v>2024</v>
      </c>
      <c r="O319" t="str">
        <f>TEXT(Table1[[#This Row],[Date]],"mmm")</f>
        <v>Dec</v>
      </c>
      <c r="P319">
        <f>MONTH(Table1[[#This Row],[Date]])</f>
        <v>12</v>
      </c>
    </row>
    <row r="320" spans="1:16" x14ac:dyDescent="0.25">
      <c r="A320" t="s">
        <v>339</v>
      </c>
      <c r="B320" t="s">
        <v>21</v>
      </c>
      <c r="C320" t="s">
        <v>19</v>
      </c>
      <c r="D320" s="1">
        <v>45699</v>
      </c>
      <c r="E320">
        <v>117841</v>
      </c>
      <c r="F320">
        <v>2052</v>
      </c>
      <c r="G320">
        <v>67</v>
      </c>
      <c r="H320" s="4">
        <v>1265.6099999999999</v>
      </c>
      <c r="I320" s="4">
        <v>6343.92</v>
      </c>
      <c r="J320" s="7">
        <f>Table1[[#This Row],[Clicks]]/Table1[[#This Row],[Impressions]]</f>
        <v>1.7413294184536791E-2</v>
      </c>
      <c r="K320" s="7">
        <f>IFERROR(Table1[[#This Row],[Conversions]]/Table1[[#This Row],[Clicks]],0)</f>
        <v>3.2651072124756333E-2</v>
      </c>
      <c r="L320" s="6">
        <f>IF(Table1[[#This Row],[Conversions]]=0,0,Table1[[#This Row],[Ad Spend]]/Table1[[#This Row],[Conversions]])</f>
        <v>18.889701492537313</v>
      </c>
      <c r="M320" s="8">
        <f>IF(Table1[[#This Row],[Ad Spend]]=0,0,Table1[[#This Row],[Revenue]]/Table1[[#This Row],[Ad Spend]])</f>
        <v>5.0125394078744643</v>
      </c>
      <c r="N320">
        <f>YEAR(Table1[[#This Row],[Date]])</f>
        <v>2025</v>
      </c>
      <c r="O320" t="str">
        <f>TEXT(Table1[[#This Row],[Date]],"mmm")</f>
        <v>Feb</v>
      </c>
      <c r="P320">
        <f>MONTH(Table1[[#This Row],[Date]])</f>
        <v>2</v>
      </c>
    </row>
    <row r="321" spans="1:16" x14ac:dyDescent="0.25">
      <c r="A321" t="s">
        <v>340</v>
      </c>
      <c r="B321" t="s">
        <v>14</v>
      </c>
      <c r="C321" t="s">
        <v>17</v>
      </c>
      <c r="D321" s="1">
        <v>45483</v>
      </c>
      <c r="E321">
        <v>107533</v>
      </c>
      <c r="F321">
        <v>4560</v>
      </c>
      <c r="G321">
        <v>494</v>
      </c>
      <c r="H321" s="4">
        <v>3514.1</v>
      </c>
      <c r="I321" s="4">
        <v>17326.8</v>
      </c>
      <c r="J321" s="7">
        <f>Table1[[#This Row],[Clicks]]/Table1[[#This Row],[Impressions]]</f>
        <v>4.2405587122092754E-2</v>
      </c>
      <c r="K321" s="7">
        <f>IFERROR(Table1[[#This Row],[Conversions]]/Table1[[#This Row],[Clicks]],0)</f>
        <v>0.10833333333333334</v>
      </c>
      <c r="L321" s="6">
        <f>IF(Table1[[#This Row],[Conversions]]=0,0,Table1[[#This Row],[Ad Spend]]/Table1[[#This Row],[Conversions]])</f>
        <v>7.1135627530364367</v>
      </c>
      <c r="M321" s="8">
        <f>IF(Table1[[#This Row],[Ad Spend]]=0,0,Table1[[#This Row],[Revenue]]/Table1[[#This Row],[Ad Spend]])</f>
        <v>4.9306508067499504</v>
      </c>
      <c r="N321">
        <f>YEAR(Table1[[#This Row],[Date]])</f>
        <v>2024</v>
      </c>
      <c r="O321" t="str">
        <f>TEXT(Table1[[#This Row],[Date]],"mmm")</f>
        <v>Jul</v>
      </c>
      <c r="P321">
        <f>MONTH(Table1[[#This Row],[Date]])</f>
        <v>7</v>
      </c>
    </row>
    <row r="322" spans="1:16" x14ac:dyDescent="0.25">
      <c r="A322" t="s">
        <v>341</v>
      </c>
      <c r="B322" t="s">
        <v>31</v>
      </c>
      <c r="C322" t="s">
        <v>17</v>
      </c>
      <c r="D322" s="1">
        <v>45345</v>
      </c>
      <c r="E322">
        <v>82445</v>
      </c>
      <c r="F322">
        <v>3225</v>
      </c>
      <c r="G322">
        <v>467</v>
      </c>
      <c r="H322" s="4">
        <v>757.13</v>
      </c>
      <c r="I322" s="4">
        <v>53269.58</v>
      </c>
      <c r="J322" s="7">
        <f>Table1[[#This Row],[Clicks]]/Table1[[#This Row],[Impressions]]</f>
        <v>3.9116987082297286E-2</v>
      </c>
      <c r="K322" s="7">
        <f>IFERROR(Table1[[#This Row],[Conversions]]/Table1[[#This Row],[Clicks]],0)</f>
        <v>0.14480620155038759</v>
      </c>
      <c r="L322" s="6">
        <f>IF(Table1[[#This Row],[Conversions]]=0,0,Table1[[#This Row],[Ad Spend]]/Table1[[#This Row],[Conversions]])</f>
        <v>1.6212633832976446</v>
      </c>
      <c r="M322" s="8">
        <f>IF(Table1[[#This Row],[Ad Spend]]=0,0,Table1[[#This Row],[Revenue]]/Table1[[#This Row],[Ad Spend]])</f>
        <v>70.357243802253251</v>
      </c>
      <c r="N322">
        <f>YEAR(Table1[[#This Row],[Date]])</f>
        <v>2024</v>
      </c>
      <c r="O322" t="str">
        <f>TEXT(Table1[[#This Row],[Date]],"mmm")</f>
        <v>Feb</v>
      </c>
      <c r="P322">
        <f>MONTH(Table1[[#This Row],[Date]])</f>
        <v>2</v>
      </c>
    </row>
    <row r="323" spans="1:16" x14ac:dyDescent="0.25">
      <c r="A323" t="s">
        <v>342</v>
      </c>
      <c r="B323" t="s">
        <v>16</v>
      </c>
      <c r="C323" t="s">
        <v>19</v>
      </c>
      <c r="D323" s="1">
        <v>45451</v>
      </c>
      <c r="E323">
        <v>94932</v>
      </c>
      <c r="F323">
        <v>3975</v>
      </c>
      <c r="G323">
        <v>186</v>
      </c>
      <c r="H323" s="4">
        <v>2518.04</v>
      </c>
      <c r="I323" s="4">
        <v>12576.62</v>
      </c>
      <c r="J323" s="7">
        <f>Table1[[#This Row],[Clicks]]/Table1[[#This Row],[Impressions]]</f>
        <v>4.1872076855012007E-2</v>
      </c>
      <c r="K323" s="7">
        <f>IFERROR(Table1[[#This Row],[Conversions]]/Table1[[#This Row],[Clicks]],0)</f>
        <v>4.679245283018868E-2</v>
      </c>
      <c r="L323" s="6">
        <f>IF(Table1[[#This Row],[Conversions]]=0,0,Table1[[#This Row],[Ad Spend]]/Table1[[#This Row],[Conversions]])</f>
        <v>13.537849462365591</v>
      </c>
      <c r="M323" s="8">
        <f>IF(Table1[[#This Row],[Ad Spend]]=0,0,Table1[[#This Row],[Revenue]]/Table1[[#This Row],[Ad Spend]])</f>
        <v>4.9946069164906044</v>
      </c>
      <c r="N323">
        <f>YEAR(Table1[[#This Row],[Date]])</f>
        <v>2024</v>
      </c>
      <c r="O323" t="str">
        <f>TEXT(Table1[[#This Row],[Date]],"mmm")</f>
        <v>Jun</v>
      </c>
      <c r="P323">
        <f>MONTH(Table1[[#This Row],[Date]])</f>
        <v>6</v>
      </c>
    </row>
    <row r="324" spans="1:16" x14ac:dyDescent="0.25">
      <c r="A324" t="s">
        <v>343</v>
      </c>
      <c r="B324" t="s">
        <v>41</v>
      </c>
      <c r="C324" t="s">
        <v>17</v>
      </c>
      <c r="D324" s="1">
        <v>45455</v>
      </c>
      <c r="E324">
        <v>22609</v>
      </c>
      <c r="F324">
        <v>701</v>
      </c>
      <c r="G324">
        <v>87</v>
      </c>
      <c r="H324" s="4">
        <v>752.41</v>
      </c>
      <c r="I324" s="4">
        <v>9127.8700000000008</v>
      </c>
      <c r="J324" s="7">
        <f>Table1[[#This Row],[Clicks]]/Table1[[#This Row],[Impressions]]</f>
        <v>3.1005351851032776E-2</v>
      </c>
      <c r="K324" s="7">
        <f>IFERROR(Table1[[#This Row],[Conversions]]/Table1[[#This Row],[Clicks]],0)</f>
        <v>0.12410841654778887</v>
      </c>
      <c r="L324" s="6">
        <f>IF(Table1[[#This Row],[Conversions]]=0,0,Table1[[#This Row],[Ad Spend]]/Table1[[#This Row],[Conversions]])</f>
        <v>8.6483908045977014</v>
      </c>
      <c r="M324" s="8">
        <f>IF(Table1[[#This Row],[Ad Spend]]=0,0,Table1[[#This Row],[Revenue]]/Table1[[#This Row],[Ad Spend]])</f>
        <v>12.131510745471221</v>
      </c>
      <c r="N324">
        <f>YEAR(Table1[[#This Row],[Date]])</f>
        <v>2024</v>
      </c>
      <c r="O324" t="str">
        <f>TEXT(Table1[[#This Row],[Date]],"mmm")</f>
        <v>Jun</v>
      </c>
      <c r="P324">
        <f>MONTH(Table1[[#This Row],[Date]])</f>
        <v>6</v>
      </c>
    </row>
    <row r="325" spans="1:16" x14ac:dyDescent="0.25">
      <c r="A325" t="s">
        <v>344</v>
      </c>
      <c r="B325" t="s">
        <v>9</v>
      </c>
      <c r="C325" t="s">
        <v>37</v>
      </c>
      <c r="D325" s="1">
        <v>45671</v>
      </c>
      <c r="E325">
        <v>68940</v>
      </c>
      <c r="F325">
        <v>3179</v>
      </c>
      <c r="G325">
        <v>291</v>
      </c>
      <c r="H325" s="4">
        <v>1788.75</v>
      </c>
      <c r="I325" s="4">
        <v>18227.349999999999</v>
      </c>
      <c r="J325" s="7">
        <f>Table1[[#This Row],[Clicks]]/Table1[[#This Row],[Impressions]]</f>
        <v>4.6112561647809691E-2</v>
      </c>
      <c r="K325" s="7">
        <f>IFERROR(Table1[[#This Row],[Conversions]]/Table1[[#This Row],[Clicks]],0)</f>
        <v>9.1538219565901233E-2</v>
      </c>
      <c r="L325" s="6">
        <f>IF(Table1[[#This Row],[Conversions]]=0,0,Table1[[#This Row],[Ad Spend]]/Table1[[#This Row],[Conversions]])</f>
        <v>6.1469072164948457</v>
      </c>
      <c r="M325" s="8">
        <f>IF(Table1[[#This Row],[Ad Spend]]=0,0,Table1[[#This Row],[Revenue]]/Table1[[#This Row],[Ad Spend]])</f>
        <v>10.189993011879803</v>
      </c>
      <c r="N325">
        <f>YEAR(Table1[[#This Row],[Date]])</f>
        <v>2025</v>
      </c>
      <c r="O325" t="str">
        <f>TEXT(Table1[[#This Row],[Date]],"mmm")</f>
        <v>Jan</v>
      </c>
      <c r="P325">
        <f>MONTH(Table1[[#This Row],[Date]])</f>
        <v>1</v>
      </c>
    </row>
    <row r="326" spans="1:16" x14ac:dyDescent="0.25">
      <c r="A326" t="s">
        <v>345</v>
      </c>
      <c r="B326" t="s">
        <v>41</v>
      </c>
      <c r="C326" t="s">
        <v>37</v>
      </c>
      <c r="D326" s="1">
        <v>45700</v>
      </c>
      <c r="E326">
        <v>111180</v>
      </c>
      <c r="F326">
        <v>6012</v>
      </c>
      <c r="G326">
        <v>265</v>
      </c>
      <c r="H326" s="4">
        <v>3355.08</v>
      </c>
      <c r="I326" s="4">
        <v>15782.93</v>
      </c>
      <c r="J326" s="7">
        <f>Table1[[#This Row],[Clicks]]/Table1[[#This Row],[Impressions]]</f>
        <v>5.4074473826227737E-2</v>
      </c>
      <c r="K326" s="7">
        <f>IFERROR(Table1[[#This Row],[Conversions]]/Table1[[#This Row],[Clicks]],0)</f>
        <v>4.4078509647371922E-2</v>
      </c>
      <c r="L326" s="6">
        <f>IF(Table1[[#This Row],[Conversions]]=0,0,Table1[[#This Row],[Ad Spend]]/Table1[[#This Row],[Conversions]])</f>
        <v>12.660679245283019</v>
      </c>
      <c r="M326" s="8">
        <f>IF(Table1[[#This Row],[Ad Spend]]=0,0,Table1[[#This Row],[Revenue]]/Table1[[#This Row],[Ad Spend]])</f>
        <v>4.7041888718003744</v>
      </c>
      <c r="N326">
        <f>YEAR(Table1[[#This Row],[Date]])</f>
        <v>2025</v>
      </c>
      <c r="O326" t="str">
        <f>TEXT(Table1[[#This Row],[Date]],"mmm")</f>
        <v>Feb</v>
      </c>
      <c r="P326">
        <f>MONTH(Table1[[#This Row],[Date]])</f>
        <v>2</v>
      </c>
    </row>
    <row r="327" spans="1:16" x14ac:dyDescent="0.25">
      <c r="A327" t="s">
        <v>346</v>
      </c>
      <c r="B327" t="s">
        <v>14</v>
      </c>
      <c r="C327" t="s">
        <v>17</v>
      </c>
      <c r="D327" s="1">
        <v>45595</v>
      </c>
      <c r="E327">
        <v>117604</v>
      </c>
      <c r="F327">
        <v>4377</v>
      </c>
      <c r="G327">
        <v>488</v>
      </c>
      <c r="H327" s="4">
        <v>1187.77</v>
      </c>
      <c r="I327" s="4">
        <v>46473.48</v>
      </c>
      <c r="J327" s="7">
        <f>Table1[[#This Row],[Clicks]]/Table1[[#This Row],[Impressions]]</f>
        <v>3.7218121832590725E-2</v>
      </c>
      <c r="K327" s="7">
        <f>IFERROR(Table1[[#This Row],[Conversions]]/Table1[[#This Row],[Clicks]],0)</f>
        <v>0.11149188942197852</v>
      </c>
      <c r="L327" s="6">
        <f>IF(Table1[[#This Row],[Conversions]]=0,0,Table1[[#This Row],[Ad Spend]]/Table1[[#This Row],[Conversions]])</f>
        <v>2.4339549180327866</v>
      </c>
      <c r="M327" s="8">
        <f>IF(Table1[[#This Row],[Ad Spend]]=0,0,Table1[[#This Row],[Revenue]]/Table1[[#This Row],[Ad Spend]])</f>
        <v>39.126665937008013</v>
      </c>
      <c r="N327">
        <f>YEAR(Table1[[#This Row],[Date]])</f>
        <v>2024</v>
      </c>
      <c r="O327" t="str">
        <f>TEXT(Table1[[#This Row],[Date]],"mmm")</f>
        <v>Oct</v>
      </c>
      <c r="P327">
        <f>MONTH(Table1[[#This Row],[Date]])</f>
        <v>10</v>
      </c>
    </row>
    <row r="328" spans="1:16" x14ac:dyDescent="0.25">
      <c r="A328" t="s">
        <v>347</v>
      </c>
      <c r="B328" t="s">
        <v>9</v>
      </c>
      <c r="C328" t="s">
        <v>12</v>
      </c>
      <c r="D328" s="1">
        <v>45344</v>
      </c>
      <c r="E328">
        <v>145742</v>
      </c>
      <c r="F328">
        <v>3364</v>
      </c>
      <c r="G328">
        <v>209</v>
      </c>
      <c r="H328" s="4">
        <v>2396.2399999999998</v>
      </c>
      <c r="I328" s="4">
        <v>9663.19</v>
      </c>
      <c r="J328" s="7">
        <f>Table1[[#This Row],[Clicks]]/Table1[[#This Row],[Impressions]]</f>
        <v>2.308188442590331E-2</v>
      </c>
      <c r="K328" s="7">
        <f>IFERROR(Table1[[#This Row],[Conversions]]/Table1[[#This Row],[Clicks]],0)</f>
        <v>6.2128418549346018E-2</v>
      </c>
      <c r="L328" s="6">
        <f>IF(Table1[[#This Row],[Conversions]]=0,0,Table1[[#This Row],[Ad Spend]]/Table1[[#This Row],[Conversions]])</f>
        <v>11.465263157894736</v>
      </c>
      <c r="M328" s="8">
        <f>IF(Table1[[#This Row],[Ad Spend]]=0,0,Table1[[#This Row],[Revenue]]/Table1[[#This Row],[Ad Spend]])</f>
        <v>4.0326469802690887</v>
      </c>
      <c r="N328">
        <f>YEAR(Table1[[#This Row],[Date]])</f>
        <v>2024</v>
      </c>
      <c r="O328" t="str">
        <f>TEXT(Table1[[#This Row],[Date]],"mmm")</f>
        <v>Feb</v>
      </c>
      <c r="P328">
        <f>MONTH(Table1[[#This Row],[Date]])</f>
        <v>2</v>
      </c>
    </row>
    <row r="329" spans="1:16" x14ac:dyDescent="0.25">
      <c r="A329" t="s">
        <v>348</v>
      </c>
      <c r="B329" t="s">
        <v>41</v>
      </c>
      <c r="C329" t="s">
        <v>12</v>
      </c>
      <c r="D329" s="1">
        <v>45619</v>
      </c>
      <c r="E329">
        <v>87157</v>
      </c>
      <c r="F329">
        <v>4513</v>
      </c>
      <c r="G329">
        <v>448</v>
      </c>
      <c r="H329" s="4">
        <v>3017.62</v>
      </c>
      <c r="I329" s="4">
        <v>24547.02</v>
      </c>
      <c r="J329" s="7">
        <f>Table1[[#This Row],[Clicks]]/Table1[[#This Row],[Impressions]]</f>
        <v>5.1780120931193135E-2</v>
      </c>
      <c r="K329" s="7">
        <f>IFERROR(Table1[[#This Row],[Conversions]]/Table1[[#This Row],[Clicks]],0)</f>
        <v>9.9268779082650124E-2</v>
      </c>
      <c r="L329" s="6">
        <f>IF(Table1[[#This Row],[Conversions]]=0,0,Table1[[#This Row],[Ad Spend]]/Table1[[#This Row],[Conversions]])</f>
        <v>6.7357589285714283</v>
      </c>
      <c r="M329" s="8">
        <f>IF(Table1[[#This Row],[Ad Spend]]=0,0,Table1[[#This Row],[Revenue]]/Table1[[#This Row],[Ad Spend]])</f>
        <v>8.1345629999801172</v>
      </c>
      <c r="N329">
        <f>YEAR(Table1[[#This Row],[Date]])</f>
        <v>2024</v>
      </c>
      <c r="O329" t="str">
        <f>TEXT(Table1[[#This Row],[Date]],"mmm")</f>
        <v>Nov</v>
      </c>
      <c r="P329">
        <f>MONTH(Table1[[#This Row],[Date]])</f>
        <v>11</v>
      </c>
    </row>
    <row r="330" spans="1:16" x14ac:dyDescent="0.25">
      <c r="A330" t="s">
        <v>349</v>
      </c>
      <c r="B330" t="s">
        <v>41</v>
      </c>
      <c r="C330" t="s">
        <v>12</v>
      </c>
      <c r="D330" s="1">
        <v>45380</v>
      </c>
      <c r="E330">
        <v>82973</v>
      </c>
      <c r="F330">
        <v>6165</v>
      </c>
      <c r="G330">
        <v>596</v>
      </c>
      <c r="H330" s="4">
        <v>3426.13</v>
      </c>
      <c r="I330" s="4">
        <v>30585.87</v>
      </c>
      <c r="J330" s="7">
        <f>Table1[[#This Row],[Clicks]]/Table1[[#This Row],[Impressions]]</f>
        <v>7.4301278729225165E-2</v>
      </c>
      <c r="K330" s="7">
        <f>IFERROR(Table1[[#This Row],[Conversions]]/Table1[[#This Row],[Clicks]],0)</f>
        <v>9.6674776966747769E-2</v>
      </c>
      <c r="L330" s="6">
        <f>IF(Table1[[#This Row],[Conversions]]=0,0,Table1[[#This Row],[Ad Spend]]/Table1[[#This Row],[Conversions]])</f>
        <v>5.7485402684563764</v>
      </c>
      <c r="M330" s="8">
        <f>IF(Table1[[#This Row],[Ad Spend]]=0,0,Table1[[#This Row],[Revenue]]/Table1[[#This Row],[Ad Spend]])</f>
        <v>8.9272356857445558</v>
      </c>
      <c r="N330">
        <f>YEAR(Table1[[#This Row],[Date]])</f>
        <v>2024</v>
      </c>
      <c r="O330" t="str">
        <f>TEXT(Table1[[#This Row],[Date]],"mmm")</f>
        <v>Mar</v>
      </c>
      <c r="P330">
        <f>MONTH(Table1[[#This Row],[Date]])</f>
        <v>3</v>
      </c>
    </row>
    <row r="331" spans="1:16" x14ac:dyDescent="0.25">
      <c r="A331" t="s">
        <v>350</v>
      </c>
      <c r="B331" t="s">
        <v>14</v>
      </c>
      <c r="C331" t="s">
        <v>19</v>
      </c>
      <c r="D331" s="1">
        <v>45351</v>
      </c>
      <c r="E331">
        <v>52984</v>
      </c>
      <c r="F331">
        <v>1914</v>
      </c>
      <c r="G331">
        <v>73</v>
      </c>
      <c r="H331" s="4">
        <v>2064.62</v>
      </c>
      <c r="I331" s="4">
        <v>5813.91</v>
      </c>
      <c r="J331" s="7">
        <f>Table1[[#This Row],[Clicks]]/Table1[[#This Row],[Impressions]]</f>
        <v>3.6124112939755398E-2</v>
      </c>
      <c r="K331" s="7">
        <f>IFERROR(Table1[[#This Row],[Conversions]]/Table1[[#This Row],[Clicks]],0)</f>
        <v>3.8140020898641588E-2</v>
      </c>
      <c r="L331" s="6">
        <f>IF(Table1[[#This Row],[Conversions]]=0,0,Table1[[#This Row],[Ad Spend]]/Table1[[#This Row],[Conversions]])</f>
        <v>28.282465753424656</v>
      </c>
      <c r="M331" s="8">
        <f>IF(Table1[[#This Row],[Ad Spend]]=0,0,Table1[[#This Row],[Revenue]]/Table1[[#This Row],[Ad Spend]])</f>
        <v>2.815970977710184</v>
      </c>
      <c r="N331">
        <f>YEAR(Table1[[#This Row],[Date]])</f>
        <v>2024</v>
      </c>
      <c r="O331" t="str">
        <f>TEXT(Table1[[#This Row],[Date]],"mmm")</f>
        <v>Feb</v>
      </c>
      <c r="P331">
        <f>MONTH(Table1[[#This Row],[Date]])</f>
        <v>2</v>
      </c>
    </row>
    <row r="332" spans="1:16" x14ac:dyDescent="0.25">
      <c r="A332" t="s">
        <v>351</v>
      </c>
      <c r="B332" t="s">
        <v>21</v>
      </c>
      <c r="C332" t="s">
        <v>17</v>
      </c>
      <c r="D332" s="1">
        <v>45387</v>
      </c>
      <c r="E332">
        <v>132577</v>
      </c>
      <c r="F332">
        <v>7223</v>
      </c>
      <c r="G332">
        <v>795</v>
      </c>
      <c r="H332" s="4">
        <v>3297.25</v>
      </c>
      <c r="I332" s="4">
        <v>95392.01</v>
      </c>
      <c r="J332" s="7">
        <f>Table1[[#This Row],[Clicks]]/Table1[[#This Row],[Impressions]]</f>
        <v>5.4481546572934976E-2</v>
      </c>
      <c r="K332" s="7">
        <f>IFERROR(Table1[[#This Row],[Conversions]]/Table1[[#This Row],[Clicks]],0)</f>
        <v>0.11006506991554756</v>
      </c>
      <c r="L332" s="6">
        <f>IF(Table1[[#This Row],[Conversions]]=0,0,Table1[[#This Row],[Ad Spend]]/Table1[[#This Row],[Conversions]])</f>
        <v>4.1474842767295597</v>
      </c>
      <c r="M332" s="8">
        <f>IF(Table1[[#This Row],[Ad Spend]]=0,0,Table1[[#This Row],[Revenue]]/Table1[[#This Row],[Ad Spend]])</f>
        <v>28.930778679202366</v>
      </c>
      <c r="N332">
        <f>YEAR(Table1[[#This Row],[Date]])</f>
        <v>2024</v>
      </c>
      <c r="O332" t="str">
        <f>TEXT(Table1[[#This Row],[Date]],"mmm")</f>
        <v>Apr</v>
      </c>
      <c r="P332">
        <f>MONTH(Table1[[#This Row],[Date]])</f>
        <v>4</v>
      </c>
    </row>
    <row r="333" spans="1:16" x14ac:dyDescent="0.25">
      <c r="A333" t="s">
        <v>352</v>
      </c>
      <c r="B333" t="s">
        <v>16</v>
      </c>
      <c r="C333" t="s">
        <v>17</v>
      </c>
      <c r="D333" s="1">
        <v>45439</v>
      </c>
      <c r="E333">
        <v>41777</v>
      </c>
      <c r="F333">
        <v>964</v>
      </c>
      <c r="G333">
        <v>124</v>
      </c>
      <c r="H333" s="4">
        <v>3173.17</v>
      </c>
      <c r="I333" s="4">
        <v>13212.48</v>
      </c>
      <c r="J333" s="7">
        <f>Table1[[#This Row],[Clicks]]/Table1[[#This Row],[Impressions]]</f>
        <v>2.3074897670967279E-2</v>
      </c>
      <c r="K333" s="7">
        <f>IFERROR(Table1[[#This Row],[Conversions]]/Table1[[#This Row],[Clicks]],0)</f>
        <v>0.12863070539419086</v>
      </c>
      <c r="L333" s="6">
        <f>IF(Table1[[#This Row],[Conversions]]=0,0,Table1[[#This Row],[Ad Spend]]/Table1[[#This Row],[Conversions]])</f>
        <v>25.59008064516129</v>
      </c>
      <c r="M333" s="8">
        <f>IF(Table1[[#This Row],[Ad Spend]]=0,0,Table1[[#This Row],[Revenue]]/Table1[[#This Row],[Ad Spend]])</f>
        <v>4.1638109524544857</v>
      </c>
      <c r="N333">
        <f>YEAR(Table1[[#This Row],[Date]])</f>
        <v>2024</v>
      </c>
      <c r="O333" t="str">
        <f>TEXT(Table1[[#This Row],[Date]],"mmm")</f>
        <v>May</v>
      </c>
      <c r="P333">
        <f>MONTH(Table1[[#This Row],[Date]])</f>
        <v>5</v>
      </c>
    </row>
    <row r="334" spans="1:16" x14ac:dyDescent="0.25">
      <c r="A334" t="s">
        <v>353</v>
      </c>
      <c r="B334" t="s">
        <v>31</v>
      </c>
      <c r="C334" t="s">
        <v>17</v>
      </c>
      <c r="D334" s="1">
        <v>45361</v>
      </c>
      <c r="E334">
        <v>56151</v>
      </c>
      <c r="F334">
        <v>3765</v>
      </c>
      <c r="G334">
        <v>547</v>
      </c>
      <c r="H334" s="4">
        <v>2626.1</v>
      </c>
      <c r="I334" s="4">
        <v>38014.85</v>
      </c>
      <c r="J334" s="7">
        <f>Table1[[#This Row],[Clicks]]/Table1[[#This Row],[Impressions]]</f>
        <v>6.7051343698242241E-2</v>
      </c>
      <c r="K334" s="7">
        <f>IFERROR(Table1[[#This Row],[Conversions]]/Table1[[#This Row],[Clicks]],0)</f>
        <v>0.14528552456839308</v>
      </c>
      <c r="L334" s="6">
        <f>IF(Table1[[#This Row],[Conversions]]=0,0,Table1[[#This Row],[Ad Spend]]/Table1[[#This Row],[Conversions]])</f>
        <v>4.8009140767824494</v>
      </c>
      <c r="M334" s="8">
        <f>IF(Table1[[#This Row],[Ad Spend]]=0,0,Table1[[#This Row],[Revenue]]/Table1[[#This Row],[Ad Spend]])</f>
        <v>14.475781577243822</v>
      </c>
      <c r="N334">
        <f>YEAR(Table1[[#This Row],[Date]])</f>
        <v>2024</v>
      </c>
      <c r="O334" t="str">
        <f>TEXT(Table1[[#This Row],[Date]],"mmm")</f>
        <v>Mar</v>
      </c>
      <c r="P334">
        <f>MONTH(Table1[[#This Row],[Date]])</f>
        <v>3</v>
      </c>
    </row>
    <row r="335" spans="1:16" x14ac:dyDescent="0.25">
      <c r="A335" t="s">
        <v>354</v>
      </c>
      <c r="B335" t="s">
        <v>41</v>
      </c>
      <c r="C335" t="s">
        <v>17</v>
      </c>
      <c r="D335" s="1">
        <v>45655</v>
      </c>
      <c r="E335">
        <v>121353</v>
      </c>
      <c r="F335">
        <v>5364</v>
      </c>
      <c r="G335">
        <v>164</v>
      </c>
      <c r="H335" s="4">
        <v>348.13</v>
      </c>
      <c r="I335" s="4">
        <v>15761.33</v>
      </c>
      <c r="J335" s="7">
        <f>Table1[[#This Row],[Clicks]]/Table1[[#This Row],[Impressions]]</f>
        <v>4.4201626659415093E-2</v>
      </c>
      <c r="K335" s="7">
        <f>IFERROR(Table1[[#This Row],[Conversions]]/Table1[[#This Row],[Clicks]],0)</f>
        <v>3.0574198359433258E-2</v>
      </c>
      <c r="L335" s="6">
        <f>IF(Table1[[#This Row],[Conversions]]=0,0,Table1[[#This Row],[Ad Spend]]/Table1[[#This Row],[Conversions]])</f>
        <v>2.1227439024390242</v>
      </c>
      <c r="M335" s="8">
        <f>IF(Table1[[#This Row],[Ad Spend]]=0,0,Table1[[#This Row],[Revenue]]/Table1[[#This Row],[Ad Spend]])</f>
        <v>45.274265360641138</v>
      </c>
      <c r="N335">
        <f>YEAR(Table1[[#This Row],[Date]])</f>
        <v>2024</v>
      </c>
      <c r="O335" t="str">
        <f>TEXT(Table1[[#This Row],[Date]],"mmm")</f>
        <v>Dec</v>
      </c>
      <c r="P335">
        <f>MONTH(Table1[[#This Row],[Date]])</f>
        <v>12</v>
      </c>
    </row>
    <row r="336" spans="1:16" x14ac:dyDescent="0.25">
      <c r="A336" t="s">
        <v>355</v>
      </c>
      <c r="B336" t="s">
        <v>34</v>
      </c>
      <c r="C336" t="s">
        <v>10</v>
      </c>
      <c r="D336" s="1">
        <v>45432</v>
      </c>
      <c r="E336">
        <v>63941</v>
      </c>
      <c r="F336">
        <v>3045</v>
      </c>
      <c r="G336">
        <v>127</v>
      </c>
      <c r="H336" s="4">
        <v>2395.14</v>
      </c>
      <c r="I336" s="4">
        <v>11969.98</v>
      </c>
      <c r="J336" s="7">
        <f>Table1[[#This Row],[Clicks]]/Table1[[#This Row],[Impressions]]</f>
        <v>4.7622026555731063E-2</v>
      </c>
      <c r="K336" s="7">
        <f>IFERROR(Table1[[#This Row],[Conversions]]/Table1[[#This Row],[Clicks]],0)</f>
        <v>4.1707717569786536E-2</v>
      </c>
      <c r="L336" s="6">
        <f>IF(Table1[[#This Row],[Conversions]]=0,0,Table1[[#This Row],[Ad Spend]]/Table1[[#This Row],[Conversions]])</f>
        <v>18.859370078740156</v>
      </c>
      <c r="M336" s="8">
        <f>IF(Table1[[#This Row],[Ad Spend]]=0,0,Table1[[#This Row],[Revenue]]/Table1[[#This Row],[Ad Spend]])</f>
        <v>4.9976118306236801</v>
      </c>
      <c r="N336">
        <f>YEAR(Table1[[#This Row],[Date]])</f>
        <v>2024</v>
      </c>
      <c r="O336" t="str">
        <f>TEXT(Table1[[#This Row],[Date]],"mmm")</f>
        <v>May</v>
      </c>
      <c r="P336">
        <f>MONTH(Table1[[#This Row],[Date]])</f>
        <v>5</v>
      </c>
    </row>
    <row r="337" spans="1:16" x14ac:dyDescent="0.25">
      <c r="A337" t="s">
        <v>356</v>
      </c>
      <c r="B337" t="s">
        <v>41</v>
      </c>
      <c r="C337" t="s">
        <v>12</v>
      </c>
      <c r="D337" s="1">
        <v>45553</v>
      </c>
      <c r="E337">
        <v>34677</v>
      </c>
      <c r="F337">
        <v>1736</v>
      </c>
      <c r="G337">
        <v>95</v>
      </c>
      <c r="H337" s="4">
        <v>2806.91</v>
      </c>
      <c r="I337" s="4">
        <v>11313.49</v>
      </c>
      <c r="J337" s="7">
        <f>Table1[[#This Row],[Clicks]]/Table1[[#This Row],[Impressions]]</f>
        <v>5.0062000749776507E-2</v>
      </c>
      <c r="K337" s="7">
        <f>IFERROR(Table1[[#This Row],[Conversions]]/Table1[[#This Row],[Clicks]],0)</f>
        <v>5.4723502304147464E-2</v>
      </c>
      <c r="L337" s="6">
        <f>IF(Table1[[#This Row],[Conversions]]=0,0,Table1[[#This Row],[Ad Spend]]/Table1[[#This Row],[Conversions]])</f>
        <v>29.546421052631576</v>
      </c>
      <c r="M337" s="8">
        <f>IF(Table1[[#This Row],[Ad Spend]]=0,0,Table1[[#This Row],[Revenue]]/Table1[[#This Row],[Ad Spend]])</f>
        <v>4.0305852342967894</v>
      </c>
      <c r="N337">
        <f>YEAR(Table1[[#This Row],[Date]])</f>
        <v>2024</v>
      </c>
      <c r="O337" t="str">
        <f>TEXT(Table1[[#This Row],[Date]],"mmm")</f>
        <v>Sept</v>
      </c>
      <c r="P337">
        <f>MONTH(Table1[[#This Row],[Date]])</f>
        <v>9</v>
      </c>
    </row>
    <row r="338" spans="1:16" x14ac:dyDescent="0.25">
      <c r="A338" t="s">
        <v>357</v>
      </c>
      <c r="B338" t="s">
        <v>31</v>
      </c>
      <c r="C338" t="s">
        <v>17</v>
      </c>
      <c r="D338" s="1">
        <v>45571</v>
      </c>
      <c r="E338">
        <v>62289</v>
      </c>
      <c r="F338">
        <v>4938</v>
      </c>
      <c r="G338">
        <v>164</v>
      </c>
      <c r="H338" s="4">
        <v>4184.34</v>
      </c>
      <c r="I338" s="4">
        <v>15602.07</v>
      </c>
      <c r="J338" s="7">
        <f>Table1[[#This Row],[Clicks]]/Table1[[#This Row],[Impressions]]</f>
        <v>7.9275634542214521E-2</v>
      </c>
      <c r="K338" s="7">
        <f>IFERROR(Table1[[#This Row],[Conversions]]/Table1[[#This Row],[Clicks]],0)</f>
        <v>3.3211826650465778E-2</v>
      </c>
      <c r="L338" s="6">
        <f>IF(Table1[[#This Row],[Conversions]]=0,0,Table1[[#This Row],[Ad Spend]]/Table1[[#This Row],[Conversions]])</f>
        <v>25.514268292682928</v>
      </c>
      <c r="M338" s="8">
        <f>IF(Table1[[#This Row],[Ad Spend]]=0,0,Table1[[#This Row],[Revenue]]/Table1[[#This Row],[Ad Spend]])</f>
        <v>3.7286812257130153</v>
      </c>
      <c r="N338">
        <f>YEAR(Table1[[#This Row],[Date]])</f>
        <v>2024</v>
      </c>
      <c r="O338" t="str">
        <f>TEXT(Table1[[#This Row],[Date]],"mmm")</f>
        <v>Oct</v>
      </c>
      <c r="P338">
        <f>MONTH(Table1[[#This Row],[Date]])</f>
        <v>10</v>
      </c>
    </row>
    <row r="339" spans="1:16" x14ac:dyDescent="0.25">
      <c r="A339" t="s">
        <v>358</v>
      </c>
      <c r="B339" t="s">
        <v>34</v>
      </c>
      <c r="C339" t="s">
        <v>10</v>
      </c>
      <c r="D339" s="1">
        <v>45522</v>
      </c>
      <c r="E339">
        <v>73895</v>
      </c>
      <c r="F339">
        <v>2542</v>
      </c>
      <c r="G339">
        <v>320</v>
      </c>
      <c r="H339" s="4">
        <v>2307.54</v>
      </c>
      <c r="I339" s="4">
        <v>38206.65</v>
      </c>
      <c r="J339" s="7">
        <f>Table1[[#This Row],[Clicks]]/Table1[[#This Row],[Impressions]]</f>
        <v>3.4400162392584074E-2</v>
      </c>
      <c r="K339" s="7">
        <f>IFERROR(Table1[[#This Row],[Conversions]]/Table1[[#This Row],[Clicks]],0)</f>
        <v>0.12588512981904013</v>
      </c>
      <c r="L339" s="6">
        <f>IF(Table1[[#This Row],[Conversions]]=0,0,Table1[[#This Row],[Ad Spend]]/Table1[[#This Row],[Conversions]])</f>
        <v>7.2110624999999997</v>
      </c>
      <c r="M339" s="8">
        <f>IF(Table1[[#This Row],[Ad Spend]]=0,0,Table1[[#This Row],[Revenue]]/Table1[[#This Row],[Ad Spend]])</f>
        <v>16.557307782313632</v>
      </c>
      <c r="N339">
        <f>YEAR(Table1[[#This Row],[Date]])</f>
        <v>2024</v>
      </c>
      <c r="O339" t="str">
        <f>TEXT(Table1[[#This Row],[Date]],"mmm")</f>
        <v>Aug</v>
      </c>
      <c r="P339">
        <f>MONTH(Table1[[#This Row],[Date]])</f>
        <v>8</v>
      </c>
    </row>
    <row r="340" spans="1:16" x14ac:dyDescent="0.25">
      <c r="A340" t="s">
        <v>359</v>
      </c>
      <c r="B340" t="s">
        <v>14</v>
      </c>
      <c r="C340" t="s">
        <v>37</v>
      </c>
      <c r="D340" s="1">
        <v>45707</v>
      </c>
      <c r="E340">
        <v>96915</v>
      </c>
      <c r="F340">
        <v>6810</v>
      </c>
      <c r="G340">
        <v>676</v>
      </c>
      <c r="H340" s="4">
        <v>2255.1999999999998</v>
      </c>
      <c r="I340" s="4">
        <v>55171.82</v>
      </c>
      <c r="J340" s="7">
        <f>Table1[[#This Row],[Clicks]]/Table1[[#This Row],[Impressions]]</f>
        <v>7.0267760408605481E-2</v>
      </c>
      <c r="K340" s="7">
        <f>IFERROR(Table1[[#This Row],[Conversions]]/Table1[[#This Row],[Clicks]],0)</f>
        <v>9.9265785609397944E-2</v>
      </c>
      <c r="L340" s="6">
        <f>IF(Table1[[#This Row],[Conversions]]=0,0,Table1[[#This Row],[Ad Spend]]/Table1[[#This Row],[Conversions]])</f>
        <v>3.3360946745562128</v>
      </c>
      <c r="M340" s="8">
        <f>IF(Table1[[#This Row],[Ad Spend]]=0,0,Table1[[#This Row],[Revenue]]/Table1[[#This Row],[Ad Spend]])</f>
        <v>24.464269244412915</v>
      </c>
      <c r="N340">
        <f>YEAR(Table1[[#This Row],[Date]])</f>
        <v>2025</v>
      </c>
      <c r="O340" t="str">
        <f>TEXT(Table1[[#This Row],[Date]],"mmm")</f>
        <v>Feb</v>
      </c>
      <c r="P340">
        <f>MONTH(Table1[[#This Row],[Date]])</f>
        <v>2</v>
      </c>
    </row>
    <row r="341" spans="1:16" x14ac:dyDescent="0.25">
      <c r="A341" t="s">
        <v>360</v>
      </c>
      <c r="B341" t="s">
        <v>14</v>
      </c>
      <c r="C341" t="s">
        <v>37</v>
      </c>
      <c r="D341" s="1">
        <v>45704</v>
      </c>
      <c r="E341">
        <v>20560</v>
      </c>
      <c r="F341">
        <v>1026</v>
      </c>
      <c r="G341">
        <v>91</v>
      </c>
      <c r="H341" s="4">
        <v>3064.92</v>
      </c>
      <c r="I341" s="4">
        <v>3352.23</v>
      </c>
      <c r="J341" s="7">
        <f>Table1[[#This Row],[Clicks]]/Table1[[#This Row],[Impressions]]</f>
        <v>4.9902723735408563E-2</v>
      </c>
      <c r="K341" s="7">
        <f>IFERROR(Table1[[#This Row],[Conversions]]/Table1[[#This Row],[Clicks]],0)</f>
        <v>8.8693957115009742E-2</v>
      </c>
      <c r="L341" s="6">
        <f>IF(Table1[[#This Row],[Conversions]]=0,0,Table1[[#This Row],[Ad Spend]]/Table1[[#This Row],[Conversions]])</f>
        <v>33.680439560439559</v>
      </c>
      <c r="M341" s="8">
        <f>IF(Table1[[#This Row],[Ad Spend]]=0,0,Table1[[#This Row],[Revenue]]/Table1[[#This Row],[Ad Spend]])</f>
        <v>1.0937414353392585</v>
      </c>
      <c r="N341">
        <f>YEAR(Table1[[#This Row],[Date]])</f>
        <v>2025</v>
      </c>
      <c r="O341" t="str">
        <f>TEXT(Table1[[#This Row],[Date]],"mmm")</f>
        <v>Feb</v>
      </c>
      <c r="P341">
        <f>MONTH(Table1[[#This Row],[Date]])</f>
        <v>2</v>
      </c>
    </row>
    <row r="342" spans="1:16" x14ac:dyDescent="0.25">
      <c r="A342" t="s">
        <v>361</v>
      </c>
      <c r="B342" t="s">
        <v>34</v>
      </c>
      <c r="C342" t="s">
        <v>19</v>
      </c>
      <c r="D342" s="1">
        <v>45585</v>
      </c>
      <c r="E342">
        <v>75082</v>
      </c>
      <c r="F342">
        <v>5756</v>
      </c>
      <c r="G342">
        <v>500</v>
      </c>
      <c r="H342" s="4">
        <v>4520.75</v>
      </c>
      <c r="I342" s="4">
        <v>50759.05</v>
      </c>
      <c r="J342" s="7">
        <f>Table1[[#This Row],[Clicks]]/Table1[[#This Row],[Impressions]]</f>
        <v>7.6662848618843399E-2</v>
      </c>
      <c r="K342" s="7">
        <f>IFERROR(Table1[[#This Row],[Conversions]]/Table1[[#This Row],[Clicks]],0)</f>
        <v>8.6865879082696315E-2</v>
      </c>
      <c r="L342" s="6">
        <f>IF(Table1[[#This Row],[Conversions]]=0,0,Table1[[#This Row],[Ad Spend]]/Table1[[#This Row],[Conversions]])</f>
        <v>9.0414999999999992</v>
      </c>
      <c r="M342" s="8">
        <f>IF(Table1[[#This Row],[Ad Spend]]=0,0,Table1[[#This Row],[Revenue]]/Table1[[#This Row],[Ad Spend]])</f>
        <v>11.228015262954157</v>
      </c>
      <c r="N342">
        <f>YEAR(Table1[[#This Row],[Date]])</f>
        <v>2024</v>
      </c>
      <c r="O342" t="str">
        <f>TEXT(Table1[[#This Row],[Date]],"mmm")</f>
        <v>Oct</v>
      </c>
      <c r="P342">
        <f>MONTH(Table1[[#This Row],[Date]])</f>
        <v>10</v>
      </c>
    </row>
    <row r="343" spans="1:16" x14ac:dyDescent="0.25">
      <c r="A343" t="s">
        <v>362</v>
      </c>
      <c r="B343" t="s">
        <v>16</v>
      </c>
      <c r="C343" t="s">
        <v>17</v>
      </c>
      <c r="D343" s="1">
        <v>45322</v>
      </c>
      <c r="E343">
        <v>77698</v>
      </c>
      <c r="F343">
        <v>5492</v>
      </c>
      <c r="G343">
        <v>200</v>
      </c>
      <c r="H343" s="4">
        <v>4357.18</v>
      </c>
      <c r="I343" s="4">
        <v>8993.5400000000009</v>
      </c>
      <c r="J343" s="7">
        <f>Table1[[#This Row],[Clicks]]/Table1[[#This Row],[Impressions]]</f>
        <v>7.0683930088290561E-2</v>
      </c>
      <c r="K343" s="7">
        <f>IFERROR(Table1[[#This Row],[Conversions]]/Table1[[#This Row],[Clicks]],0)</f>
        <v>3.6416605972323379E-2</v>
      </c>
      <c r="L343" s="6">
        <f>IF(Table1[[#This Row],[Conversions]]=0,0,Table1[[#This Row],[Ad Spend]]/Table1[[#This Row],[Conversions]])</f>
        <v>21.785900000000002</v>
      </c>
      <c r="M343" s="8">
        <f>IF(Table1[[#This Row],[Ad Spend]]=0,0,Table1[[#This Row],[Revenue]]/Table1[[#This Row],[Ad Spend]])</f>
        <v>2.0640735521598832</v>
      </c>
      <c r="N343">
        <f>YEAR(Table1[[#This Row],[Date]])</f>
        <v>2024</v>
      </c>
      <c r="O343" t="str">
        <f>TEXT(Table1[[#This Row],[Date]],"mmm")</f>
        <v>Jan</v>
      </c>
      <c r="P343">
        <f>MONTH(Table1[[#This Row],[Date]])</f>
        <v>1</v>
      </c>
    </row>
    <row r="344" spans="1:16" x14ac:dyDescent="0.25">
      <c r="A344" t="s">
        <v>363</v>
      </c>
      <c r="B344" t="s">
        <v>47</v>
      </c>
      <c r="C344" t="s">
        <v>37</v>
      </c>
      <c r="D344" s="1">
        <v>45681</v>
      </c>
      <c r="E344">
        <v>107944</v>
      </c>
      <c r="F344">
        <v>4777</v>
      </c>
      <c r="G344">
        <v>454</v>
      </c>
      <c r="H344" s="4">
        <v>1489.84</v>
      </c>
      <c r="I344" s="4">
        <v>27885.82</v>
      </c>
      <c r="J344" s="7">
        <f>Table1[[#This Row],[Clicks]]/Table1[[#This Row],[Impressions]]</f>
        <v>4.4254428222041058E-2</v>
      </c>
      <c r="K344" s="7">
        <f>IFERROR(Table1[[#This Row],[Conversions]]/Table1[[#This Row],[Clicks]],0)</f>
        <v>9.5038727234666109E-2</v>
      </c>
      <c r="L344" s="6">
        <f>IF(Table1[[#This Row],[Conversions]]=0,0,Table1[[#This Row],[Ad Spend]]/Table1[[#This Row],[Conversions]])</f>
        <v>3.2815859030837005</v>
      </c>
      <c r="M344" s="8">
        <f>IF(Table1[[#This Row],[Ad Spend]]=0,0,Table1[[#This Row],[Revenue]]/Table1[[#This Row],[Ad Spend]])</f>
        <v>18.717325350373194</v>
      </c>
      <c r="N344">
        <f>YEAR(Table1[[#This Row],[Date]])</f>
        <v>2025</v>
      </c>
      <c r="O344" t="str">
        <f>TEXT(Table1[[#This Row],[Date]],"mmm")</f>
        <v>Jan</v>
      </c>
      <c r="P344">
        <f>MONTH(Table1[[#This Row],[Date]])</f>
        <v>1</v>
      </c>
    </row>
    <row r="345" spans="1:16" x14ac:dyDescent="0.25">
      <c r="A345" t="s">
        <v>364</v>
      </c>
      <c r="B345" t="s">
        <v>41</v>
      </c>
      <c r="C345" t="s">
        <v>10</v>
      </c>
      <c r="D345" s="1">
        <v>45616</v>
      </c>
      <c r="E345">
        <v>29404</v>
      </c>
      <c r="F345">
        <v>1123</v>
      </c>
      <c r="G345">
        <v>131</v>
      </c>
      <c r="H345" s="4">
        <v>3534.58</v>
      </c>
      <c r="I345" s="4">
        <v>14112.86</v>
      </c>
      <c r="J345" s="7">
        <f>Table1[[#This Row],[Clicks]]/Table1[[#This Row],[Impressions]]</f>
        <v>3.8192082709835394E-2</v>
      </c>
      <c r="K345" s="7">
        <f>IFERROR(Table1[[#This Row],[Conversions]]/Table1[[#This Row],[Clicks]],0)</f>
        <v>0.11665182546749778</v>
      </c>
      <c r="L345" s="6">
        <f>IF(Table1[[#This Row],[Conversions]]=0,0,Table1[[#This Row],[Ad Spend]]/Table1[[#This Row],[Conversions]])</f>
        <v>26.981526717557252</v>
      </c>
      <c r="M345" s="8">
        <f>IF(Table1[[#This Row],[Ad Spend]]=0,0,Table1[[#This Row],[Revenue]]/Table1[[#This Row],[Ad Spend]])</f>
        <v>3.9927968811004422</v>
      </c>
      <c r="N345">
        <f>YEAR(Table1[[#This Row],[Date]])</f>
        <v>2024</v>
      </c>
      <c r="O345" t="str">
        <f>TEXT(Table1[[#This Row],[Date]],"mmm")</f>
        <v>Nov</v>
      </c>
      <c r="P345">
        <f>MONTH(Table1[[#This Row],[Date]])</f>
        <v>11</v>
      </c>
    </row>
    <row r="346" spans="1:16" x14ac:dyDescent="0.25">
      <c r="A346" t="s">
        <v>365</v>
      </c>
      <c r="B346" t="s">
        <v>41</v>
      </c>
      <c r="C346" t="s">
        <v>17</v>
      </c>
      <c r="D346" s="1">
        <v>45459</v>
      </c>
      <c r="E346">
        <v>5648</v>
      </c>
      <c r="F346">
        <v>400</v>
      </c>
      <c r="G346">
        <v>52</v>
      </c>
      <c r="H346" s="4">
        <v>647.08000000000004</v>
      </c>
      <c r="I346" s="4">
        <v>6095.18</v>
      </c>
      <c r="J346" s="7">
        <f>Table1[[#This Row],[Clicks]]/Table1[[#This Row],[Impressions]]</f>
        <v>7.0821529745042494E-2</v>
      </c>
      <c r="K346" s="7">
        <f>IFERROR(Table1[[#This Row],[Conversions]]/Table1[[#This Row],[Clicks]],0)</f>
        <v>0.13</v>
      </c>
      <c r="L346" s="6">
        <f>IF(Table1[[#This Row],[Conversions]]=0,0,Table1[[#This Row],[Ad Spend]]/Table1[[#This Row],[Conversions]])</f>
        <v>12.443846153846154</v>
      </c>
      <c r="M346" s="8">
        <f>IF(Table1[[#This Row],[Ad Spend]]=0,0,Table1[[#This Row],[Revenue]]/Table1[[#This Row],[Ad Spend]])</f>
        <v>9.4195153613154474</v>
      </c>
      <c r="N346">
        <f>YEAR(Table1[[#This Row],[Date]])</f>
        <v>2024</v>
      </c>
      <c r="O346" t="str">
        <f>TEXT(Table1[[#This Row],[Date]],"mmm")</f>
        <v>Jun</v>
      </c>
      <c r="P346">
        <f>MONTH(Table1[[#This Row],[Date]])</f>
        <v>6</v>
      </c>
    </row>
    <row r="347" spans="1:16" x14ac:dyDescent="0.25">
      <c r="A347" t="s">
        <v>366</v>
      </c>
      <c r="B347" t="s">
        <v>47</v>
      </c>
      <c r="C347" t="s">
        <v>10</v>
      </c>
      <c r="D347" s="1">
        <v>45699</v>
      </c>
      <c r="E347">
        <v>145096</v>
      </c>
      <c r="F347">
        <v>5490</v>
      </c>
      <c r="G347">
        <v>800</v>
      </c>
      <c r="H347" s="4">
        <v>4159.2700000000004</v>
      </c>
      <c r="I347" s="4">
        <v>55577.2</v>
      </c>
      <c r="J347" s="7">
        <f>Table1[[#This Row],[Clicks]]/Table1[[#This Row],[Impressions]]</f>
        <v>3.7837018249986219E-2</v>
      </c>
      <c r="K347" s="7">
        <f>IFERROR(Table1[[#This Row],[Conversions]]/Table1[[#This Row],[Clicks]],0)</f>
        <v>0.14571948998178508</v>
      </c>
      <c r="L347" s="6">
        <f>IF(Table1[[#This Row],[Conversions]]=0,0,Table1[[#This Row],[Ad Spend]]/Table1[[#This Row],[Conversions]])</f>
        <v>5.199087500000001</v>
      </c>
      <c r="M347" s="8">
        <f>IF(Table1[[#This Row],[Ad Spend]]=0,0,Table1[[#This Row],[Revenue]]/Table1[[#This Row],[Ad Spend]])</f>
        <v>13.362248663828025</v>
      </c>
      <c r="N347">
        <f>YEAR(Table1[[#This Row],[Date]])</f>
        <v>2025</v>
      </c>
      <c r="O347" t="str">
        <f>TEXT(Table1[[#This Row],[Date]],"mmm")</f>
        <v>Feb</v>
      </c>
      <c r="P347">
        <f>MONTH(Table1[[#This Row],[Date]])</f>
        <v>2</v>
      </c>
    </row>
    <row r="348" spans="1:16" x14ac:dyDescent="0.25">
      <c r="A348" t="s">
        <v>367</v>
      </c>
      <c r="B348" t="s">
        <v>47</v>
      </c>
      <c r="C348" t="s">
        <v>19</v>
      </c>
      <c r="D348" s="1">
        <v>45464</v>
      </c>
      <c r="E348">
        <v>148474</v>
      </c>
      <c r="F348">
        <v>7491</v>
      </c>
      <c r="G348">
        <v>701</v>
      </c>
      <c r="H348" s="4">
        <v>2529.62</v>
      </c>
      <c r="I348" s="4">
        <v>38116.15</v>
      </c>
      <c r="J348" s="7">
        <f>Table1[[#This Row],[Clicks]]/Table1[[#This Row],[Impressions]]</f>
        <v>5.0453278015005994E-2</v>
      </c>
      <c r="K348" s="7">
        <f>IFERROR(Table1[[#This Row],[Conversions]]/Table1[[#This Row],[Clicks]],0)</f>
        <v>9.3578961420371115E-2</v>
      </c>
      <c r="L348" s="6">
        <f>IF(Table1[[#This Row],[Conversions]]=0,0,Table1[[#This Row],[Ad Spend]]/Table1[[#This Row],[Conversions]])</f>
        <v>3.6085877318116975</v>
      </c>
      <c r="M348" s="8">
        <f>IF(Table1[[#This Row],[Ad Spend]]=0,0,Table1[[#This Row],[Revenue]]/Table1[[#This Row],[Ad Spend]])</f>
        <v>15.067935104877414</v>
      </c>
      <c r="N348">
        <f>YEAR(Table1[[#This Row],[Date]])</f>
        <v>2024</v>
      </c>
      <c r="O348" t="str">
        <f>TEXT(Table1[[#This Row],[Date]],"mmm")</f>
        <v>Jun</v>
      </c>
      <c r="P348">
        <f>MONTH(Table1[[#This Row],[Date]])</f>
        <v>6</v>
      </c>
    </row>
    <row r="349" spans="1:16" x14ac:dyDescent="0.25">
      <c r="A349" t="s">
        <v>368</v>
      </c>
      <c r="B349" t="s">
        <v>31</v>
      </c>
      <c r="C349" t="s">
        <v>10</v>
      </c>
      <c r="D349" s="1">
        <v>45342</v>
      </c>
      <c r="E349">
        <v>125476</v>
      </c>
      <c r="F349">
        <v>1397</v>
      </c>
      <c r="G349">
        <v>196</v>
      </c>
      <c r="H349" s="4">
        <v>958.32</v>
      </c>
      <c r="I349" s="4">
        <v>12867.76</v>
      </c>
      <c r="J349" s="7">
        <f>Table1[[#This Row],[Clicks]]/Table1[[#This Row],[Impressions]]</f>
        <v>1.1133603238866396E-2</v>
      </c>
      <c r="K349" s="7">
        <f>IFERROR(Table1[[#This Row],[Conversions]]/Table1[[#This Row],[Clicks]],0)</f>
        <v>0.14030064423765212</v>
      </c>
      <c r="L349" s="6">
        <f>IF(Table1[[#This Row],[Conversions]]=0,0,Table1[[#This Row],[Ad Spend]]/Table1[[#This Row],[Conversions]])</f>
        <v>4.8893877551020415</v>
      </c>
      <c r="M349" s="8">
        <f>IF(Table1[[#This Row],[Ad Spend]]=0,0,Table1[[#This Row],[Revenue]]/Table1[[#This Row],[Ad Spend]])</f>
        <v>13.427414642290675</v>
      </c>
      <c r="N349">
        <f>YEAR(Table1[[#This Row],[Date]])</f>
        <v>2024</v>
      </c>
      <c r="O349" t="str">
        <f>TEXT(Table1[[#This Row],[Date]],"mmm")</f>
        <v>Feb</v>
      </c>
      <c r="P349">
        <f>MONTH(Table1[[#This Row],[Date]])</f>
        <v>2</v>
      </c>
    </row>
    <row r="350" spans="1:16" x14ac:dyDescent="0.25">
      <c r="A350" t="s">
        <v>369</v>
      </c>
      <c r="B350" t="s">
        <v>21</v>
      </c>
      <c r="C350" t="s">
        <v>37</v>
      </c>
      <c r="D350" s="1">
        <v>45644</v>
      </c>
      <c r="E350">
        <v>39580</v>
      </c>
      <c r="F350">
        <v>2839</v>
      </c>
      <c r="G350">
        <v>168</v>
      </c>
      <c r="H350" s="4">
        <v>4397.2299999999996</v>
      </c>
      <c r="I350" s="4">
        <v>18086.8</v>
      </c>
      <c r="J350" s="7">
        <f>Table1[[#This Row],[Clicks]]/Table1[[#This Row],[Impressions]]</f>
        <v>7.1728145528044462E-2</v>
      </c>
      <c r="K350" s="7">
        <f>IFERROR(Table1[[#This Row],[Conversions]]/Table1[[#This Row],[Clicks]],0)</f>
        <v>5.9175766114829165E-2</v>
      </c>
      <c r="L350" s="6">
        <f>IF(Table1[[#This Row],[Conversions]]=0,0,Table1[[#This Row],[Ad Spend]]/Table1[[#This Row],[Conversions]])</f>
        <v>26.173988095238094</v>
      </c>
      <c r="M350" s="8">
        <f>IF(Table1[[#This Row],[Ad Spend]]=0,0,Table1[[#This Row],[Revenue]]/Table1[[#This Row],[Ad Spend]])</f>
        <v>4.1132258262588044</v>
      </c>
      <c r="N350">
        <f>YEAR(Table1[[#This Row],[Date]])</f>
        <v>2024</v>
      </c>
      <c r="O350" t="str">
        <f>TEXT(Table1[[#This Row],[Date]],"mmm")</f>
        <v>Dec</v>
      </c>
      <c r="P350">
        <f>MONTH(Table1[[#This Row],[Date]])</f>
        <v>12</v>
      </c>
    </row>
    <row r="351" spans="1:16" x14ac:dyDescent="0.25">
      <c r="A351" t="s">
        <v>370</v>
      </c>
      <c r="B351" t="s">
        <v>9</v>
      </c>
      <c r="C351" t="s">
        <v>19</v>
      </c>
      <c r="D351" s="1">
        <v>45420</v>
      </c>
      <c r="E351">
        <v>26606</v>
      </c>
      <c r="F351">
        <v>958</v>
      </c>
      <c r="G351">
        <v>131</v>
      </c>
      <c r="H351" s="4">
        <v>994.52</v>
      </c>
      <c r="I351" s="4">
        <v>7812.07</v>
      </c>
      <c r="J351" s="7">
        <f>Table1[[#This Row],[Clicks]]/Table1[[#This Row],[Impressions]]</f>
        <v>3.6006915733293239E-2</v>
      </c>
      <c r="K351" s="7">
        <f>IFERROR(Table1[[#This Row],[Conversions]]/Table1[[#This Row],[Clicks]],0)</f>
        <v>0.13674321503131523</v>
      </c>
      <c r="L351" s="6">
        <f>IF(Table1[[#This Row],[Conversions]]=0,0,Table1[[#This Row],[Ad Spend]]/Table1[[#This Row],[Conversions]])</f>
        <v>7.5917557251908399</v>
      </c>
      <c r="M351" s="8">
        <f>IF(Table1[[#This Row],[Ad Spend]]=0,0,Table1[[#This Row],[Revenue]]/Table1[[#This Row],[Ad Spend]])</f>
        <v>7.8551160358766037</v>
      </c>
      <c r="N351">
        <f>YEAR(Table1[[#This Row],[Date]])</f>
        <v>2024</v>
      </c>
      <c r="O351" t="str">
        <f>TEXT(Table1[[#This Row],[Date]],"mmm")</f>
        <v>May</v>
      </c>
      <c r="P351">
        <f>MONTH(Table1[[#This Row],[Date]])</f>
        <v>5</v>
      </c>
    </row>
    <row r="352" spans="1:16" x14ac:dyDescent="0.25">
      <c r="A352" t="s">
        <v>371</v>
      </c>
      <c r="B352" t="s">
        <v>34</v>
      </c>
      <c r="C352" t="s">
        <v>37</v>
      </c>
      <c r="D352" s="1">
        <v>45511</v>
      </c>
      <c r="E352">
        <v>28907</v>
      </c>
      <c r="F352">
        <v>1712</v>
      </c>
      <c r="G352">
        <v>34</v>
      </c>
      <c r="H352" s="4">
        <v>2488.67</v>
      </c>
      <c r="I352" s="4">
        <v>1131.18</v>
      </c>
      <c r="J352" s="7">
        <f>Table1[[#This Row],[Clicks]]/Table1[[#This Row],[Impressions]]</f>
        <v>5.9224409312623238E-2</v>
      </c>
      <c r="K352" s="7">
        <f>IFERROR(Table1[[#This Row],[Conversions]]/Table1[[#This Row],[Clicks]],0)</f>
        <v>1.9859813084112148E-2</v>
      </c>
      <c r="L352" s="6">
        <f>IF(Table1[[#This Row],[Conversions]]=0,0,Table1[[#This Row],[Ad Spend]]/Table1[[#This Row],[Conversions]])</f>
        <v>73.196176470588242</v>
      </c>
      <c r="M352" s="8">
        <f>IF(Table1[[#This Row],[Ad Spend]]=0,0,Table1[[#This Row],[Revenue]]/Table1[[#This Row],[Ad Spend]])</f>
        <v>0.45453193874639869</v>
      </c>
      <c r="N352">
        <f>YEAR(Table1[[#This Row],[Date]])</f>
        <v>2024</v>
      </c>
      <c r="O352" t="str">
        <f>TEXT(Table1[[#This Row],[Date]],"mmm")</f>
        <v>Aug</v>
      </c>
      <c r="P352">
        <f>MONTH(Table1[[#This Row],[Date]])</f>
        <v>8</v>
      </c>
    </row>
    <row r="353" spans="1:16" x14ac:dyDescent="0.25">
      <c r="A353" t="s">
        <v>372</v>
      </c>
      <c r="B353" t="s">
        <v>14</v>
      </c>
      <c r="C353" t="s">
        <v>12</v>
      </c>
      <c r="D353" s="1">
        <v>45640</v>
      </c>
      <c r="E353">
        <v>121671</v>
      </c>
      <c r="F353">
        <v>1295</v>
      </c>
      <c r="G353">
        <v>143</v>
      </c>
      <c r="H353" s="4">
        <v>4122.12</v>
      </c>
      <c r="I353" s="4">
        <v>16990.62</v>
      </c>
      <c r="J353" s="7">
        <f>Table1[[#This Row],[Clicks]]/Table1[[#This Row],[Impressions]]</f>
        <v>1.0643456534424802E-2</v>
      </c>
      <c r="K353" s="7">
        <f>IFERROR(Table1[[#This Row],[Conversions]]/Table1[[#This Row],[Clicks]],0)</f>
        <v>0.11042471042471043</v>
      </c>
      <c r="L353" s="6">
        <f>IF(Table1[[#This Row],[Conversions]]=0,0,Table1[[#This Row],[Ad Spend]]/Table1[[#This Row],[Conversions]])</f>
        <v>28.826013986013987</v>
      </c>
      <c r="M353" s="8">
        <f>IF(Table1[[#This Row],[Ad Spend]]=0,0,Table1[[#This Row],[Revenue]]/Table1[[#This Row],[Ad Spend]])</f>
        <v>4.1218159587784928</v>
      </c>
      <c r="N353">
        <f>YEAR(Table1[[#This Row],[Date]])</f>
        <v>2024</v>
      </c>
      <c r="O353" t="str">
        <f>TEXT(Table1[[#This Row],[Date]],"mmm")</f>
        <v>Dec</v>
      </c>
      <c r="P353">
        <f>MONTH(Table1[[#This Row],[Date]])</f>
        <v>12</v>
      </c>
    </row>
    <row r="354" spans="1:16" x14ac:dyDescent="0.25">
      <c r="A354" t="s">
        <v>373</v>
      </c>
      <c r="B354" t="s">
        <v>21</v>
      </c>
      <c r="C354" t="s">
        <v>37</v>
      </c>
      <c r="D354" s="1">
        <v>45536</v>
      </c>
      <c r="E354">
        <v>23567</v>
      </c>
      <c r="F354">
        <v>613</v>
      </c>
      <c r="G354">
        <v>19</v>
      </c>
      <c r="H354" s="4">
        <v>4068.59</v>
      </c>
      <c r="I354" s="4">
        <v>576.08000000000004</v>
      </c>
      <c r="J354" s="7">
        <f>Table1[[#This Row],[Clicks]]/Table1[[#This Row],[Impressions]]</f>
        <v>2.6010947511350618E-2</v>
      </c>
      <c r="K354" s="7">
        <f>IFERROR(Table1[[#This Row],[Conversions]]/Table1[[#This Row],[Clicks]],0)</f>
        <v>3.0995106035889071E-2</v>
      </c>
      <c r="L354" s="6">
        <f>IF(Table1[[#This Row],[Conversions]]=0,0,Table1[[#This Row],[Ad Spend]]/Table1[[#This Row],[Conversions]])</f>
        <v>214.13631578947368</v>
      </c>
      <c r="M354" s="8">
        <f>IF(Table1[[#This Row],[Ad Spend]]=0,0,Table1[[#This Row],[Revenue]]/Table1[[#This Row],[Ad Spend]])</f>
        <v>0.14159205031718605</v>
      </c>
      <c r="N354">
        <f>YEAR(Table1[[#This Row],[Date]])</f>
        <v>2024</v>
      </c>
      <c r="O354" t="str">
        <f>TEXT(Table1[[#This Row],[Date]],"mmm")</f>
        <v>Sept</v>
      </c>
      <c r="P354">
        <f>MONTH(Table1[[#This Row],[Date]])</f>
        <v>9</v>
      </c>
    </row>
    <row r="355" spans="1:16" x14ac:dyDescent="0.25">
      <c r="A355" t="s">
        <v>374</v>
      </c>
      <c r="B355" t="s">
        <v>47</v>
      </c>
      <c r="C355" t="s">
        <v>19</v>
      </c>
      <c r="D355" s="1">
        <v>45362</v>
      </c>
      <c r="E355">
        <v>105328</v>
      </c>
      <c r="F355">
        <v>6755</v>
      </c>
      <c r="G355">
        <v>796</v>
      </c>
      <c r="H355" s="4">
        <v>839.1</v>
      </c>
      <c r="I355" s="4">
        <v>94958.04</v>
      </c>
      <c r="J355" s="7">
        <f>Table1[[#This Row],[Clicks]]/Table1[[#This Row],[Impressions]]</f>
        <v>6.4132994075649402E-2</v>
      </c>
      <c r="K355" s="7">
        <f>IFERROR(Table1[[#This Row],[Conversions]]/Table1[[#This Row],[Clicks]],0)</f>
        <v>0.11783863804589194</v>
      </c>
      <c r="L355" s="6">
        <f>IF(Table1[[#This Row],[Conversions]]=0,0,Table1[[#This Row],[Ad Spend]]/Table1[[#This Row],[Conversions]])</f>
        <v>1.0541457286432161</v>
      </c>
      <c r="M355" s="8">
        <f>IF(Table1[[#This Row],[Ad Spend]]=0,0,Table1[[#This Row],[Revenue]]/Table1[[#This Row],[Ad Spend]])</f>
        <v>113.16653557382909</v>
      </c>
      <c r="N355">
        <f>YEAR(Table1[[#This Row],[Date]])</f>
        <v>2024</v>
      </c>
      <c r="O355" t="str">
        <f>TEXT(Table1[[#This Row],[Date]],"mmm")</f>
        <v>Mar</v>
      </c>
      <c r="P355">
        <f>MONTH(Table1[[#This Row],[Date]])</f>
        <v>3</v>
      </c>
    </row>
    <row r="356" spans="1:16" x14ac:dyDescent="0.25">
      <c r="A356" t="s">
        <v>375</v>
      </c>
      <c r="B356" t="s">
        <v>16</v>
      </c>
      <c r="C356" t="s">
        <v>10</v>
      </c>
      <c r="D356" s="1">
        <v>45563</v>
      </c>
      <c r="E356">
        <v>7221</v>
      </c>
      <c r="F356">
        <v>380</v>
      </c>
      <c r="G356">
        <v>15</v>
      </c>
      <c r="H356" s="4">
        <v>1885.7</v>
      </c>
      <c r="I356" s="4">
        <v>619.58000000000004</v>
      </c>
      <c r="J356" s="7">
        <f>Table1[[#This Row],[Clicks]]/Table1[[#This Row],[Impressions]]</f>
        <v>5.2624290264506303E-2</v>
      </c>
      <c r="K356" s="7">
        <f>IFERROR(Table1[[#This Row],[Conversions]]/Table1[[#This Row],[Clicks]],0)</f>
        <v>3.9473684210526314E-2</v>
      </c>
      <c r="L356" s="6">
        <f>IF(Table1[[#This Row],[Conversions]]=0,0,Table1[[#This Row],[Ad Spend]]/Table1[[#This Row],[Conversions]])</f>
        <v>125.71333333333334</v>
      </c>
      <c r="M356" s="8">
        <f>IF(Table1[[#This Row],[Ad Spend]]=0,0,Table1[[#This Row],[Revenue]]/Table1[[#This Row],[Ad Spend]])</f>
        <v>0.32856764066394445</v>
      </c>
      <c r="N356">
        <f>YEAR(Table1[[#This Row],[Date]])</f>
        <v>2024</v>
      </c>
      <c r="O356" t="str">
        <f>TEXT(Table1[[#This Row],[Date]],"mmm")</f>
        <v>Sept</v>
      </c>
      <c r="P356">
        <f>MONTH(Table1[[#This Row],[Date]])</f>
        <v>9</v>
      </c>
    </row>
    <row r="357" spans="1:16" x14ac:dyDescent="0.25">
      <c r="A357" t="s">
        <v>376</v>
      </c>
      <c r="B357" t="s">
        <v>16</v>
      </c>
      <c r="C357" t="s">
        <v>17</v>
      </c>
      <c r="D357" s="1">
        <v>45607</v>
      </c>
      <c r="E357">
        <v>120968</v>
      </c>
      <c r="F357">
        <v>8491</v>
      </c>
      <c r="G357">
        <v>265</v>
      </c>
      <c r="H357" s="4">
        <v>682.23</v>
      </c>
      <c r="I357" s="4">
        <v>25239.81</v>
      </c>
      <c r="J357" s="7">
        <f>Table1[[#This Row],[Clicks]]/Table1[[#This Row],[Impressions]]</f>
        <v>7.0192116923483899E-2</v>
      </c>
      <c r="K357" s="7">
        <f>IFERROR(Table1[[#This Row],[Conversions]]/Table1[[#This Row],[Clicks]],0)</f>
        <v>3.1209515958073253E-2</v>
      </c>
      <c r="L357" s="6">
        <f>IF(Table1[[#This Row],[Conversions]]=0,0,Table1[[#This Row],[Ad Spend]]/Table1[[#This Row],[Conversions]])</f>
        <v>2.5744528301886791</v>
      </c>
      <c r="M357" s="8">
        <f>IF(Table1[[#This Row],[Ad Spend]]=0,0,Table1[[#This Row],[Revenue]]/Table1[[#This Row],[Ad Spend]])</f>
        <v>36.996042390396198</v>
      </c>
      <c r="N357">
        <f>YEAR(Table1[[#This Row],[Date]])</f>
        <v>2024</v>
      </c>
      <c r="O357" t="str">
        <f>TEXT(Table1[[#This Row],[Date]],"mmm")</f>
        <v>Nov</v>
      </c>
      <c r="P357">
        <f>MONTH(Table1[[#This Row],[Date]])</f>
        <v>11</v>
      </c>
    </row>
    <row r="358" spans="1:16" x14ac:dyDescent="0.25">
      <c r="A358" t="s">
        <v>377</v>
      </c>
      <c r="B358" t="s">
        <v>21</v>
      </c>
      <c r="C358" t="s">
        <v>19</v>
      </c>
      <c r="D358" s="1">
        <v>45511</v>
      </c>
      <c r="E358">
        <v>87445</v>
      </c>
      <c r="F358">
        <v>5716</v>
      </c>
      <c r="G358">
        <v>298</v>
      </c>
      <c r="H358" s="4">
        <v>3294.18</v>
      </c>
      <c r="I358" s="4">
        <v>13355.38</v>
      </c>
      <c r="J358" s="7">
        <f>Table1[[#This Row],[Clicks]]/Table1[[#This Row],[Impressions]]</f>
        <v>6.5366801989822171E-2</v>
      </c>
      <c r="K358" s="7">
        <f>IFERROR(Table1[[#This Row],[Conversions]]/Table1[[#This Row],[Clicks]],0)</f>
        <v>5.2134359692092375E-2</v>
      </c>
      <c r="L358" s="6">
        <f>IF(Table1[[#This Row],[Conversions]]=0,0,Table1[[#This Row],[Ad Spend]]/Table1[[#This Row],[Conversions]])</f>
        <v>11.054295302013422</v>
      </c>
      <c r="M358" s="8">
        <f>IF(Table1[[#This Row],[Ad Spend]]=0,0,Table1[[#This Row],[Revenue]]/Table1[[#This Row],[Ad Spend]])</f>
        <v>4.0542350448366511</v>
      </c>
      <c r="N358">
        <f>YEAR(Table1[[#This Row],[Date]])</f>
        <v>2024</v>
      </c>
      <c r="O358" t="str">
        <f>TEXT(Table1[[#This Row],[Date]],"mmm")</f>
        <v>Aug</v>
      </c>
      <c r="P358">
        <f>MONTH(Table1[[#This Row],[Date]])</f>
        <v>8</v>
      </c>
    </row>
    <row r="359" spans="1:16" x14ac:dyDescent="0.25">
      <c r="A359" t="s">
        <v>378</v>
      </c>
      <c r="B359" t="s">
        <v>34</v>
      </c>
      <c r="C359" t="s">
        <v>10</v>
      </c>
      <c r="D359" s="1">
        <v>45629</v>
      </c>
      <c r="E359">
        <v>84075</v>
      </c>
      <c r="F359">
        <v>2049</v>
      </c>
      <c r="G359">
        <v>202</v>
      </c>
      <c r="H359" s="4">
        <v>1105.5</v>
      </c>
      <c r="I359" s="4">
        <v>11953.37</v>
      </c>
      <c r="J359" s="7">
        <f>Table1[[#This Row],[Clicks]]/Table1[[#This Row],[Impressions]]</f>
        <v>2.4371097234611953E-2</v>
      </c>
      <c r="K359" s="7">
        <f>IFERROR(Table1[[#This Row],[Conversions]]/Table1[[#This Row],[Clicks]],0)</f>
        <v>9.8584675451439729E-2</v>
      </c>
      <c r="L359" s="6">
        <f>IF(Table1[[#This Row],[Conversions]]=0,0,Table1[[#This Row],[Ad Spend]]/Table1[[#This Row],[Conversions]])</f>
        <v>5.4727722772277225</v>
      </c>
      <c r="M359" s="8">
        <f>IF(Table1[[#This Row],[Ad Spend]]=0,0,Table1[[#This Row],[Revenue]]/Table1[[#This Row],[Ad Spend]])</f>
        <v>10.812636815920399</v>
      </c>
      <c r="N359">
        <f>YEAR(Table1[[#This Row],[Date]])</f>
        <v>2024</v>
      </c>
      <c r="O359" t="str">
        <f>TEXT(Table1[[#This Row],[Date]],"mmm")</f>
        <v>Dec</v>
      </c>
      <c r="P359">
        <f>MONTH(Table1[[#This Row],[Date]])</f>
        <v>12</v>
      </c>
    </row>
    <row r="360" spans="1:16" x14ac:dyDescent="0.25">
      <c r="A360" t="s">
        <v>379</v>
      </c>
      <c r="B360" t="s">
        <v>31</v>
      </c>
      <c r="C360" t="s">
        <v>37</v>
      </c>
      <c r="D360" s="1">
        <v>45545</v>
      </c>
      <c r="E360">
        <v>106157</v>
      </c>
      <c r="F360">
        <v>1899</v>
      </c>
      <c r="G360">
        <v>161</v>
      </c>
      <c r="H360" s="4">
        <v>3050.86</v>
      </c>
      <c r="I360" s="4">
        <v>11725.41</v>
      </c>
      <c r="J360" s="7">
        <f>Table1[[#This Row],[Clicks]]/Table1[[#This Row],[Impressions]]</f>
        <v>1.7888598961914901E-2</v>
      </c>
      <c r="K360" s="7">
        <f>IFERROR(Table1[[#This Row],[Conversions]]/Table1[[#This Row],[Clicks]],0)</f>
        <v>8.4781463928383358E-2</v>
      </c>
      <c r="L360" s="6">
        <f>IF(Table1[[#This Row],[Conversions]]=0,0,Table1[[#This Row],[Ad Spend]]/Table1[[#This Row],[Conversions]])</f>
        <v>18.949440993788819</v>
      </c>
      <c r="M360" s="8">
        <f>IF(Table1[[#This Row],[Ad Spend]]=0,0,Table1[[#This Row],[Revenue]]/Table1[[#This Row],[Ad Spend]])</f>
        <v>3.8433130330464196</v>
      </c>
      <c r="N360">
        <f>YEAR(Table1[[#This Row],[Date]])</f>
        <v>2024</v>
      </c>
      <c r="O360" t="str">
        <f>TEXT(Table1[[#This Row],[Date]],"mmm")</f>
        <v>Sept</v>
      </c>
      <c r="P360">
        <f>MONTH(Table1[[#This Row],[Date]])</f>
        <v>9</v>
      </c>
    </row>
    <row r="361" spans="1:16" x14ac:dyDescent="0.25">
      <c r="A361" t="s">
        <v>380</v>
      </c>
      <c r="B361" t="s">
        <v>31</v>
      </c>
      <c r="C361" t="s">
        <v>19</v>
      </c>
      <c r="D361" s="1">
        <v>45454</v>
      </c>
      <c r="E361">
        <v>39598</v>
      </c>
      <c r="F361">
        <v>1468</v>
      </c>
      <c r="G361">
        <v>189</v>
      </c>
      <c r="H361" s="4">
        <v>2220.14</v>
      </c>
      <c r="I361" s="4">
        <v>14106.13</v>
      </c>
      <c r="J361" s="7">
        <f>Table1[[#This Row],[Clicks]]/Table1[[#This Row],[Impressions]]</f>
        <v>3.7072579423203189E-2</v>
      </c>
      <c r="K361" s="7">
        <f>IFERROR(Table1[[#This Row],[Conversions]]/Table1[[#This Row],[Clicks]],0)</f>
        <v>0.1287465940054496</v>
      </c>
      <c r="L361" s="6">
        <f>IF(Table1[[#This Row],[Conversions]]=0,0,Table1[[#This Row],[Ad Spend]]/Table1[[#This Row],[Conversions]])</f>
        <v>11.746772486772485</v>
      </c>
      <c r="M361" s="8">
        <f>IF(Table1[[#This Row],[Ad Spend]]=0,0,Table1[[#This Row],[Revenue]]/Table1[[#This Row],[Ad Spend]])</f>
        <v>6.3537119280766081</v>
      </c>
      <c r="N361">
        <f>YEAR(Table1[[#This Row],[Date]])</f>
        <v>2024</v>
      </c>
      <c r="O361" t="str">
        <f>TEXT(Table1[[#This Row],[Date]],"mmm")</f>
        <v>Jun</v>
      </c>
      <c r="P361">
        <f>MONTH(Table1[[#This Row],[Date]])</f>
        <v>6</v>
      </c>
    </row>
    <row r="362" spans="1:16" x14ac:dyDescent="0.25">
      <c r="A362" t="s">
        <v>381</v>
      </c>
      <c r="B362" t="s">
        <v>16</v>
      </c>
      <c r="C362" t="s">
        <v>17</v>
      </c>
      <c r="D362" s="1">
        <v>45686</v>
      </c>
      <c r="E362">
        <v>24134</v>
      </c>
      <c r="F362">
        <v>269</v>
      </c>
      <c r="G362">
        <v>7</v>
      </c>
      <c r="H362" s="4">
        <v>1458.49</v>
      </c>
      <c r="I362" s="4">
        <v>167.88</v>
      </c>
      <c r="J362" s="7">
        <f>Table1[[#This Row],[Clicks]]/Table1[[#This Row],[Impressions]]</f>
        <v>1.1146100936438219E-2</v>
      </c>
      <c r="K362" s="7">
        <f>IFERROR(Table1[[#This Row],[Conversions]]/Table1[[#This Row],[Clicks]],0)</f>
        <v>2.6022304832713755E-2</v>
      </c>
      <c r="L362" s="6">
        <f>IF(Table1[[#This Row],[Conversions]]=0,0,Table1[[#This Row],[Ad Spend]]/Table1[[#This Row],[Conversions]])</f>
        <v>208.3557142857143</v>
      </c>
      <c r="M362" s="8">
        <f>IF(Table1[[#This Row],[Ad Spend]]=0,0,Table1[[#This Row],[Revenue]]/Table1[[#This Row],[Ad Spend]])</f>
        <v>0.11510534868254153</v>
      </c>
      <c r="N362">
        <f>YEAR(Table1[[#This Row],[Date]])</f>
        <v>2025</v>
      </c>
      <c r="O362" t="str">
        <f>TEXT(Table1[[#This Row],[Date]],"mmm")</f>
        <v>Jan</v>
      </c>
      <c r="P362">
        <f>MONTH(Table1[[#This Row],[Date]])</f>
        <v>1</v>
      </c>
    </row>
    <row r="363" spans="1:16" x14ac:dyDescent="0.25">
      <c r="A363" t="s">
        <v>382</v>
      </c>
      <c r="B363" t="s">
        <v>31</v>
      </c>
      <c r="C363" t="s">
        <v>17</v>
      </c>
      <c r="D363" s="1">
        <v>45551</v>
      </c>
      <c r="E363">
        <v>80101</v>
      </c>
      <c r="F363">
        <v>4325</v>
      </c>
      <c r="G363">
        <v>368</v>
      </c>
      <c r="H363" s="4">
        <v>2194.0700000000002</v>
      </c>
      <c r="I363" s="4">
        <v>33186.629999999997</v>
      </c>
      <c r="J363" s="7">
        <f>Table1[[#This Row],[Clicks]]/Table1[[#This Row],[Impressions]]</f>
        <v>5.3994332155653489E-2</v>
      </c>
      <c r="K363" s="7">
        <f>IFERROR(Table1[[#This Row],[Conversions]]/Table1[[#This Row],[Clicks]],0)</f>
        <v>8.5086705202312138E-2</v>
      </c>
      <c r="L363" s="6">
        <f>IF(Table1[[#This Row],[Conversions]]=0,0,Table1[[#This Row],[Ad Spend]]/Table1[[#This Row],[Conversions]])</f>
        <v>5.9621467391304348</v>
      </c>
      <c r="M363" s="8">
        <f>IF(Table1[[#This Row],[Ad Spend]]=0,0,Table1[[#This Row],[Revenue]]/Table1[[#This Row],[Ad Spend]])</f>
        <v>15.125602191361258</v>
      </c>
      <c r="N363">
        <f>YEAR(Table1[[#This Row],[Date]])</f>
        <v>2024</v>
      </c>
      <c r="O363" t="str">
        <f>TEXT(Table1[[#This Row],[Date]],"mmm")</f>
        <v>Sept</v>
      </c>
      <c r="P363">
        <f>MONTH(Table1[[#This Row],[Date]])</f>
        <v>9</v>
      </c>
    </row>
    <row r="364" spans="1:16" x14ac:dyDescent="0.25">
      <c r="A364" t="s">
        <v>383</v>
      </c>
      <c r="B364" t="s">
        <v>9</v>
      </c>
      <c r="C364" t="s">
        <v>12</v>
      </c>
      <c r="D364" s="1">
        <v>45567</v>
      </c>
      <c r="E364">
        <v>45024</v>
      </c>
      <c r="F364">
        <v>1324</v>
      </c>
      <c r="G364">
        <v>79</v>
      </c>
      <c r="H364" s="4">
        <v>2654.26</v>
      </c>
      <c r="I364" s="4">
        <v>3185.26</v>
      </c>
      <c r="J364" s="7">
        <f>Table1[[#This Row],[Clicks]]/Table1[[#This Row],[Impressions]]</f>
        <v>2.9406538734896945E-2</v>
      </c>
      <c r="K364" s="7">
        <f>IFERROR(Table1[[#This Row],[Conversions]]/Table1[[#This Row],[Clicks]],0)</f>
        <v>5.9667673716012087E-2</v>
      </c>
      <c r="L364" s="6">
        <f>IF(Table1[[#This Row],[Conversions]]=0,0,Table1[[#This Row],[Ad Spend]]/Table1[[#This Row],[Conversions]])</f>
        <v>33.598227848101267</v>
      </c>
      <c r="M364" s="8">
        <f>IF(Table1[[#This Row],[Ad Spend]]=0,0,Table1[[#This Row],[Revenue]]/Table1[[#This Row],[Ad Spend]])</f>
        <v>1.2000557594207049</v>
      </c>
      <c r="N364">
        <f>YEAR(Table1[[#This Row],[Date]])</f>
        <v>2024</v>
      </c>
      <c r="O364" t="str">
        <f>TEXT(Table1[[#This Row],[Date]],"mmm")</f>
        <v>Oct</v>
      </c>
      <c r="P364">
        <f>MONTH(Table1[[#This Row],[Date]])</f>
        <v>10</v>
      </c>
    </row>
    <row r="365" spans="1:16" x14ac:dyDescent="0.25">
      <c r="A365" t="s">
        <v>384</v>
      </c>
      <c r="B365" t="s">
        <v>16</v>
      </c>
      <c r="C365" t="s">
        <v>12</v>
      </c>
      <c r="D365" s="1">
        <v>45459</v>
      </c>
      <c r="E365">
        <v>107427</v>
      </c>
      <c r="F365">
        <v>5484</v>
      </c>
      <c r="G365">
        <v>653</v>
      </c>
      <c r="H365" s="4">
        <v>3319.23</v>
      </c>
      <c r="I365" s="4">
        <v>55057.99</v>
      </c>
      <c r="J365" s="7">
        <f>Table1[[#This Row],[Clicks]]/Table1[[#This Row],[Impressions]]</f>
        <v>5.1048619062246919E-2</v>
      </c>
      <c r="K365" s="7">
        <f>IFERROR(Table1[[#This Row],[Conversions]]/Table1[[#This Row],[Clicks]],0)</f>
        <v>0.11907366885485048</v>
      </c>
      <c r="L365" s="6">
        <f>IF(Table1[[#This Row],[Conversions]]=0,0,Table1[[#This Row],[Ad Spend]]/Table1[[#This Row],[Conversions]])</f>
        <v>5.0830474732006126</v>
      </c>
      <c r="M365" s="8">
        <f>IF(Table1[[#This Row],[Ad Spend]]=0,0,Table1[[#This Row],[Revenue]]/Table1[[#This Row],[Ad Spend]])</f>
        <v>16.587579046947635</v>
      </c>
      <c r="N365">
        <f>YEAR(Table1[[#This Row],[Date]])</f>
        <v>2024</v>
      </c>
      <c r="O365" t="str">
        <f>TEXT(Table1[[#This Row],[Date]],"mmm")</f>
        <v>Jun</v>
      </c>
      <c r="P365">
        <f>MONTH(Table1[[#This Row],[Date]])</f>
        <v>6</v>
      </c>
    </row>
    <row r="366" spans="1:16" x14ac:dyDescent="0.25">
      <c r="A366" t="s">
        <v>385</v>
      </c>
      <c r="B366" t="s">
        <v>34</v>
      </c>
      <c r="C366" t="s">
        <v>17</v>
      </c>
      <c r="D366" s="1">
        <v>45665</v>
      </c>
      <c r="E366">
        <v>67557</v>
      </c>
      <c r="F366">
        <v>949</v>
      </c>
      <c r="G366">
        <v>29</v>
      </c>
      <c r="H366" s="4">
        <v>2285.52</v>
      </c>
      <c r="I366" s="4">
        <v>1894.78</v>
      </c>
      <c r="J366" s="7">
        <f>Table1[[#This Row],[Clicks]]/Table1[[#This Row],[Impressions]]</f>
        <v>1.4047397012892817E-2</v>
      </c>
      <c r="K366" s="7">
        <f>IFERROR(Table1[[#This Row],[Conversions]]/Table1[[#This Row],[Clicks]],0)</f>
        <v>3.0558482613277135E-2</v>
      </c>
      <c r="L366" s="6">
        <f>IF(Table1[[#This Row],[Conversions]]=0,0,Table1[[#This Row],[Ad Spend]]/Table1[[#This Row],[Conversions]])</f>
        <v>78.811034482758615</v>
      </c>
      <c r="M366" s="8">
        <f>IF(Table1[[#This Row],[Ad Spend]]=0,0,Table1[[#This Row],[Revenue]]/Table1[[#This Row],[Ad Spend]])</f>
        <v>0.82903671812104029</v>
      </c>
      <c r="N366">
        <f>YEAR(Table1[[#This Row],[Date]])</f>
        <v>2025</v>
      </c>
      <c r="O366" t="str">
        <f>TEXT(Table1[[#This Row],[Date]],"mmm")</f>
        <v>Jan</v>
      </c>
      <c r="P366">
        <f>MONTH(Table1[[#This Row],[Date]])</f>
        <v>1</v>
      </c>
    </row>
    <row r="367" spans="1:16" x14ac:dyDescent="0.25">
      <c r="A367" t="s">
        <v>386</v>
      </c>
      <c r="B367" t="s">
        <v>31</v>
      </c>
      <c r="C367" t="s">
        <v>19</v>
      </c>
      <c r="D367" s="1">
        <v>45633</v>
      </c>
      <c r="E367">
        <v>51044</v>
      </c>
      <c r="F367">
        <v>937</v>
      </c>
      <c r="G367">
        <v>104</v>
      </c>
      <c r="H367" s="4">
        <v>3567.2</v>
      </c>
      <c r="I367" s="4">
        <v>3783.86</v>
      </c>
      <c r="J367" s="7">
        <f>Table1[[#This Row],[Clicks]]/Table1[[#This Row],[Impressions]]</f>
        <v>1.8356711856437582E-2</v>
      </c>
      <c r="K367" s="7">
        <f>IFERROR(Table1[[#This Row],[Conversions]]/Table1[[#This Row],[Clicks]],0)</f>
        <v>0.11099252934898612</v>
      </c>
      <c r="L367" s="6">
        <f>IF(Table1[[#This Row],[Conversions]]=0,0,Table1[[#This Row],[Ad Spend]]/Table1[[#This Row],[Conversions]])</f>
        <v>34.299999999999997</v>
      </c>
      <c r="M367" s="8">
        <f>IF(Table1[[#This Row],[Ad Spend]]=0,0,Table1[[#This Row],[Revenue]]/Table1[[#This Row],[Ad Spend]])</f>
        <v>1.0607367122673246</v>
      </c>
      <c r="N367">
        <f>YEAR(Table1[[#This Row],[Date]])</f>
        <v>2024</v>
      </c>
      <c r="O367" t="str">
        <f>TEXT(Table1[[#This Row],[Date]],"mmm")</f>
        <v>Dec</v>
      </c>
      <c r="P367">
        <f>MONTH(Table1[[#This Row],[Date]])</f>
        <v>12</v>
      </c>
    </row>
    <row r="368" spans="1:16" x14ac:dyDescent="0.25">
      <c r="A368" t="s">
        <v>387</v>
      </c>
      <c r="B368" t="s">
        <v>47</v>
      </c>
      <c r="C368" t="s">
        <v>12</v>
      </c>
      <c r="D368" s="1">
        <v>45556</v>
      </c>
      <c r="E368">
        <v>72960</v>
      </c>
      <c r="F368">
        <v>1582</v>
      </c>
      <c r="G368">
        <v>57</v>
      </c>
      <c r="H368" s="4">
        <v>3949.4</v>
      </c>
      <c r="I368" s="4">
        <v>2671.96</v>
      </c>
      <c r="J368" s="7">
        <f>Table1[[#This Row],[Clicks]]/Table1[[#This Row],[Impressions]]</f>
        <v>2.1683114035087721E-2</v>
      </c>
      <c r="K368" s="7">
        <f>IFERROR(Table1[[#This Row],[Conversions]]/Table1[[#This Row],[Clicks]],0)</f>
        <v>3.6030341340075857E-2</v>
      </c>
      <c r="L368" s="6">
        <f>IF(Table1[[#This Row],[Conversions]]=0,0,Table1[[#This Row],[Ad Spend]]/Table1[[#This Row],[Conversions]])</f>
        <v>69.287719298245619</v>
      </c>
      <c r="M368" s="8">
        <f>IF(Table1[[#This Row],[Ad Spend]]=0,0,Table1[[#This Row],[Revenue]]/Table1[[#This Row],[Ad Spend]])</f>
        <v>0.67654833645617052</v>
      </c>
      <c r="N368">
        <f>YEAR(Table1[[#This Row],[Date]])</f>
        <v>2024</v>
      </c>
      <c r="O368" t="str">
        <f>TEXT(Table1[[#This Row],[Date]],"mmm")</f>
        <v>Sept</v>
      </c>
      <c r="P368">
        <f>MONTH(Table1[[#This Row],[Date]])</f>
        <v>9</v>
      </c>
    </row>
    <row r="369" spans="1:16" x14ac:dyDescent="0.25">
      <c r="A369" t="s">
        <v>388</v>
      </c>
      <c r="B369" t="s">
        <v>9</v>
      </c>
      <c r="C369" t="s">
        <v>10</v>
      </c>
      <c r="D369" s="1">
        <v>45463</v>
      </c>
      <c r="E369">
        <v>117544</v>
      </c>
      <c r="F369">
        <v>3413</v>
      </c>
      <c r="G369">
        <v>96</v>
      </c>
      <c r="H369" s="4">
        <v>3619.15</v>
      </c>
      <c r="I369" s="4">
        <v>7455.86</v>
      </c>
      <c r="J369" s="7">
        <f>Table1[[#This Row],[Clicks]]/Table1[[#This Row],[Impressions]]</f>
        <v>2.9035935479480024E-2</v>
      </c>
      <c r="K369" s="7">
        <f>IFERROR(Table1[[#This Row],[Conversions]]/Table1[[#This Row],[Clicks]],0)</f>
        <v>2.8127746850278346E-2</v>
      </c>
      <c r="L369" s="6">
        <f>IF(Table1[[#This Row],[Conversions]]=0,0,Table1[[#This Row],[Ad Spend]]/Table1[[#This Row],[Conversions]])</f>
        <v>37.69947916666667</v>
      </c>
      <c r="M369" s="8">
        <f>IF(Table1[[#This Row],[Ad Spend]]=0,0,Table1[[#This Row],[Revenue]]/Table1[[#This Row],[Ad Spend]])</f>
        <v>2.0601135625768481</v>
      </c>
      <c r="N369">
        <f>YEAR(Table1[[#This Row],[Date]])</f>
        <v>2024</v>
      </c>
      <c r="O369" t="str">
        <f>TEXT(Table1[[#This Row],[Date]],"mmm")</f>
        <v>Jun</v>
      </c>
      <c r="P369">
        <f>MONTH(Table1[[#This Row],[Date]])</f>
        <v>6</v>
      </c>
    </row>
    <row r="370" spans="1:16" x14ac:dyDescent="0.25">
      <c r="A370" t="s">
        <v>389</v>
      </c>
      <c r="B370" t="s">
        <v>9</v>
      </c>
      <c r="C370" t="s">
        <v>17</v>
      </c>
      <c r="D370" s="1">
        <v>45525</v>
      </c>
      <c r="E370">
        <v>138898</v>
      </c>
      <c r="F370">
        <v>4890</v>
      </c>
      <c r="G370">
        <v>415</v>
      </c>
      <c r="H370" s="4">
        <v>2921.05</v>
      </c>
      <c r="I370" s="4">
        <v>23559.040000000001</v>
      </c>
      <c r="J370" s="7">
        <f>Table1[[#This Row],[Clicks]]/Table1[[#This Row],[Impressions]]</f>
        <v>3.5205690506702761E-2</v>
      </c>
      <c r="K370" s="7">
        <f>IFERROR(Table1[[#This Row],[Conversions]]/Table1[[#This Row],[Clicks]],0)</f>
        <v>8.4867075664621677E-2</v>
      </c>
      <c r="L370" s="6">
        <f>IF(Table1[[#This Row],[Conversions]]=0,0,Table1[[#This Row],[Ad Spend]]/Table1[[#This Row],[Conversions]])</f>
        <v>7.0386746987951812</v>
      </c>
      <c r="M370" s="8">
        <f>IF(Table1[[#This Row],[Ad Spend]]=0,0,Table1[[#This Row],[Revenue]]/Table1[[#This Row],[Ad Spend]])</f>
        <v>8.0652642029407229</v>
      </c>
      <c r="N370">
        <f>YEAR(Table1[[#This Row],[Date]])</f>
        <v>2024</v>
      </c>
      <c r="O370" t="str">
        <f>TEXT(Table1[[#This Row],[Date]],"mmm")</f>
        <v>Aug</v>
      </c>
      <c r="P370">
        <f>MONTH(Table1[[#This Row],[Date]])</f>
        <v>8</v>
      </c>
    </row>
    <row r="371" spans="1:16" x14ac:dyDescent="0.25">
      <c r="A371" t="s">
        <v>390</v>
      </c>
      <c r="B371" t="s">
        <v>34</v>
      </c>
      <c r="C371" t="s">
        <v>10</v>
      </c>
      <c r="D371" s="1">
        <v>45585</v>
      </c>
      <c r="E371">
        <v>35234</v>
      </c>
      <c r="F371">
        <v>915</v>
      </c>
      <c r="G371">
        <v>78</v>
      </c>
      <c r="H371" s="4">
        <v>411.38</v>
      </c>
      <c r="I371" s="4">
        <v>8290.84</v>
      </c>
      <c r="J371" s="7">
        <f>Table1[[#This Row],[Clicks]]/Table1[[#This Row],[Impressions]]</f>
        <v>2.5969234262360221E-2</v>
      </c>
      <c r="K371" s="7">
        <f>IFERROR(Table1[[#This Row],[Conversions]]/Table1[[#This Row],[Clicks]],0)</f>
        <v>8.5245901639344257E-2</v>
      </c>
      <c r="L371" s="6">
        <f>IF(Table1[[#This Row],[Conversions]]=0,0,Table1[[#This Row],[Ad Spend]]/Table1[[#This Row],[Conversions]])</f>
        <v>5.2741025641025638</v>
      </c>
      <c r="M371" s="8">
        <f>IF(Table1[[#This Row],[Ad Spend]]=0,0,Table1[[#This Row],[Revenue]]/Table1[[#This Row],[Ad Spend]])</f>
        <v>20.153726481598522</v>
      </c>
      <c r="N371">
        <f>YEAR(Table1[[#This Row],[Date]])</f>
        <v>2024</v>
      </c>
      <c r="O371" t="str">
        <f>TEXT(Table1[[#This Row],[Date]],"mmm")</f>
        <v>Oct</v>
      </c>
      <c r="P371">
        <f>MONTH(Table1[[#This Row],[Date]])</f>
        <v>10</v>
      </c>
    </row>
    <row r="372" spans="1:16" x14ac:dyDescent="0.25">
      <c r="A372" t="s">
        <v>391</v>
      </c>
      <c r="B372" t="s">
        <v>14</v>
      </c>
      <c r="C372" t="s">
        <v>10</v>
      </c>
      <c r="D372" s="1">
        <v>45533</v>
      </c>
      <c r="E372">
        <v>100414</v>
      </c>
      <c r="F372">
        <v>3696</v>
      </c>
      <c r="G372">
        <v>146</v>
      </c>
      <c r="H372" s="4">
        <v>4669.57</v>
      </c>
      <c r="I372" s="4">
        <v>15439.28</v>
      </c>
      <c r="J372" s="7">
        <f>Table1[[#This Row],[Clicks]]/Table1[[#This Row],[Impressions]]</f>
        <v>3.6807616467823212E-2</v>
      </c>
      <c r="K372" s="7">
        <f>IFERROR(Table1[[#This Row],[Conversions]]/Table1[[#This Row],[Clicks]],0)</f>
        <v>3.9502164502164504E-2</v>
      </c>
      <c r="L372" s="6">
        <f>IF(Table1[[#This Row],[Conversions]]=0,0,Table1[[#This Row],[Ad Spend]]/Table1[[#This Row],[Conversions]])</f>
        <v>31.983356164383558</v>
      </c>
      <c r="M372" s="8">
        <f>IF(Table1[[#This Row],[Ad Spend]]=0,0,Table1[[#This Row],[Revenue]]/Table1[[#This Row],[Ad Spend]])</f>
        <v>3.3063601145287471</v>
      </c>
      <c r="N372">
        <f>YEAR(Table1[[#This Row],[Date]])</f>
        <v>2024</v>
      </c>
      <c r="O372" t="str">
        <f>TEXT(Table1[[#This Row],[Date]],"mmm")</f>
        <v>Aug</v>
      </c>
      <c r="P372">
        <f>MONTH(Table1[[#This Row],[Date]])</f>
        <v>8</v>
      </c>
    </row>
    <row r="373" spans="1:16" x14ac:dyDescent="0.25">
      <c r="A373" t="s">
        <v>392</v>
      </c>
      <c r="B373" t="s">
        <v>21</v>
      </c>
      <c r="C373" t="s">
        <v>37</v>
      </c>
      <c r="D373" s="1">
        <v>45456</v>
      </c>
      <c r="E373">
        <v>70080</v>
      </c>
      <c r="F373">
        <v>2742</v>
      </c>
      <c r="G373">
        <v>311</v>
      </c>
      <c r="H373" s="4">
        <v>1502.04</v>
      </c>
      <c r="I373" s="4">
        <v>8642.2900000000009</v>
      </c>
      <c r="J373" s="7">
        <f>Table1[[#This Row],[Clicks]]/Table1[[#This Row],[Impressions]]</f>
        <v>3.9126712328767126E-2</v>
      </c>
      <c r="K373" s="7">
        <f>IFERROR(Table1[[#This Row],[Conversions]]/Table1[[#This Row],[Clicks]],0)</f>
        <v>0.11342086068563093</v>
      </c>
      <c r="L373" s="6">
        <f>IF(Table1[[#This Row],[Conversions]]=0,0,Table1[[#This Row],[Ad Spend]]/Table1[[#This Row],[Conversions]])</f>
        <v>4.8297106109324757</v>
      </c>
      <c r="M373" s="8">
        <f>IF(Table1[[#This Row],[Ad Spend]]=0,0,Table1[[#This Row],[Revenue]]/Table1[[#This Row],[Ad Spend]])</f>
        <v>5.75370163244654</v>
      </c>
      <c r="N373">
        <f>YEAR(Table1[[#This Row],[Date]])</f>
        <v>2024</v>
      </c>
      <c r="O373" t="str">
        <f>TEXT(Table1[[#This Row],[Date]],"mmm")</f>
        <v>Jun</v>
      </c>
      <c r="P373">
        <f>MONTH(Table1[[#This Row],[Date]])</f>
        <v>6</v>
      </c>
    </row>
    <row r="374" spans="1:16" x14ac:dyDescent="0.25">
      <c r="A374" t="s">
        <v>393</v>
      </c>
      <c r="B374" t="s">
        <v>47</v>
      </c>
      <c r="C374" t="s">
        <v>10</v>
      </c>
      <c r="D374" s="1">
        <v>45549</v>
      </c>
      <c r="E374">
        <v>18807</v>
      </c>
      <c r="F374">
        <v>424</v>
      </c>
      <c r="G374">
        <v>52</v>
      </c>
      <c r="H374" s="4">
        <v>4910.79</v>
      </c>
      <c r="I374" s="4">
        <v>6001.21</v>
      </c>
      <c r="J374" s="7">
        <f>Table1[[#This Row],[Clicks]]/Table1[[#This Row],[Impressions]]</f>
        <v>2.2544797149997343E-2</v>
      </c>
      <c r="K374" s="7">
        <f>IFERROR(Table1[[#This Row],[Conversions]]/Table1[[#This Row],[Clicks]],0)</f>
        <v>0.12264150943396226</v>
      </c>
      <c r="L374" s="6">
        <f>IF(Table1[[#This Row],[Conversions]]=0,0,Table1[[#This Row],[Ad Spend]]/Table1[[#This Row],[Conversions]])</f>
        <v>94.438269230769237</v>
      </c>
      <c r="M374" s="8">
        <f>IF(Table1[[#This Row],[Ad Spend]]=0,0,Table1[[#This Row],[Revenue]]/Table1[[#This Row],[Ad Spend]])</f>
        <v>1.2220457400947708</v>
      </c>
      <c r="N374">
        <f>YEAR(Table1[[#This Row],[Date]])</f>
        <v>2024</v>
      </c>
      <c r="O374" t="str">
        <f>TEXT(Table1[[#This Row],[Date]],"mmm")</f>
        <v>Sept</v>
      </c>
      <c r="P374">
        <f>MONTH(Table1[[#This Row],[Date]])</f>
        <v>9</v>
      </c>
    </row>
    <row r="375" spans="1:16" x14ac:dyDescent="0.25">
      <c r="A375" t="s">
        <v>394</v>
      </c>
      <c r="B375" t="s">
        <v>9</v>
      </c>
      <c r="C375" t="s">
        <v>17</v>
      </c>
      <c r="D375" s="1">
        <v>45436</v>
      </c>
      <c r="E375">
        <v>86447</v>
      </c>
      <c r="F375">
        <v>2845</v>
      </c>
      <c r="G375">
        <v>261</v>
      </c>
      <c r="H375" s="4">
        <v>238.25</v>
      </c>
      <c r="I375" s="4">
        <v>10457.52</v>
      </c>
      <c r="J375" s="7">
        <f>Table1[[#This Row],[Clicks]]/Table1[[#This Row],[Impressions]]</f>
        <v>3.2910338126250764E-2</v>
      </c>
      <c r="K375" s="7">
        <f>IFERROR(Table1[[#This Row],[Conversions]]/Table1[[#This Row],[Clicks]],0)</f>
        <v>9.173989455184535E-2</v>
      </c>
      <c r="L375" s="6">
        <f>IF(Table1[[#This Row],[Conversions]]=0,0,Table1[[#This Row],[Ad Spend]]/Table1[[#This Row],[Conversions]])</f>
        <v>0.91283524904214564</v>
      </c>
      <c r="M375" s="8">
        <f>IF(Table1[[#This Row],[Ad Spend]]=0,0,Table1[[#This Row],[Revenue]]/Table1[[#This Row],[Ad Spend]])</f>
        <v>43.893053515215115</v>
      </c>
      <c r="N375">
        <f>YEAR(Table1[[#This Row],[Date]])</f>
        <v>2024</v>
      </c>
      <c r="O375" t="str">
        <f>TEXT(Table1[[#This Row],[Date]],"mmm")</f>
        <v>May</v>
      </c>
      <c r="P375">
        <f>MONTH(Table1[[#This Row],[Date]])</f>
        <v>5</v>
      </c>
    </row>
    <row r="376" spans="1:16" x14ac:dyDescent="0.25">
      <c r="A376" t="s">
        <v>395</v>
      </c>
      <c r="B376" t="s">
        <v>34</v>
      </c>
      <c r="C376" t="s">
        <v>12</v>
      </c>
      <c r="D376" s="1">
        <v>45416</v>
      </c>
      <c r="E376">
        <v>126615</v>
      </c>
      <c r="F376">
        <v>4530</v>
      </c>
      <c r="G376">
        <v>662</v>
      </c>
      <c r="H376" s="4">
        <v>4989.38</v>
      </c>
      <c r="I376" s="4">
        <v>64603.65</v>
      </c>
      <c r="J376" s="7">
        <f>Table1[[#This Row],[Clicks]]/Table1[[#This Row],[Impressions]]</f>
        <v>3.5777751451249853E-2</v>
      </c>
      <c r="K376" s="7">
        <f>IFERROR(Table1[[#This Row],[Conversions]]/Table1[[#This Row],[Clicks]],0)</f>
        <v>0.14613686534216336</v>
      </c>
      <c r="L376" s="6">
        <f>IF(Table1[[#This Row],[Conversions]]=0,0,Table1[[#This Row],[Ad Spend]]/Table1[[#This Row],[Conversions]])</f>
        <v>7.5368277945619333</v>
      </c>
      <c r="M376" s="8">
        <f>IF(Table1[[#This Row],[Ad Spend]]=0,0,Table1[[#This Row],[Revenue]]/Table1[[#This Row],[Ad Spend]])</f>
        <v>12.948232044863289</v>
      </c>
      <c r="N376">
        <f>YEAR(Table1[[#This Row],[Date]])</f>
        <v>2024</v>
      </c>
      <c r="O376" t="str">
        <f>TEXT(Table1[[#This Row],[Date]],"mmm")</f>
        <v>May</v>
      </c>
      <c r="P376">
        <f>MONTH(Table1[[#This Row],[Date]])</f>
        <v>5</v>
      </c>
    </row>
    <row r="377" spans="1:16" x14ac:dyDescent="0.25">
      <c r="A377" t="s">
        <v>396</v>
      </c>
      <c r="B377" t="s">
        <v>14</v>
      </c>
      <c r="C377" t="s">
        <v>37</v>
      </c>
      <c r="D377" s="1">
        <v>45295</v>
      </c>
      <c r="E377">
        <v>112488</v>
      </c>
      <c r="F377">
        <v>1313</v>
      </c>
      <c r="G377">
        <v>118</v>
      </c>
      <c r="H377" s="4">
        <v>3252.52</v>
      </c>
      <c r="I377" s="4">
        <v>10542.84</v>
      </c>
      <c r="J377" s="7">
        <f>Table1[[#This Row],[Clicks]]/Table1[[#This Row],[Impressions]]</f>
        <v>1.1672356162435104E-2</v>
      </c>
      <c r="K377" s="7">
        <f>IFERROR(Table1[[#This Row],[Conversions]]/Table1[[#This Row],[Clicks]],0)</f>
        <v>8.9870525514089875E-2</v>
      </c>
      <c r="L377" s="6">
        <f>IF(Table1[[#This Row],[Conversions]]=0,0,Table1[[#This Row],[Ad Spend]]/Table1[[#This Row],[Conversions]])</f>
        <v>27.563728813559322</v>
      </c>
      <c r="M377" s="8">
        <f>IF(Table1[[#This Row],[Ad Spend]]=0,0,Table1[[#This Row],[Revenue]]/Table1[[#This Row],[Ad Spend]])</f>
        <v>3.2414374085324611</v>
      </c>
      <c r="N377">
        <f>YEAR(Table1[[#This Row],[Date]])</f>
        <v>2024</v>
      </c>
      <c r="O377" t="str">
        <f>TEXT(Table1[[#This Row],[Date]],"mmm")</f>
        <v>Jan</v>
      </c>
      <c r="P377">
        <f>MONTH(Table1[[#This Row],[Date]])</f>
        <v>1</v>
      </c>
    </row>
    <row r="378" spans="1:16" x14ac:dyDescent="0.25">
      <c r="A378" t="s">
        <v>397</v>
      </c>
      <c r="B378" t="s">
        <v>31</v>
      </c>
      <c r="C378" t="s">
        <v>19</v>
      </c>
      <c r="D378" s="1">
        <v>45292</v>
      </c>
      <c r="E378">
        <v>103638</v>
      </c>
      <c r="F378">
        <v>7195</v>
      </c>
      <c r="G378">
        <v>824</v>
      </c>
      <c r="H378" s="4">
        <v>698.96</v>
      </c>
      <c r="I378" s="4">
        <v>60136.71</v>
      </c>
      <c r="J378" s="7">
        <f>Table1[[#This Row],[Clicks]]/Table1[[#This Row],[Impressions]]</f>
        <v>6.9424342422663501E-2</v>
      </c>
      <c r="K378" s="7">
        <f>IFERROR(Table1[[#This Row],[Conversions]]/Table1[[#This Row],[Clicks]],0)</f>
        <v>0.11452397498262683</v>
      </c>
      <c r="L378" s="6">
        <f>IF(Table1[[#This Row],[Conversions]]=0,0,Table1[[#This Row],[Ad Spend]]/Table1[[#This Row],[Conversions]])</f>
        <v>0.84825242718446603</v>
      </c>
      <c r="M378" s="8">
        <f>IF(Table1[[#This Row],[Ad Spend]]=0,0,Table1[[#This Row],[Revenue]]/Table1[[#This Row],[Ad Spend]])</f>
        <v>86.037412727480827</v>
      </c>
      <c r="N378">
        <f>YEAR(Table1[[#This Row],[Date]])</f>
        <v>2024</v>
      </c>
      <c r="O378" t="str">
        <f>TEXT(Table1[[#This Row],[Date]],"mmm")</f>
        <v>Jan</v>
      </c>
      <c r="P378">
        <f>MONTH(Table1[[#This Row],[Date]])</f>
        <v>1</v>
      </c>
    </row>
    <row r="379" spans="1:16" x14ac:dyDescent="0.25">
      <c r="A379" t="s">
        <v>398</v>
      </c>
      <c r="B379" t="s">
        <v>14</v>
      </c>
      <c r="C379" t="s">
        <v>17</v>
      </c>
      <c r="D379" s="1">
        <v>45543</v>
      </c>
      <c r="E379">
        <v>20701</v>
      </c>
      <c r="F379">
        <v>1616</v>
      </c>
      <c r="G379">
        <v>62</v>
      </c>
      <c r="H379" s="4">
        <v>1543.16</v>
      </c>
      <c r="I379" s="4">
        <v>1512.18</v>
      </c>
      <c r="J379" s="7">
        <f>Table1[[#This Row],[Clicks]]/Table1[[#This Row],[Impressions]]</f>
        <v>7.8063861649195695E-2</v>
      </c>
      <c r="K379" s="7">
        <f>IFERROR(Table1[[#This Row],[Conversions]]/Table1[[#This Row],[Clicks]],0)</f>
        <v>3.8366336633663366E-2</v>
      </c>
      <c r="L379" s="6">
        <f>IF(Table1[[#This Row],[Conversions]]=0,0,Table1[[#This Row],[Ad Spend]]/Table1[[#This Row],[Conversions]])</f>
        <v>24.88967741935484</v>
      </c>
      <c r="M379" s="8">
        <f>IF(Table1[[#This Row],[Ad Spend]]=0,0,Table1[[#This Row],[Revenue]]/Table1[[#This Row],[Ad Spend]])</f>
        <v>0.97992431115373646</v>
      </c>
      <c r="N379">
        <f>YEAR(Table1[[#This Row],[Date]])</f>
        <v>2024</v>
      </c>
      <c r="O379" t="str">
        <f>TEXT(Table1[[#This Row],[Date]],"mmm")</f>
        <v>Sept</v>
      </c>
      <c r="P379">
        <f>MONTH(Table1[[#This Row],[Date]])</f>
        <v>9</v>
      </c>
    </row>
    <row r="380" spans="1:16" x14ac:dyDescent="0.25">
      <c r="A380" t="s">
        <v>399</v>
      </c>
      <c r="B380" t="s">
        <v>14</v>
      </c>
      <c r="C380" t="s">
        <v>12</v>
      </c>
      <c r="D380" s="1">
        <v>45503</v>
      </c>
      <c r="E380">
        <v>102646</v>
      </c>
      <c r="F380">
        <v>4320</v>
      </c>
      <c r="G380">
        <v>506</v>
      </c>
      <c r="H380" s="4">
        <v>2987.7</v>
      </c>
      <c r="I380" s="4">
        <v>35694.639999999999</v>
      </c>
      <c r="J380" s="7">
        <f>Table1[[#This Row],[Clicks]]/Table1[[#This Row],[Impressions]]</f>
        <v>4.2086394014379518E-2</v>
      </c>
      <c r="K380" s="7">
        <f>IFERROR(Table1[[#This Row],[Conversions]]/Table1[[#This Row],[Clicks]],0)</f>
        <v>0.11712962962962963</v>
      </c>
      <c r="L380" s="6">
        <f>IF(Table1[[#This Row],[Conversions]]=0,0,Table1[[#This Row],[Ad Spend]]/Table1[[#This Row],[Conversions]])</f>
        <v>5.9045454545454543</v>
      </c>
      <c r="M380" s="8">
        <f>IF(Table1[[#This Row],[Ad Spend]]=0,0,Table1[[#This Row],[Revenue]]/Table1[[#This Row],[Ad Spend]])</f>
        <v>11.947196840378888</v>
      </c>
      <c r="N380">
        <f>YEAR(Table1[[#This Row],[Date]])</f>
        <v>2024</v>
      </c>
      <c r="O380" t="str">
        <f>TEXT(Table1[[#This Row],[Date]],"mmm")</f>
        <v>Jul</v>
      </c>
      <c r="P380">
        <f>MONTH(Table1[[#This Row],[Date]])</f>
        <v>7</v>
      </c>
    </row>
    <row r="381" spans="1:16" x14ac:dyDescent="0.25">
      <c r="A381" t="s">
        <v>400</v>
      </c>
      <c r="B381" t="s">
        <v>21</v>
      </c>
      <c r="C381" t="s">
        <v>10</v>
      </c>
      <c r="D381" s="1">
        <v>45595</v>
      </c>
      <c r="E381">
        <v>21327</v>
      </c>
      <c r="F381">
        <v>862</v>
      </c>
      <c r="G381">
        <v>125</v>
      </c>
      <c r="H381" s="4">
        <v>1336.5</v>
      </c>
      <c r="I381" s="4">
        <v>5762.39</v>
      </c>
      <c r="J381" s="7">
        <f>Table1[[#This Row],[Clicks]]/Table1[[#This Row],[Impressions]]</f>
        <v>4.0418249167721666E-2</v>
      </c>
      <c r="K381" s="7">
        <f>IFERROR(Table1[[#This Row],[Conversions]]/Table1[[#This Row],[Clicks]],0)</f>
        <v>0.14501160092807425</v>
      </c>
      <c r="L381" s="6">
        <f>IF(Table1[[#This Row],[Conversions]]=0,0,Table1[[#This Row],[Ad Spend]]/Table1[[#This Row],[Conversions]])</f>
        <v>10.692</v>
      </c>
      <c r="M381" s="8">
        <f>IF(Table1[[#This Row],[Ad Spend]]=0,0,Table1[[#This Row],[Revenue]]/Table1[[#This Row],[Ad Spend]])</f>
        <v>4.3115525626636737</v>
      </c>
      <c r="N381">
        <f>YEAR(Table1[[#This Row],[Date]])</f>
        <v>2024</v>
      </c>
      <c r="O381" t="str">
        <f>TEXT(Table1[[#This Row],[Date]],"mmm")</f>
        <v>Oct</v>
      </c>
      <c r="P381">
        <f>MONTH(Table1[[#This Row],[Date]])</f>
        <v>10</v>
      </c>
    </row>
    <row r="382" spans="1:16" x14ac:dyDescent="0.25">
      <c r="A382" t="s">
        <v>401</v>
      </c>
      <c r="B382" t="s">
        <v>47</v>
      </c>
      <c r="C382" t="s">
        <v>17</v>
      </c>
      <c r="D382" s="1">
        <v>45650</v>
      </c>
      <c r="E382">
        <v>90524</v>
      </c>
      <c r="F382">
        <v>2920</v>
      </c>
      <c r="G382">
        <v>161</v>
      </c>
      <c r="H382" s="4">
        <v>558.5</v>
      </c>
      <c r="I382" s="4">
        <v>6483.67</v>
      </c>
      <c r="J382" s="7">
        <f>Table1[[#This Row],[Clicks]]/Table1[[#This Row],[Impressions]]</f>
        <v>3.2256639123326408E-2</v>
      </c>
      <c r="K382" s="7">
        <f>IFERROR(Table1[[#This Row],[Conversions]]/Table1[[#This Row],[Clicks]],0)</f>
        <v>5.5136986301369866E-2</v>
      </c>
      <c r="L382" s="6">
        <f>IF(Table1[[#This Row],[Conversions]]=0,0,Table1[[#This Row],[Ad Spend]]/Table1[[#This Row],[Conversions]])</f>
        <v>3.468944099378882</v>
      </c>
      <c r="M382" s="8">
        <f>IF(Table1[[#This Row],[Ad Spend]]=0,0,Table1[[#This Row],[Revenue]]/Table1[[#This Row],[Ad Spend]])</f>
        <v>11.609077887197852</v>
      </c>
      <c r="N382">
        <f>YEAR(Table1[[#This Row],[Date]])</f>
        <v>2024</v>
      </c>
      <c r="O382" t="str">
        <f>TEXT(Table1[[#This Row],[Date]],"mmm")</f>
        <v>Dec</v>
      </c>
      <c r="P382">
        <f>MONTH(Table1[[#This Row],[Date]])</f>
        <v>12</v>
      </c>
    </row>
    <row r="383" spans="1:16" x14ac:dyDescent="0.25">
      <c r="A383" t="s">
        <v>402</v>
      </c>
      <c r="B383" t="s">
        <v>9</v>
      </c>
      <c r="C383" t="s">
        <v>37</v>
      </c>
      <c r="D383" s="1">
        <v>45346</v>
      </c>
      <c r="E383">
        <v>48089</v>
      </c>
      <c r="F383">
        <v>1994</v>
      </c>
      <c r="G383">
        <v>121</v>
      </c>
      <c r="H383" s="4">
        <v>779.54</v>
      </c>
      <c r="I383" s="4">
        <v>6755.28</v>
      </c>
      <c r="J383" s="7">
        <f>Table1[[#This Row],[Clicks]]/Table1[[#This Row],[Impressions]]</f>
        <v>4.146478404624758E-2</v>
      </c>
      <c r="K383" s="7">
        <f>IFERROR(Table1[[#This Row],[Conversions]]/Table1[[#This Row],[Clicks]],0)</f>
        <v>6.0682046138415248E-2</v>
      </c>
      <c r="L383" s="6">
        <f>IF(Table1[[#This Row],[Conversions]]=0,0,Table1[[#This Row],[Ad Spend]]/Table1[[#This Row],[Conversions]])</f>
        <v>6.4424793388429746</v>
      </c>
      <c r="M383" s="8">
        <f>IF(Table1[[#This Row],[Ad Spend]]=0,0,Table1[[#This Row],[Revenue]]/Table1[[#This Row],[Ad Spend]])</f>
        <v>8.6657259409395291</v>
      </c>
      <c r="N383">
        <f>YEAR(Table1[[#This Row],[Date]])</f>
        <v>2024</v>
      </c>
      <c r="O383" t="str">
        <f>TEXT(Table1[[#This Row],[Date]],"mmm")</f>
        <v>Feb</v>
      </c>
      <c r="P383">
        <f>MONTH(Table1[[#This Row],[Date]])</f>
        <v>2</v>
      </c>
    </row>
    <row r="384" spans="1:16" x14ac:dyDescent="0.25">
      <c r="A384" t="s">
        <v>403</v>
      </c>
      <c r="B384" t="s">
        <v>14</v>
      </c>
      <c r="C384" t="s">
        <v>17</v>
      </c>
      <c r="D384" s="1">
        <v>45449</v>
      </c>
      <c r="E384">
        <v>126463</v>
      </c>
      <c r="F384">
        <v>3610</v>
      </c>
      <c r="G384">
        <v>128</v>
      </c>
      <c r="H384" s="4">
        <v>956.55</v>
      </c>
      <c r="I384" s="4">
        <v>11341.5</v>
      </c>
      <c r="J384" s="7">
        <f>Table1[[#This Row],[Clicks]]/Table1[[#This Row],[Impressions]]</f>
        <v>2.8545898800439656E-2</v>
      </c>
      <c r="K384" s="7">
        <f>IFERROR(Table1[[#This Row],[Conversions]]/Table1[[#This Row],[Clicks]],0)</f>
        <v>3.545706371191136E-2</v>
      </c>
      <c r="L384" s="6">
        <f>IF(Table1[[#This Row],[Conversions]]=0,0,Table1[[#This Row],[Ad Spend]]/Table1[[#This Row],[Conversions]])</f>
        <v>7.4730468749999996</v>
      </c>
      <c r="M384" s="8">
        <f>IF(Table1[[#This Row],[Ad Spend]]=0,0,Table1[[#This Row],[Revenue]]/Table1[[#This Row],[Ad Spend]])</f>
        <v>11.856672416496785</v>
      </c>
      <c r="N384">
        <f>YEAR(Table1[[#This Row],[Date]])</f>
        <v>2024</v>
      </c>
      <c r="O384" t="str">
        <f>TEXT(Table1[[#This Row],[Date]],"mmm")</f>
        <v>Jun</v>
      </c>
      <c r="P384">
        <f>MONTH(Table1[[#This Row],[Date]])</f>
        <v>6</v>
      </c>
    </row>
    <row r="385" spans="1:16" x14ac:dyDescent="0.25">
      <c r="A385" t="s">
        <v>404</v>
      </c>
      <c r="B385" t="s">
        <v>31</v>
      </c>
      <c r="C385" t="s">
        <v>37</v>
      </c>
      <c r="D385" s="1">
        <v>45459</v>
      </c>
      <c r="E385">
        <v>43882</v>
      </c>
      <c r="F385">
        <v>719</v>
      </c>
      <c r="G385">
        <v>37</v>
      </c>
      <c r="H385" s="4">
        <v>1907.57</v>
      </c>
      <c r="I385" s="4">
        <v>2639.8</v>
      </c>
      <c r="J385" s="7">
        <f>Table1[[#This Row],[Clicks]]/Table1[[#This Row],[Impressions]]</f>
        <v>1.638485028029716E-2</v>
      </c>
      <c r="K385" s="7">
        <f>IFERROR(Table1[[#This Row],[Conversions]]/Table1[[#This Row],[Clicks]],0)</f>
        <v>5.1460361613351879E-2</v>
      </c>
      <c r="L385" s="6">
        <f>IF(Table1[[#This Row],[Conversions]]=0,0,Table1[[#This Row],[Ad Spend]]/Table1[[#This Row],[Conversions]])</f>
        <v>51.555945945945943</v>
      </c>
      <c r="M385" s="8">
        <f>IF(Table1[[#This Row],[Ad Spend]]=0,0,Table1[[#This Row],[Revenue]]/Table1[[#This Row],[Ad Spend]])</f>
        <v>1.383854851984462</v>
      </c>
      <c r="N385">
        <f>YEAR(Table1[[#This Row],[Date]])</f>
        <v>2024</v>
      </c>
      <c r="O385" t="str">
        <f>TEXT(Table1[[#This Row],[Date]],"mmm")</f>
        <v>Jun</v>
      </c>
      <c r="P385">
        <f>MONTH(Table1[[#This Row],[Date]])</f>
        <v>6</v>
      </c>
    </row>
    <row r="386" spans="1:16" x14ac:dyDescent="0.25">
      <c r="A386" t="s">
        <v>405</v>
      </c>
      <c r="B386" t="s">
        <v>34</v>
      </c>
      <c r="C386" t="s">
        <v>19</v>
      </c>
      <c r="D386" s="1">
        <v>45711</v>
      </c>
      <c r="E386">
        <v>50578</v>
      </c>
      <c r="F386">
        <v>615</v>
      </c>
      <c r="G386">
        <v>44</v>
      </c>
      <c r="H386" s="4">
        <v>2370.5700000000002</v>
      </c>
      <c r="I386" s="4">
        <v>4171.55</v>
      </c>
      <c r="J386" s="7">
        <f>Table1[[#This Row],[Clicks]]/Table1[[#This Row],[Impressions]]</f>
        <v>1.2159436909328166E-2</v>
      </c>
      <c r="K386" s="7">
        <f>IFERROR(Table1[[#This Row],[Conversions]]/Table1[[#This Row],[Clicks]],0)</f>
        <v>7.1544715447154475E-2</v>
      </c>
      <c r="L386" s="6">
        <f>IF(Table1[[#This Row],[Conversions]]=0,0,Table1[[#This Row],[Ad Spend]]/Table1[[#This Row],[Conversions]])</f>
        <v>53.876590909090915</v>
      </c>
      <c r="M386" s="8">
        <f>IF(Table1[[#This Row],[Ad Spend]]=0,0,Table1[[#This Row],[Revenue]]/Table1[[#This Row],[Ad Spend]])</f>
        <v>1.7597244544561013</v>
      </c>
      <c r="N386">
        <f>YEAR(Table1[[#This Row],[Date]])</f>
        <v>2025</v>
      </c>
      <c r="O386" t="str">
        <f>TEXT(Table1[[#This Row],[Date]],"mmm")</f>
        <v>Feb</v>
      </c>
      <c r="P386">
        <f>MONTH(Table1[[#This Row],[Date]])</f>
        <v>2</v>
      </c>
    </row>
    <row r="387" spans="1:16" x14ac:dyDescent="0.25">
      <c r="A387" t="s">
        <v>406</v>
      </c>
      <c r="B387" t="s">
        <v>14</v>
      </c>
      <c r="C387" t="s">
        <v>10</v>
      </c>
      <c r="D387" s="1">
        <v>45528</v>
      </c>
      <c r="E387">
        <v>31714</v>
      </c>
      <c r="F387">
        <v>2101</v>
      </c>
      <c r="G387">
        <v>80</v>
      </c>
      <c r="H387" s="4">
        <v>257.39</v>
      </c>
      <c r="I387" s="4">
        <v>8242.98</v>
      </c>
      <c r="J387" s="7">
        <f>Table1[[#This Row],[Clicks]]/Table1[[#This Row],[Impressions]]</f>
        <v>6.6248344579680901E-2</v>
      </c>
      <c r="K387" s="7">
        <f>IFERROR(Table1[[#This Row],[Conversions]]/Table1[[#This Row],[Clicks]],0)</f>
        <v>3.8077106139933363E-2</v>
      </c>
      <c r="L387" s="6">
        <f>IF(Table1[[#This Row],[Conversions]]=0,0,Table1[[#This Row],[Ad Spend]]/Table1[[#This Row],[Conversions]])</f>
        <v>3.2173749999999997</v>
      </c>
      <c r="M387" s="8">
        <f>IF(Table1[[#This Row],[Ad Spend]]=0,0,Table1[[#This Row],[Revenue]]/Table1[[#This Row],[Ad Spend]])</f>
        <v>32.025253506352229</v>
      </c>
      <c r="N387">
        <f>YEAR(Table1[[#This Row],[Date]])</f>
        <v>2024</v>
      </c>
      <c r="O387" t="str">
        <f>TEXT(Table1[[#This Row],[Date]],"mmm")</f>
        <v>Aug</v>
      </c>
      <c r="P387">
        <f>MONTH(Table1[[#This Row],[Date]])</f>
        <v>8</v>
      </c>
    </row>
    <row r="388" spans="1:16" x14ac:dyDescent="0.25">
      <c r="A388" t="s">
        <v>407</v>
      </c>
      <c r="B388" t="s">
        <v>14</v>
      </c>
      <c r="C388" t="s">
        <v>37</v>
      </c>
      <c r="D388" s="1">
        <v>45393</v>
      </c>
      <c r="E388">
        <v>110010</v>
      </c>
      <c r="F388">
        <v>3966</v>
      </c>
      <c r="G388">
        <v>404</v>
      </c>
      <c r="H388" s="4">
        <v>3294.49</v>
      </c>
      <c r="I388" s="4">
        <v>31605.88</v>
      </c>
      <c r="J388" s="7">
        <f>Table1[[#This Row],[Clicks]]/Table1[[#This Row],[Impressions]]</f>
        <v>3.6051268066539403E-2</v>
      </c>
      <c r="K388" s="7">
        <f>IFERROR(Table1[[#This Row],[Conversions]]/Table1[[#This Row],[Clicks]],0)</f>
        <v>0.10186585980837115</v>
      </c>
      <c r="L388" s="6">
        <f>IF(Table1[[#This Row],[Conversions]]=0,0,Table1[[#This Row],[Ad Spend]]/Table1[[#This Row],[Conversions]])</f>
        <v>8.1546782178217825</v>
      </c>
      <c r="M388" s="8">
        <f>IF(Table1[[#This Row],[Ad Spend]]=0,0,Table1[[#This Row],[Revenue]]/Table1[[#This Row],[Ad Spend]])</f>
        <v>9.593557728206795</v>
      </c>
      <c r="N388">
        <f>YEAR(Table1[[#This Row],[Date]])</f>
        <v>2024</v>
      </c>
      <c r="O388" t="str">
        <f>TEXT(Table1[[#This Row],[Date]],"mmm")</f>
        <v>Apr</v>
      </c>
      <c r="P388">
        <f>MONTH(Table1[[#This Row],[Date]])</f>
        <v>4</v>
      </c>
    </row>
    <row r="389" spans="1:16" x14ac:dyDescent="0.25">
      <c r="A389" t="s">
        <v>408</v>
      </c>
      <c r="B389" t="s">
        <v>34</v>
      </c>
      <c r="C389" t="s">
        <v>10</v>
      </c>
      <c r="D389" s="1">
        <v>45303</v>
      </c>
      <c r="E389">
        <v>21900</v>
      </c>
      <c r="F389">
        <v>522</v>
      </c>
      <c r="G389">
        <v>54</v>
      </c>
      <c r="H389" s="4">
        <v>4084.63</v>
      </c>
      <c r="I389" s="4">
        <v>1576.68</v>
      </c>
      <c r="J389" s="7">
        <f>Table1[[#This Row],[Clicks]]/Table1[[#This Row],[Impressions]]</f>
        <v>2.3835616438356164E-2</v>
      </c>
      <c r="K389" s="7">
        <f>IFERROR(Table1[[#This Row],[Conversions]]/Table1[[#This Row],[Clicks]],0)</f>
        <v>0.10344827586206896</v>
      </c>
      <c r="L389" s="6">
        <f>IF(Table1[[#This Row],[Conversions]]=0,0,Table1[[#This Row],[Ad Spend]]/Table1[[#This Row],[Conversions]])</f>
        <v>75.641296296296304</v>
      </c>
      <c r="M389" s="8">
        <f>IF(Table1[[#This Row],[Ad Spend]]=0,0,Table1[[#This Row],[Revenue]]/Table1[[#This Row],[Ad Spend]])</f>
        <v>0.38600313859517266</v>
      </c>
      <c r="N389">
        <f>YEAR(Table1[[#This Row],[Date]])</f>
        <v>2024</v>
      </c>
      <c r="O389" t="str">
        <f>TEXT(Table1[[#This Row],[Date]],"mmm")</f>
        <v>Jan</v>
      </c>
      <c r="P389">
        <f>MONTH(Table1[[#This Row],[Date]])</f>
        <v>1</v>
      </c>
    </row>
    <row r="390" spans="1:16" x14ac:dyDescent="0.25">
      <c r="A390" t="s">
        <v>409</v>
      </c>
      <c r="B390" t="s">
        <v>47</v>
      </c>
      <c r="C390" t="s">
        <v>10</v>
      </c>
      <c r="D390" s="1">
        <v>45313</v>
      </c>
      <c r="E390">
        <v>125847</v>
      </c>
      <c r="F390">
        <v>1704</v>
      </c>
      <c r="G390">
        <v>238</v>
      </c>
      <c r="H390" s="4">
        <v>2279.15</v>
      </c>
      <c r="I390" s="4">
        <v>22001.45</v>
      </c>
      <c r="J390" s="7">
        <f>Table1[[#This Row],[Clicks]]/Table1[[#This Row],[Impressions]]</f>
        <v>1.3540251257479321E-2</v>
      </c>
      <c r="K390" s="7">
        <f>IFERROR(Table1[[#This Row],[Conversions]]/Table1[[#This Row],[Clicks]],0)</f>
        <v>0.13967136150234741</v>
      </c>
      <c r="L390" s="6">
        <f>IF(Table1[[#This Row],[Conversions]]=0,0,Table1[[#This Row],[Ad Spend]]/Table1[[#This Row],[Conversions]])</f>
        <v>9.5762605042016808</v>
      </c>
      <c r="M390" s="8">
        <f>IF(Table1[[#This Row],[Ad Spend]]=0,0,Table1[[#This Row],[Revenue]]/Table1[[#This Row],[Ad Spend]])</f>
        <v>9.6533576113902111</v>
      </c>
      <c r="N390">
        <f>YEAR(Table1[[#This Row],[Date]])</f>
        <v>2024</v>
      </c>
      <c r="O390" t="str">
        <f>TEXT(Table1[[#This Row],[Date]],"mmm")</f>
        <v>Jan</v>
      </c>
      <c r="P390">
        <f>MONTH(Table1[[#This Row],[Date]])</f>
        <v>1</v>
      </c>
    </row>
    <row r="391" spans="1:16" x14ac:dyDescent="0.25">
      <c r="A391" t="s">
        <v>410</v>
      </c>
      <c r="B391" t="s">
        <v>41</v>
      </c>
      <c r="C391" t="s">
        <v>10</v>
      </c>
      <c r="D391" s="1">
        <v>45487</v>
      </c>
      <c r="E391">
        <v>116847</v>
      </c>
      <c r="F391">
        <v>2581</v>
      </c>
      <c r="G391">
        <v>123</v>
      </c>
      <c r="H391" s="4">
        <v>1098.33</v>
      </c>
      <c r="I391" s="4">
        <v>5902.21</v>
      </c>
      <c r="J391" s="7">
        <f>Table1[[#This Row],[Clicks]]/Table1[[#This Row],[Impressions]]</f>
        <v>2.2088714301608085E-2</v>
      </c>
      <c r="K391" s="7">
        <f>IFERROR(Table1[[#This Row],[Conversions]]/Table1[[#This Row],[Clicks]],0)</f>
        <v>4.7655947307245254E-2</v>
      </c>
      <c r="L391" s="6">
        <f>IF(Table1[[#This Row],[Conversions]]=0,0,Table1[[#This Row],[Ad Spend]]/Table1[[#This Row],[Conversions]])</f>
        <v>8.9295121951219514</v>
      </c>
      <c r="M391" s="8">
        <f>IF(Table1[[#This Row],[Ad Spend]]=0,0,Table1[[#This Row],[Revenue]]/Table1[[#This Row],[Ad Spend]])</f>
        <v>5.3738038658690925</v>
      </c>
      <c r="N391">
        <f>YEAR(Table1[[#This Row],[Date]])</f>
        <v>2024</v>
      </c>
      <c r="O391" t="str">
        <f>TEXT(Table1[[#This Row],[Date]],"mmm")</f>
        <v>Jul</v>
      </c>
      <c r="P391">
        <f>MONTH(Table1[[#This Row],[Date]])</f>
        <v>7</v>
      </c>
    </row>
    <row r="392" spans="1:16" x14ac:dyDescent="0.25">
      <c r="A392" t="s">
        <v>411</v>
      </c>
      <c r="B392" t="s">
        <v>16</v>
      </c>
      <c r="C392" t="s">
        <v>10</v>
      </c>
      <c r="D392" s="1">
        <v>45606</v>
      </c>
      <c r="E392">
        <v>69431</v>
      </c>
      <c r="F392">
        <v>3840</v>
      </c>
      <c r="G392">
        <v>325</v>
      </c>
      <c r="H392" s="4">
        <v>4437.34</v>
      </c>
      <c r="I392" s="4">
        <v>22068.51</v>
      </c>
      <c r="J392" s="7">
        <f>Table1[[#This Row],[Clicks]]/Table1[[#This Row],[Impressions]]</f>
        <v>5.5306707378548488E-2</v>
      </c>
      <c r="K392" s="7">
        <f>IFERROR(Table1[[#This Row],[Conversions]]/Table1[[#This Row],[Clicks]],0)</f>
        <v>8.4635416666666671E-2</v>
      </c>
      <c r="L392" s="6">
        <f>IF(Table1[[#This Row],[Conversions]]=0,0,Table1[[#This Row],[Ad Spend]]/Table1[[#This Row],[Conversions]])</f>
        <v>13.653353846153847</v>
      </c>
      <c r="M392" s="8">
        <f>IF(Table1[[#This Row],[Ad Spend]]=0,0,Table1[[#This Row],[Revenue]]/Table1[[#This Row],[Ad Spend]])</f>
        <v>4.9733646734304777</v>
      </c>
      <c r="N392">
        <f>YEAR(Table1[[#This Row],[Date]])</f>
        <v>2024</v>
      </c>
      <c r="O392" t="str">
        <f>TEXT(Table1[[#This Row],[Date]],"mmm")</f>
        <v>Nov</v>
      </c>
      <c r="P392">
        <f>MONTH(Table1[[#This Row],[Date]])</f>
        <v>11</v>
      </c>
    </row>
    <row r="393" spans="1:16" x14ac:dyDescent="0.25">
      <c r="A393" t="s">
        <v>412</v>
      </c>
      <c r="B393" t="s">
        <v>9</v>
      </c>
      <c r="C393" t="s">
        <v>19</v>
      </c>
      <c r="D393" s="1">
        <v>45488</v>
      </c>
      <c r="E393">
        <v>40975</v>
      </c>
      <c r="F393">
        <v>1612</v>
      </c>
      <c r="G393">
        <v>166</v>
      </c>
      <c r="H393" s="4">
        <v>4026.55</v>
      </c>
      <c r="I393" s="4">
        <v>7455.85</v>
      </c>
      <c r="J393" s="7">
        <f>Table1[[#This Row],[Clicks]]/Table1[[#This Row],[Impressions]]</f>
        <v>3.9341061622940821E-2</v>
      </c>
      <c r="K393" s="7">
        <f>IFERROR(Table1[[#This Row],[Conversions]]/Table1[[#This Row],[Clicks]],0)</f>
        <v>0.10297766749379653</v>
      </c>
      <c r="L393" s="6">
        <f>IF(Table1[[#This Row],[Conversions]]=0,0,Table1[[#This Row],[Ad Spend]]/Table1[[#This Row],[Conversions]])</f>
        <v>24.256325301204821</v>
      </c>
      <c r="M393" s="8">
        <f>IF(Table1[[#This Row],[Ad Spend]]=0,0,Table1[[#This Row],[Revenue]]/Table1[[#This Row],[Ad Spend]])</f>
        <v>1.8516720269213098</v>
      </c>
      <c r="N393">
        <f>YEAR(Table1[[#This Row],[Date]])</f>
        <v>2024</v>
      </c>
      <c r="O393" t="str">
        <f>TEXT(Table1[[#This Row],[Date]],"mmm")</f>
        <v>Jul</v>
      </c>
      <c r="P393">
        <f>MONTH(Table1[[#This Row],[Date]])</f>
        <v>7</v>
      </c>
    </row>
    <row r="394" spans="1:16" x14ac:dyDescent="0.25">
      <c r="A394" t="s">
        <v>413</v>
      </c>
      <c r="B394" t="s">
        <v>31</v>
      </c>
      <c r="C394" t="s">
        <v>17</v>
      </c>
      <c r="D394" s="1">
        <v>45692</v>
      </c>
      <c r="E394">
        <v>99139</v>
      </c>
      <c r="F394">
        <v>4320</v>
      </c>
      <c r="G394">
        <v>525</v>
      </c>
      <c r="H394" s="4">
        <v>1851.36</v>
      </c>
      <c r="I394" s="4">
        <v>40196.68</v>
      </c>
      <c r="J394" s="7">
        <f>Table1[[#This Row],[Clicks]]/Table1[[#This Row],[Impressions]]</f>
        <v>4.3575182319773247E-2</v>
      </c>
      <c r="K394" s="7">
        <f>IFERROR(Table1[[#This Row],[Conversions]]/Table1[[#This Row],[Clicks]],0)</f>
        <v>0.12152777777777778</v>
      </c>
      <c r="L394" s="6">
        <f>IF(Table1[[#This Row],[Conversions]]=0,0,Table1[[#This Row],[Ad Spend]]/Table1[[#This Row],[Conversions]])</f>
        <v>3.5263999999999998</v>
      </c>
      <c r="M394" s="8">
        <f>IF(Table1[[#This Row],[Ad Spend]]=0,0,Table1[[#This Row],[Revenue]]/Table1[[#This Row],[Ad Spend]])</f>
        <v>21.711973900267914</v>
      </c>
      <c r="N394">
        <f>YEAR(Table1[[#This Row],[Date]])</f>
        <v>2025</v>
      </c>
      <c r="O394" t="str">
        <f>TEXT(Table1[[#This Row],[Date]],"mmm")</f>
        <v>Feb</v>
      </c>
      <c r="P394">
        <f>MONTH(Table1[[#This Row],[Date]])</f>
        <v>2</v>
      </c>
    </row>
    <row r="395" spans="1:16" x14ac:dyDescent="0.25">
      <c r="A395" t="s">
        <v>414</v>
      </c>
      <c r="B395" t="s">
        <v>47</v>
      </c>
      <c r="C395" t="s">
        <v>17</v>
      </c>
      <c r="D395" s="1">
        <v>45430</v>
      </c>
      <c r="E395">
        <v>52137</v>
      </c>
      <c r="F395">
        <v>616</v>
      </c>
      <c r="G395">
        <v>60</v>
      </c>
      <c r="H395" s="4">
        <v>340.66</v>
      </c>
      <c r="I395" s="4">
        <v>6064.14</v>
      </c>
      <c r="J395" s="7">
        <f>Table1[[#This Row],[Clicks]]/Table1[[#This Row],[Impressions]]</f>
        <v>1.181502579741834E-2</v>
      </c>
      <c r="K395" s="7">
        <f>IFERROR(Table1[[#This Row],[Conversions]]/Table1[[#This Row],[Clicks]],0)</f>
        <v>9.7402597402597407E-2</v>
      </c>
      <c r="L395" s="6">
        <f>IF(Table1[[#This Row],[Conversions]]=0,0,Table1[[#This Row],[Ad Spend]]/Table1[[#This Row],[Conversions]])</f>
        <v>5.6776666666666671</v>
      </c>
      <c r="M395" s="8">
        <f>IF(Table1[[#This Row],[Ad Spend]]=0,0,Table1[[#This Row],[Revenue]]/Table1[[#This Row],[Ad Spend]])</f>
        <v>17.801150707450244</v>
      </c>
      <c r="N395">
        <f>YEAR(Table1[[#This Row],[Date]])</f>
        <v>2024</v>
      </c>
      <c r="O395" t="str">
        <f>TEXT(Table1[[#This Row],[Date]],"mmm")</f>
        <v>May</v>
      </c>
      <c r="P395">
        <f>MONTH(Table1[[#This Row],[Date]])</f>
        <v>5</v>
      </c>
    </row>
    <row r="396" spans="1:16" x14ac:dyDescent="0.25">
      <c r="A396" t="s">
        <v>415</v>
      </c>
      <c r="B396" t="s">
        <v>34</v>
      </c>
      <c r="C396" t="s">
        <v>10</v>
      </c>
      <c r="D396" s="1">
        <v>45706</v>
      </c>
      <c r="E396">
        <v>128649</v>
      </c>
      <c r="F396">
        <v>6054</v>
      </c>
      <c r="G396">
        <v>724</v>
      </c>
      <c r="H396" s="4">
        <v>4998.1099999999997</v>
      </c>
      <c r="I396" s="4">
        <v>84996.14</v>
      </c>
      <c r="J396" s="7">
        <f>Table1[[#This Row],[Clicks]]/Table1[[#This Row],[Impressions]]</f>
        <v>4.7058274840846022E-2</v>
      </c>
      <c r="K396" s="7">
        <f>IFERROR(Table1[[#This Row],[Conversions]]/Table1[[#This Row],[Clicks]],0)</f>
        <v>0.11959035348529898</v>
      </c>
      <c r="L396" s="6">
        <f>IF(Table1[[#This Row],[Conversions]]=0,0,Table1[[#This Row],[Ad Spend]]/Table1[[#This Row],[Conversions]])</f>
        <v>6.9034668508287291</v>
      </c>
      <c r="M396" s="8">
        <f>IF(Table1[[#This Row],[Ad Spend]]=0,0,Table1[[#This Row],[Revenue]]/Table1[[#This Row],[Ad Spend]])</f>
        <v>17.005656138020171</v>
      </c>
      <c r="N396">
        <f>YEAR(Table1[[#This Row],[Date]])</f>
        <v>2025</v>
      </c>
      <c r="O396" t="str">
        <f>TEXT(Table1[[#This Row],[Date]],"mmm")</f>
        <v>Feb</v>
      </c>
      <c r="P396">
        <f>MONTH(Table1[[#This Row],[Date]])</f>
        <v>2</v>
      </c>
    </row>
    <row r="397" spans="1:16" x14ac:dyDescent="0.25">
      <c r="A397" t="s">
        <v>416</v>
      </c>
      <c r="B397" t="s">
        <v>9</v>
      </c>
      <c r="C397" t="s">
        <v>37</v>
      </c>
      <c r="D397" s="1">
        <v>45628</v>
      </c>
      <c r="E397">
        <v>68216</v>
      </c>
      <c r="F397">
        <v>1954</v>
      </c>
      <c r="G397">
        <v>246</v>
      </c>
      <c r="H397" s="4">
        <v>4602.8500000000004</v>
      </c>
      <c r="I397" s="4">
        <v>6295.35</v>
      </c>
      <c r="J397" s="7">
        <f>Table1[[#This Row],[Clicks]]/Table1[[#This Row],[Impressions]]</f>
        <v>2.8644306321097691E-2</v>
      </c>
      <c r="K397" s="7">
        <f>IFERROR(Table1[[#This Row],[Conversions]]/Table1[[#This Row],[Clicks]],0)</f>
        <v>0.12589559877175024</v>
      </c>
      <c r="L397" s="6">
        <f>IF(Table1[[#This Row],[Conversions]]=0,0,Table1[[#This Row],[Ad Spend]]/Table1[[#This Row],[Conversions]])</f>
        <v>18.710772357723577</v>
      </c>
      <c r="M397" s="8">
        <f>IF(Table1[[#This Row],[Ad Spend]]=0,0,Table1[[#This Row],[Revenue]]/Table1[[#This Row],[Ad Spend]])</f>
        <v>1.3677069641635073</v>
      </c>
      <c r="N397">
        <f>YEAR(Table1[[#This Row],[Date]])</f>
        <v>2024</v>
      </c>
      <c r="O397" t="str">
        <f>TEXT(Table1[[#This Row],[Date]],"mmm")</f>
        <v>Dec</v>
      </c>
      <c r="P397">
        <f>MONTH(Table1[[#This Row],[Date]])</f>
        <v>12</v>
      </c>
    </row>
    <row r="398" spans="1:16" x14ac:dyDescent="0.25">
      <c r="A398" t="s">
        <v>417</v>
      </c>
      <c r="B398" t="s">
        <v>14</v>
      </c>
      <c r="C398" t="s">
        <v>12</v>
      </c>
      <c r="D398" s="1">
        <v>45700</v>
      </c>
      <c r="E398">
        <v>106822</v>
      </c>
      <c r="F398">
        <v>3721</v>
      </c>
      <c r="G398">
        <v>480</v>
      </c>
      <c r="H398" s="4">
        <v>4257.0600000000004</v>
      </c>
      <c r="I398" s="4">
        <v>18052.82</v>
      </c>
      <c r="J398" s="7">
        <f>Table1[[#This Row],[Clicks]]/Table1[[#This Row],[Impressions]]</f>
        <v>3.4833648499372788E-2</v>
      </c>
      <c r="K398" s="7">
        <f>IFERROR(Table1[[#This Row],[Conversions]]/Table1[[#This Row],[Clicks]],0)</f>
        <v>0.12899758129535072</v>
      </c>
      <c r="L398" s="6">
        <f>IF(Table1[[#This Row],[Conversions]]=0,0,Table1[[#This Row],[Ad Spend]]/Table1[[#This Row],[Conversions]])</f>
        <v>8.868875000000001</v>
      </c>
      <c r="M398" s="8">
        <f>IF(Table1[[#This Row],[Ad Spend]]=0,0,Table1[[#This Row],[Revenue]]/Table1[[#This Row],[Ad Spend]])</f>
        <v>4.2406778386961888</v>
      </c>
      <c r="N398">
        <f>YEAR(Table1[[#This Row],[Date]])</f>
        <v>2025</v>
      </c>
      <c r="O398" t="str">
        <f>TEXT(Table1[[#This Row],[Date]],"mmm")</f>
        <v>Feb</v>
      </c>
      <c r="P398">
        <f>MONTH(Table1[[#This Row],[Date]])</f>
        <v>2</v>
      </c>
    </row>
    <row r="399" spans="1:16" x14ac:dyDescent="0.25">
      <c r="A399" t="s">
        <v>418</v>
      </c>
      <c r="B399" t="s">
        <v>47</v>
      </c>
      <c r="C399" t="s">
        <v>19</v>
      </c>
      <c r="D399" s="1">
        <v>45594</v>
      </c>
      <c r="E399">
        <v>12394</v>
      </c>
      <c r="F399">
        <v>734</v>
      </c>
      <c r="G399">
        <v>48</v>
      </c>
      <c r="H399" s="4">
        <v>2924.73</v>
      </c>
      <c r="I399" s="4">
        <v>1642.09</v>
      </c>
      <c r="J399" s="7">
        <f>Table1[[#This Row],[Clicks]]/Table1[[#This Row],[Impressions]]</f>
        <v>5.922220429239955E-2</v>
      </c>
      <c r="K399" s="7">
        <f>IFERROR(Table1[[#This Row],[Conversions]]/Table1[[#This Row],[Clicks]],0)</f>
        <v>6.5395095367847406E-2</v>
      </c>
      <c r="L399" s="6">
        <f>IF(Table1[[#This Row],[Conversions]]=0,0,Table1[[#This Row],[Ad Spend]]/Table1[[#This Row],[Conversions]])</f>
        <v>60.931874999999998</v>
      </c>
      <c r="M399" s="8">
        <f>IF(Table1[[#This Row],[Ad Spend]]=0,0,Table1[[#This Row],[Revenue]]/Table1[[#This Row],[Ad Spend]])</f>
        <v>0.56145011676291479</v>
      </c>
      <c r="N399">
        <f>YEAR(Table1[[#This Row],[Date]])</f>
        <v>2024</v>
      </c>
      <c r="O399" t="str">
        <f>TEXT(Table1[[#This Row],[Date]],"mmm")</f>
        <v>Oct</v>
      </c>
      <c r="P399">
        <f>MONTH(Table1[[#This Row],[Date]])</f>
        <v>10</v>
      </c>
    </row>
    <row r="400" spans="1:16" x14ac:dyDescent="0.25">
      <c r="A400" t="s">
        <v>419</v>
      </c>
      <c r="B400" t="s">
        <v>14</v>
      </c>
      <c r="C400" t="s">
        <v>17</v>
      </c>
      <c r="D400" s="1">
        <v>45569</v>
      </c>
      <c r="E400">
        <v>86016</v>
      </c>
      <c r="F400">
        <v>1917</v>
      </c>
      <c r="G400">
        <v>47</v>
      </c>
      <c r="H400" s="4">
        <v>469.61</v>
      </c>
      <c r="I400" s="4">
        <v>3767.82</v>
      </c>
      <c r="J400" s="7">
        <f>Table1[[#This Row],[Clicks]]/Table1[[#This Row],[Impressions]]</f>
        <v>2.2286551339285716E-2</v>
      </c>
      <c r="K400" s="7">
        <f>IFERROR(Table1[[#This Row],[Conversions]]/Table1[[#This Row],[Clicks]],0)</f>
        <v>2.4517475221700575E-2</v>
      </c>
      <c r="L400" s="6">
        <f>IF(Table1[[#This Row],[Conversions]]=0,0,Table1[[#This Row],[Ad Spend]]/Table1[[#This Row],[Conversions]])</f>
        <v>9.9917021276595754</v>
      </c>
      <c r="M400" s="8">
        <f>IF(Table1[[#This Row],[Ad Spend]]=0,0,Table1[[#This Row],[Revenue]]/Table1[[#This Row],[Ad Spend]])</f>
        <v>8.0232959264070178</v>
      </c>
      <c r="N400">
        <f>YEAR(Table1[[#This Row],[Date]])</f>
        <v>2024</v>
      </c>
      <c r="O400" t="str">
        <f>TEXT(Table1[[#This Row],[Date]],"mmm")</f>
        <v>Oct</v>
      </c>
      <c r="P400">
        <f>MONTH(Table1[[#This Row],[Date]])</f>
        <v>10</v>
      </c>
    </row>
    <row r="401" spans="1:16" x14ac:dyDescent="0.25">
      <c r="A401" t="s">
        <v>420</v>
      </c>
      <c r="B401" t="s">
        <v>31</v>
      </c>
      <c r="C401" t="s">
        <v>12</v>
      </c>
      <c r="D401" s="1">
        <v>45536</v>
      </c>
      <c r="E401">
        <v>5179</v>
      </c>
      <c r="F401">
        <v>172</v>
      </c>
      <c r="G401">
        <v>17</v>
      </c>
      <c r="H401" s="4">
        <v>4070.94</v>
      </c>
      <c r="I401" s="4">
        <v>919.29</v>
      </c>
      <c r="J401" s="7">
        <f>Table1[[#This Row],[Clicks]]/Table1[[#This Row],[Impressions]]</f>
        <v>3.3211044603205252E-2</v>
      </c>
      <c r="K401" s="7">
        <f>IFERROR(Table1[[#This Row],[Conversions]]/Table1[[#This Row],[Clicks]],0)</f>
        <v>9.8837209302325577E-2</v>
      </c>
      <c r="L401" s="6">
        <f>IF(Table1[[#This Row],[Conversions]]=0,0,Table1[[#This Row],[Ad Spend]]/Table1[[#This Row],[Conversions]])</f>
        <v>239.46705882352941</v>
      </c>
      <c r="M401" s="8">
        <f>IF(Table1[[#This Row],[Ad Spend]]=0,0,Table1[[#This Row],[Revenue]]/Table1[[#This Row],[Ad Spend]])</f>
        <v>0.22581762443072115</v>
      </c>
      <c r="N401">
        <f>YEAR(Table1[[#This Row],[Date]])</f>
        <v>2024</v>
      </c>
      <c r="O401" t="str">
        <f>TEXT(Table1[[#This Row],[Date]],"mmm")</f>
        <v>Sept</v>
      </c>
      <c r="P401">
        <f>MONTH(Table1[[#This Row],[Date]])</f>
        <v>9</v>
      </c>
    </row>
    <row r="402" spans="1:16" x14ac:dyDescent="0.25">
      <c r="A402" t="s">
        <v>421</v>
      </c>
      <c r="B402" t="s">
        <v>16</v>
      </c>
      <c r="C402" t="s">
        <v>19</v>
      </c>
      <c r="D402" s="1">
        <v>45322</v>
      </c>
      <c r="E402">
        <v>10744</v>
      </c>
      <c r="F402">
        <v>218</v>
      </c>
      <c r="G402">
        <v>24</v>
      </c>
      <c r="H402" s="4">
        <v>879.93</v>
      </c>
      <c r="I402" s="4">
        <v>746.21</v>
      </c>
      <c r="J402" s="7">
        <f>Table1[[#This Row],[Clicks]]/Table1[[#This Row],[Impressions]]</f>
        <v>2.0290394638868205E-2</v>
      </c>
      <c r="K402" s="7">
        <f>IFERROR(Table1[[#This Row],[Conversions]]/Table1[[#This Row],[Clicks]],0)</f>
        <v>0.11009174311926606</v>
      </c>
      <c r="L402" s="6">
        <f>IF(Table1[[#This Row],[Conversions]]=0,0,Table1[[#This Row],[Ad Spend]]/Table1[[#This Row],[Conversions]])</f>
        <v>36.66375</v>
      </c>
      <c r="M402" s="8">
        <f>IF(Table1[[#This Row],[Ad Spend]]=0,0,Table1[[#This Row],[Revenue]]/Table1[[#This Row],[Ad Spend]])</f>
        <v>0.84803336629050052</v>
      </c>
      <c r="N402">
        <f>YEAR(Table1[[#This Row],[Date]])</f>
        <v>2024</v>
      </c>
      <c r="O402" t="str">
        <f>TEXT(Table1[[#This Row],[Date]],"mmm")</f>
        <v>Jan</v>
      </c>
      <c r="P402">
        <f>MONTH(Table1[[#This Row],[Date]])</f>
        <v>1</v>
      </c>
    </row>
    <row r="403" spans="1:16" x14ac:dyDescent="0.25">
      <c r="A403" t="s">
        <v>422</v>
      </c>
      <c r="B403" t="s">
        <v>47</v>
      </c>
      <c r="C403" t="s">
        <v>10</v>
      </c>
      <c r="D403" s="1">
        <v>45483</v>
      </c>
      <c r="E403">
        <v>108703</v>
      </c>
      <c r="F403">
        <v>5546</v>
      </c>
      <c r="G403">
        <v>353</v>
      </c>
      <c r="H403" s="4">
        <v>1748.5</v>
      </c>
      <c r="I403" s="4">
        <v>41507.879999999997</v>
      </c>
      <c r="J403" s="7">
        <f>Table1[[#This Row],[Clicks]]/Table1[[#This Row],[Impressions]]</f>
        <v>5.101975106482802E-2</v>
      </c>
      <c r="K403" s="7">
        <f>IFERROR(Table1[[#This Row],[Conversions]]/Table1[[#This Row],[Clicks]],0)</f>
        <v>6.3649477100613056E-2</v>
      </c>
      <c r="L403" s="6">
        <f>IF(Table1[[#This Row],[Conversions]]=0,0,Table1[[#This Row],[Ad Spend]]/Table1[[#This Row],[Conversions]])</f>
        <v>4.953257790368272</v>
      </c>
      <c r="M403" s="8">
        <f>IF(Table1[[#This Row],[Ad Spend]]=0,0,Table1[[#This Row],[Revenue]]/Table1[[#This Row],[Ad Spend]])</f>
        <v>23.739136402630827</v>
      </c>
      <c r="N403">
        <f>YEAR(Table1[[#This Row],[Date]])</f>
        <v>2024</v>
      </c>
      <c r="O403" t="str">
        <f>TEXT(Table1[[#This Row],[Date]],"mmm")</f>
        <v>Jul</v>
      </c>
      <c r="P403">
        <f>MONTH(Table1[[#This Row],[Date]])</f>
        <v>7</v>
      </c>
    </row>
    <row r="404" spans="1:16" x14ac:dyDescent="0.25">
      <c r="A404" t="s">
        <v>423</v>
      </c>
      <c r="B404" t="s">
        <v>21</v>
      </c>
      <c r="C404" t="s">
        <v>17</v>
      </c>
      <c r="D404" s="1">
        <v>45624</v>
      </c>
      <c r="E404">
        <v>88173</v>
      </c>
      <c r="F404">
        <v>1956</v>
      </c>
      <c r="G404">
        <v>285</v>
      </c>
      <c r="H404" s="4">
        <v>3529.09</v>
      </c>
      <c r="I404" s="4">
        <v>32172.09</v>
      </c>
      <c r="J404" s="7">
        <f>Table1[[#This Row],[Clicks]]/Table1[[#This Row],[Impressions]]</f>
        <v>2.2183661665135586E-2</v>
      </c>
      <c r="K404" s="7">
        <f>IFERROR(Table1[[#This Row],[Conversions]]/Table1[[#This Row],[Clicks]],0)</f>
        <v>0.14570552147239263</v>
      </c>
      <c r="L404" s="6">
        <f>IF(Table1[[#This Row],[Conversions]]=0,0,Table1[[#This Row],[Ad Spend]]/Table1[[#This Row],[Conversions]])</f>
        <v>12.382771929824562</v>
      </c>
      <c r="M404" s="8">
        <f>IF(Table1[[#This Row],[Ad Spend]]=0,0,Table1[[#This Row],[Revenue]]/Table1[[#This Row],[Ad Spend]])</f>
        <v>9.1162565987265829</v>
      </c>
      <c r="N404">
        <f>YEAR(Table1[[#This Row],[Date]])</f>
        <v>2024</v>
      </c>
      <c r="O404" t="str">
        <f>TEXT(Table1[[#This Row],[Date]],"mmm")</f>
        <v>Nov</v>
      </c>
      <c r="P404">
        <f>MONTH(Table1[[#This Row],[Date]])</f>
        <v>11</v>
      </c>
    </row>
    <row r="405" spans="1:16" x14ac:dyDescent="0.25">
      <c r="A405" t="s">
        <v>424</v>
      </c>
      <c r="B405" t="s">
        <v>47</v>
      </c>
      <c r="C405" t="s">
        <v>37</v>
      </c>
      <c r="D405" s="1">
        <v>45632</v>
      </c>
      <c r="E405">
        <v>50967</v>
      </c>
      <c r="F405">
        <v>1859</v>
      </c>
      <c r="G405">
        <v>214</v>
      </c>
      <c r="H405" s="4">
        <v>1613.68</v>
      </c>
      <c r="I405" s="4">
        <v>8082.96</v>
      </c>
      <c r="J405" s="7">
        <f>Table1[[#This Row],[Clicks]]/Table1[[#This Row],[Impressions]]</f>
        <v>3.6474581592010516E-2</v>
      </c>
      <c r="K405" s="7">
        <f>IFERROR(Table1[[#This Row],[Conversions]]/Table1[[#This Row],[Clicks]],0)</f>
        <v>0.11511565357719204</v>
      </c>
      <c r="L405" s="6">
        <f>IF(Table1[[#This Row],[Conversions]]=0,0,Table1[[#This Row],[Ad Spend]]/Table1[[#This Row],[Conversions]])</f>
        <v>7.5405607476635517</v>
      </c>
      <c r="M405" s="8">
        <f>IF(Table1[[#This Row],[Ad Spend]]=0,0,Table1[[#This Row],[Revenue]]/Table1[[#This Row],[Ad Spend]])</f>
        <v>5.009022854593228</v>
      </c>
      <c r="N405">
        <f>YEAR(Table1[[#This Row],[Date]])</f>
        <v>2024</v>
      </c>
      <c r="O405" t="str">
        <f>TEXT(Table1[[#This Row],[Date]],"mmm")</f>
        <v>Dec</v>
      </c>
      <c r="P405">
        <f>MONTH(Table1[[#This Row],[Date]])</f>
        <v>12</v>
      </c>
    </row>
    <row r="406" spans="1:16" x14ac:dyDescent="0.25">
      <c r="A406" t="s">
        <v>425</v>
      </c>
      <c r="B406" t="s">
        <v>31</v>
      </c>
      <c r="C406" t="s">
        <v>12</v>
      </c>
      <c r="D406" s="1">
        <v>45492</v>
      </c>
      <c r="E406">
        <v>13488</v>
      </c>
      <c r="F406">
        <v>306</v>
      </c>
      <c r="G406">
        <v>18</v>
      </c>
      <c r="H406" s="4">
        <v>4082.27</v>
      </c>
      <c r="I406" s="4">
        <v>1460.49</v>
      </c>
      <c r="J406" s="7">
        <f>Table1[[#This Row],[Clicks]]/Table1[[#This Row],[Impressions]]</f>
        <v>2.2686832740213523E-2</v>
      </c>
      <c r="K406" s="7">
        <f>IFERROR(Table1[[#This Row],[Conversions]]/Table1[[#This Row],[Clicks]],0)</f>
        <v>5.8823529411764705E-2</v>
      </c>
      <c r="L406" s="6">
        <f>IF(Table1[[#This Row],[Conversions]]=0,0,Table1[[#This Row],[Ad Spend]]/Table1[[#This Row],[Conversions]])</f>
        <v>226.79277777777779</v>
      </c>
      <c r="M406" s="8">
        <f>IF(Table1[[#This Row],[Ad Spend]]=0,0,Table1[[#This Row],[Revenue]]/Table1[[#This Row],[Ad Spend]])</f>
        <v>0.35776418512249314</v>
      </c>
      <c r="N406">
        <f>YEAR(Table1[[#This Row],[Date]])</f>
        <v>2024</v>
      </c>
      <c r="O406" t="str">
        <f>TEXT(Table1[[#This Row],[Date]],"mmm")</f>
        <v>Jul</v>
      </c>
      <c r="P406">
        <f>MONTH(Table1[[#This Row],[Date]])</f>
        <v>7</v>
      </c>
    </row>
    <row r="407" spans="1:16" x14ac:dyDescent="0.25">
      <c r="A407" t="s">
        <v>426</v>
      </c>
      <c r="B407" t="s">
        <v>9</v>
      </c>
      <c r="C407" t="s">
        <v>17</v>
      </c>
      <c r="D407" s="1">
        <v>45364</v>
      </c>
      <c r="E407">
        <v>91813</v>
      </c>
      <c r="F407">
        <v>5708</v>
      </c>
      <c r="G407">
        <v>290</v>
      </c>
      <c r="H407" s="4">
        <v>4915.42</v>
      </c>
      <c r="I407" s="4">
        <v>10668.74</v>
      </c>
      <c r="J407" s="7">
        <f>Table1[[#This Row],[Clicks]]/Table1[[#This Row],[Impressions]]</f>
        <v>6.2169845228889152E-2</v>
      </c>
      <c r="K407" s="7">
        <f>IFERROR(Table1[[#This Row],[Conversions]]/Table1[[#This Row],[Clicks]],0)</f>
        <v>5.0805886475122637E-2</v>
      </c>
      <c r="L407" s="6">
        <f>IF(Table1[[#This Row],[Conversions]]=0,0,Table1[[#This Row],[Ad Spend]]/Table1[[#This Row],[Conversions]])</f>
        <v>16.949724137931035</v>
      </c>
      <c r="M407" s="8">
        <f>IF(Table1[[#This Row],[Ad Spend]]=0,0,Table1[[#This Row],[Revenue]]/Table1[[#This Row],[Ad Spend]])</f>
        <v>2.1704635616081638</v>
      </c>
      <c r="N407">
        <f>YEAR(Table1[[#This Row],[Date]])</f>
        <v>2024</v>
      </c>
      <c r="O407" t="str">
        <f>TEXT(Table1[[#This Row],[Date]],"mmm")</f>
        <v>Mar</v>
      </c>
      <c r="P407">
        <f>MONTH(Table1[[#This Row],[Date]])</f>
        <v>3</v>
      </c>
    </row>
    <row r="408" spans="1:16" x14ac:dyDescent="0.25">
      <c r="A408" t="s">
        <v>427</v>
      </c>
      <c r="B408" t="s">
        <v>9</v>
      </c>
      <c r="C408" t="s">
        <v>19</v>
      </c>
      <c r="D408" s="1">
        <v>45520</v>
      </c>
      <c r="E408">
        <v>7987</v>
      </c>
      <c r="F408">
        <v>228</v>
      </c>
      <c r="G408">
        <v>11</v>
      </c>
      <c r="H408" s="4">
        <v>525.41</v>
      </c>
      <c r="I408" s="4">
        <v>502.32</v>
      </c>
      <c r="J408" s="7">
        <f>Table1[[#This Row],[Clicks]]/Table1[[#This Row],[Impressions]]</f>
        <v>2.8546387880305498E-2</v>
      </c>
      <c r="K408" s="7">
        <f>IFERROR(Table1[[#This Row],[Conversions]]/Table1[[#This Row],[Clicks]],0)</f>
        <v>4.8245614035087717E-2</v>
      </c>
      <c r="L408" s="6">
        <f>IF(Table1[[#This Row],[Conversions]]=0,0,Table1[[#This Row],[Ad Spend]]/Table1[[#This Row],[Conversions]])</f>
        <v>47.764545454545448</v>
      </c>
      <c r="M408" s="8">
        <f>IF(Table1[[#This Row],[Ad Spend]]=0,0,Table1[[#This Row],[Revenue]]/Table1[[#This Row],[Ad Spend]])</f>
        <v>0.9560533678460631</v>
      </c>
      <c r="N408">
        <f>YEAR(Table1[[#This Row],[Date]])</f>
        <v>2024</v>
      </c>
      <c r="O408" t="str">
        <f>TEXT(Table1[[#This Row],[Date]],"mmm")</f>
        <v>Aug</v>
      </c>
      <c r="P408">
        <f>MONTH(Table1[[#This Row],[Date]])</f>
        <v>8</v>
      </c>
    </row>
    <row r="409" spans="1:16" x14ac:dyDescent="0.25">
      <c r="A409" t="s">
        <v>428</v>
      </c>
      <c r="B409" t="s">
        <v>9</v>
      </c>
      <c r="C409" t="s">
        <v>10</v>
      </c>
      <c r="D409" s="1">
        <v>45316</v>
      </c>
      <c r="E409">
        <v>106171</v>
      </c>
      <c r="F409">
        <v>4318</v>
      </c>
      <c r="G409">
        <v>321</v>
      </c>
      <c r="H409" s="4">
        <v>998.42</v>
      </c>
      <c r="I409" s="4">
        <v>19710.02</v>
      </c>
      <c r="J409" s="7">
        <f>Table1[[#This Row],[Clicks]]/Table1[[#This Row],[Impressions]]</f>
        <v>4.0670239519266092E-2</v>
      </c>
      <c r="K409" s="7">
        <f>IFERROR(Table1[[#This Row],[Conversions]]/Table1[[#This Row],[Clicks]],0)</f>
        <v>7.4339972209356189E-2</v>
      </c>
      <c r="L409" s="6">
        <f>IF(Table1[[#This Row],[Conversions]]=0,0,Table1[[#This Row],[Ad Spend]]/Table1[[#This Row],[Conversions]])</f>
        <v>3.1103426791277258</v>
      </c>
      <c r="M409" s="8">
        <f>IF(Table1[[#This Row],[Ad Spend]]=0,0,Table1[[#This Row],[Revenue]]/Table1[[#This Row],[Ad Spend]])</f>
        <v>19.741211113559427</v>
      </c>
      <c r="N409">
        <f>YEAR(Table1[[#This Row],[Date]])</f>
        <v>2024</v>
      </c>
      <c r="O409" t="str">
        <f>TEXT(Table1[[#This Row],[Date]],"mmm")</f>
        <v>Jan</v>
      </c>
      <c r="P409">
        <f>MONTH(Table1[[#This Row],[Date]])</f>
        <v>1</v>
      </c>
    </row>
    <row r="410" spans="1:16" x14ac:dyDescent="0.25">
      <c r="A410" t="s">
        <v>429</v>
      </c>
      <c r="B410" t="s">
        <v>21</v>
      </c>
      <c r="C410" t="s">
        <v>19</v>
      </c>
      <c r="D410" s="1">
        <v>45571</v>
      </c>
      <c r="E410">
        <v>103395</v>
      </c>
      <c r="F410">
        <v>1768</v>
      </c>
      <c r="G410">
        <v>145</v>
      </c>
      <c r="H410" s="4">
        <v>4347.4399999999996</v>
      </c>
      <c r="I410" s="4">
        <v>12339.06</v>
      </c>
      <c r="J410" s="7">
        <f>Table1[[#This Row],[Clicks]]/Table1[[#This Row],[Impressions]]</f>
        <v>1.7099472895207697E-2</v>
      </c>
      <c r="K410" s="7">
        <f>IFERROR(Table1[[#This Row],[Conversions]]/Table1[[#This Row],[Clicks]],0)</f>
        <v>8.2013574660633484E-2</v>
      </c>
      <c r="L410" s="6">
        <f>IF(Table1[[#This Row],[Conversions]]=0,0,Table1[[#This Row],[Ad Spend]]/Table1[[#This Row],[Conversions]])</f>
        <v>29.982344827586203</v>
      </c>
      <c r="M410" s="8">
        <f>IF(Table1[[#This Row],[Ad Spend]]=0,0,Table1[[#This Row],[Revenue]]/Table1[[#This Row],[Ad Spend]])</f>
        <v>2.8382358353421786</v>
      </c>
      <c r="N410">
        <f>YEAR(Table1[[#This Row],[Date]])</f>
        <v>2024</v>
      </c>
      <c r="O410" t="str">
        <f>TEXT(Table1[[#This Row],[Date]],"mmm")</f>
        <v>Oct</v>
      </c>
      <c r="P410">
        <f>MONTH(Table1[[#This Row],[Date]])</f>
        <v>10</v>
      </c>
    </row>
    <row r="411" spans="1:16" x14ac:dyDescent="0.25">
      <c r="A411" t="s">
        <v>430</v>
      </c>
      <c r="B411" t="s">
        <v>14</v>
      </c>
      <c r="C411" t="s">
        <v>37</v>
      </c>
      <c r="D411" s="1">
        <v>45523</v>
      </c>
      <c r="E411">
        <v>24322</v>
      </c>
      <c r="F411">
        <v>1603</v>
      </c>
      <c r="G411">
        <v>39</v>
      </c>
      <c r="H411" s="4">
        <v>296.37</v>
      </c>
      <c r="I411" s="4">
        <v>1798.4</v>
      </c>
      <c r="J411" s="7">
        <f>Table1[[#This Row],[Clicks]]/Table1[[#This Row],[Impressions]]</f>
        <v>6.5907408930186664E-2</v>
      </c>
      <c r="K411" s="7">
        <f>IFERROR(Table1[[#This Row],[Conversions]]/Table1[[#This Row],[Clicks]],0)</f>
        <v>2.4329382407985028E-2</v>
      </c>
      <c r="L411" s="6">
        <f>IF(Table1[[#This Row],[Conversions]]=0,0,Table1[[#This Row],[Ad Spend]]/Table1[[#This Row],[Conversions]])</f>
        <v>7.5992307692307692</v>
      </c>
      <c r="M411" s="8">
        <f>IF(Table1[[#This Row],[Ad Spend]]=0,0,Table1[[#This Row],[Revenue]]/Table1[[#This Row],[Ad Spend]])</f>
        <v>6.0680905624725847</v>
      </c>
      <c r="N411">
        <f>YEAR(Table1[[#This Row],[Date]])</f>
        <v>2024</v>
      </c>
      <c r="O411" t="str">
        <f>TEXT(Table1[[#This Row],[Date]],"mmm")</f>
        <v>Aug</v>
      </c>
      <c r="P411">
        <f>MONTH(Table1[[#This Row],[Date]])</f>
        <v>8</v>
      </c>
    </row>
    <row r="412" spans="1:16" x14ac:dyDescent="0.25">
      <c r="A412" t="s">
        <v>431</v>
      </c>
      <c r="B412" t="s">
        <v>9</v>
      </c>
      <c r="C412" t="s">
        <v>10</v>
      </c>
      <c r="D412" s="1">
        <v>45467</v>
      </c>
      <c r="E412">
        <v>49592</v>
      </c>
      <c r="F412">
        <v>3578</v>
      </c>
      <c r="G412">
        <v>146</v>
      </c>
      <c r="H412" s="4">
        <v>560.01</v>
      </c>
      <c r="I412" s="4">
        <v>16670.78</v>
      </c>
      <c r="J412" s="7">
        <f>Table1[[#This Row],[Clicks]]/Table1[[#This Row],[Impressions]]</f>
        <v>7.2148733666720435E-2</v>
      </c>
      <c r="K412" s="7">
        <f>IFERROR(Table1[[#This Row],[Conversions]]/Table1[[#This Row],[Clicks]],0)</f>
        <v>4.0804918949133594E-2</v>
      </c>
      <c r="L412" s="6">
        <f>IF(Table1[[#This Row],[Conversions]]=0,0,Table1[[#This Row],[Ad Spend]]/Table1[[#This Row],[Conversions]])</f>
        <v>3.8356849315068491</v>
      </c>
      <c r="M412" s="8">
        <f>IF(Table1[[#This Row],[Ad Spend]]=0,0,Table1[[#This Row],[Revenue]]/Table1[[#This Row],[Ad Spend]])</f>
        <v>29.768718415742576</v>
      </c>
      <c r="N412">
        <f>YEAR(Table1[[#This Row],[Date]])</f>
        <v>2024</v>
      </c>
      <c r="O412" t="str">
        <f>TEXT(Table1[[#This Row],[Date]],"mmm")</f>
        <v>Jun</v>
      </c>
      <c r="P412">
        <f>MONTH(Table1[[#This Row],[Date]])</f>
        <v>6</v>
      </c>
    </row>
    <row r="413" spans="1:16" x14ac:dyDescent="0.25">
      <c r="A413" t="s">
        <v>432</v>
      </c>
      <c r="B413" t="s">
        <v>9</v>
      </c>
      <c r="C413" t="s">
        <v>19</v>
      </c>
      <c r="D413" s="1">
        <v>45596</v>
      </c>
      <c r="E413">
        <v>131546</v>
      </c>
      <c r="F413">
        <v>7802</v>
      </c>
      <c r="G413">
        <v>593</v>
      </c>
      <c r="H413" s="4">
        <v>3337.45</v>
      </c>
      <c r="I413" s="4">
        <v>47873.94</v>
      </c>
      <c r="J413" s="7">
        <f>Table1[[#This Row],[Clicks]]/Table1[[#This Row],[Impressions]]</f>
        <v>5.9310051236829704E-2</v>
      </c>
      <c r="K413" s="7">
        <f>IFERROR(Table1[[#This Row],[Conversions]]/Table1[[#This Row],[Clicks]],0)</f>
        <v>7.6006152268649069E-2</v>
      </c>
      <c r="L413" s="6">
        <f>IF(Table1[[#This Row],[Conversions]]=0,0,Table1[[#This Row],[Ad Spend]]/Table1[[#This Row],[Conversions]])</f>
        <v>5.6280775716694773</v>
      </c>
      <c r="M413" s="8">
        <f>IF(Table1[[#This Row],[Ad Spend]]=0,0,Table1[[#This Row],[Revenue]]/Table1[[#This Row],[Ad Spend]])</f>
        <v>14.344466583769046</v>
      </c>
      <c r="N413">
        <f>YEAR(Table1[[#This Row],[Date]])</f>
        <v>2024</v>
      </c>
      <c r="O413" t="str">
        <f>TEXT(Table1[[#This Row],[Date]],"mmm")</f>
        <v>Oct</v>
      </c>
      <c r="P413">
        <f>MONTH(Table1[[#This Row],[Date]])</f>
        <v>10</v>
      </c>
    </row>
    <row r="414" spans="1:16" x14ac:dyDescent="0.25">
      <c r="A414" t="s">
        <v>433</v>
      </c>
      <c r="B414" t="s">
        <v>21</v>
      </c>
      <c r="C414" t="s">
        <v>37</v>
      </c>
      <c r="D414" s="1">
        <v>45319</v>
      </c>
      <c r="E414">
        <v>31544</v>
      </c>
      <c r="F414">
        <v>1046</v>
      </c>
      <c r="G414">
        <v>153</v>
      </c>
      <c r="H414" s="4">
        <v>2164.54</v>
      </c>
      <c r="I414" s="4">
        <v>11537.92</v>
      </c>
      <c r="J414" s="7">
        <f>Table1[[#This Row],[Clicks]]/Table1[[#This Row],[Impressions]]</f>
        <v>3.3160030433679939E-2</v>
      </c>
      <c r="K414" s="7">
        <f>IFERROR(Table1[[#This Row],[Conversions]]/Table1[[#This Row],[Clicks]],0)</f>
        <v>0.1462715105162524</v>
      </c>
      <c r="L414" s="6">
        <f>IF(Table1[[#This Row],[Conversions]]=0,0,Table1[[#This Row],[Ad Spend]]/Table1[[#This Row],[Conversions]])</f>
        <v>14.147320261437908</v>
      </c>
      <c r="M414" s="8">
        <f>IF(Table1[[#This Row],[Ad Spend]]=0,0,Table1[[#This Row],[Revenue]]/Table1[[#This Row],[Ad Spend]])</f>
        <v>5.3304258641558944</v>
      </c>
      <c r="N414">
        <f>YEAR(Table1[[#This Row],[Date]])</f>
        <v>2024</v>
      </c>
      <c r="O414" t="str">
        <f>TEXT(Table1[[#This Row],[Date]],"mmm")</f>
        <v>Jan</v>
      </c>
      <c r="P414">
        <f>MONTH(Table1[[#This Row],[Date]])</f>
        <v>1</v>
      </c>
    </row>
    <row r="415" spans="1:16" x14ac:dyDescent="0.25">
      <c r="A415" t="s">
        <v>434</v>
      </c>
      <c r="B415" t="s">
        <v>34</v>
      </c>
      <c r="C415" t="s">
        <v>19</v>
      </c>
      <c r="D415" s="1">
        <v>45444</v>
      </c>
      <c r="E415">
        <v>67271</v>
      </c>
      <c r="F415">
        <v>1124</v>
      </c>
      <c r="G415">
        <v>79</v>
      </c>
      <c r="H415" s="4">
        <v>2838.38</v>
      </c>
      <c r="I415" s="4">
        <v>5458.49</v>
      </c>
      <c r="J415" s="7">
        <f>Table1[[#This Row],[Clicks]]/Table1[[#This Row],[Impressions]]</f>
        <v>1.6708537111087989E-2</v>
      </c>
      <c r="K415" s="7">
        <f>IFERROR(Table1[[#This Row],[Conversions]]/Table1[[#This Row],[Clicks]],0)</f>
        <v>7.0284697508896793E-2</v>
      </c>
      <c r="L415" s="6">
        <f>IF(Table1[[#This Row],[Conversions]]=0,0,Table1[[#This Row],[Ad Spend]]/Table1[[#This Row],[Conversions]])</f>
        <v>35.928860759493674</v>
      </c>
      <c r="M415" s="8">
        <f>IF(Table1[[#This Row],[Ad Spend]]=0,0,Table1[[#This Row],[Revenue]]/Table1[[#This Row],[Ad Spend]])</f>
        <v>1.9231005009900013</v>
      </c>
      <c r="N415">
        <f>YEAR(Table1[[#This Row],[Date]])</f>
        <v>2024</v>
      </c>
      <c r="O415" t="str">
        <f>TEXT(Table1[[#This Row],[Date]],"mmm")</f>
        <v>Jun</v>
      </c>
      <c r="P415">
        <f>MONTH(Table1[[#This Row],[Date]])</f>
        <v>6</v>
      </c>
    </row>
    <row r="416" spans="1:16" x14ac:dyDescent="0.25">
      <c r="A416" t="s">
        <v>435</v>
      </c>
      <c r="B416" t="s">
        <v>31</v>
      </c>
      <c r="C416" t="s">
        <v>19</v>
      </c>
      <c r="D416" s="1">
        <v>45293</v>
      </c>
      <c r="E416">
        <v>117094</v>
      </c>
      <c r="F416">
        <v>1889</v>
      </c>
      <c r="G416">
        <v>240</v>
      </c>
      <c r="H416" s="4">
        <v>3200.44</v>
      </c>
      <c r="I416" s="4">
        <v>16327.88</v>
      </c>
      <c r="J416" s="7">
        <f>Table1[[#This Row],[Clicks]]/Table1[[#This Row],[Impressions]]</f>
        <v>1.6132338121509215E-2</v>
      </c>
      <c r="K416" s="7">
        <f>IFERROR(Table1[[#This Row],[Conversions]]/Table1[[#This Row],[Clicks]],0)</f>
        <v>0.12705134992059292</v>
      </c>
      <c r="L416" s="6">
        <f>IF(Table1[[#This Row],[Conversions]]=0,0,Table1[[#This Row],[Ad Spend]]/Table1[[#This Row],[Conversions]])</f>
        <v>13.335166666666668</v>
      </c>
      <c r="M416" s="8">
        <f>IF(Table1[[#This Row],[Ad Spend]]=0,0,Table1[[#This Row],[Revenue]]/Table1[[#This Row],[Ad Spend]])</f>
        <v>5.1017610078614188</v>
      </c>
      <c r="N416">
        <f>YEAR(Table1[[#This Row],[Date]])</f>
        <v>2024</v>
      </c>
      <c r="O416" t="str">
        <f>TEXT(Table1[[#This Row],[Date]],"mmm")</f>
        <v>Jan</v>
      </c>
      <c r="P416">
        <f>MONTH(Table1[[#This Row],[Date]])</f>
        <v>1</v>
      </c>
    </row>
    <row r="417" spans="1:16" x14ac:dyDescent="0.25">
      <c r="A417" t="s">
        <v>436</v>
      </c>
      <c r="B417" t="s">
        <v>9</v>
      </c>
      <c r="C417" t="s">
        <v>10</v>
      </c>
      <c r="D417" s="1">
        <v>45397</v>
      </c>
      <c r="E417">
        <v>49782</v>
      </c>
      <c r="F417">
        <v>2721</v>
      </c>
      <c r="G417">
        <v>400</v>
      </c>
      <c r="H417" s="4">
        <v>2473.14</v>
      </c>
      <c r="I417" s="4">
        <v>12620.36</v>
      </c>
      <c r="J417" s="7">
        <f>Table1[[#This Row],[Clicks]]/Table1[[#This Row],[Impressions]]</f>
        <v>5.46583102326142E-2</v>
      </c>
      <c r="K417" s="7">
        <f>IFERROR(Table1[[#This Row],[Conversions]]/Table1[[#This Row],[Clicks]],0)</f>
        <v>0.14700477765527378</v>
      </c>
      <c r="L417" s="6">
        <f>IF(Table1[[#This Row],[Conversions]]=0,0,Table1[[#This Row],[Ad Spend]]/Table1[[#This Row],[Conversions]])</f>
        <v>6.1828499999999993</v>
      </c>
      <c r="M417" s="8">
        <f>IF(Table1[[#This Row],[Ad Spend]]=0,0,Table1[[#This Row],[Revenue]]/Table1[[#This Row],[Ad Spend]])</f>
        <v>5.1029703130433379</v>
      </c>
      <c r="N417">
        <f>YEAR(Table1[[#This Row],[Date]])</f>
        <v>2024</v>
      </c>
      <c r="O417" t="str">
        <f>TEXT(Table1[[#This Row],[Date]],"mmm")</f>
        <v>Apr</v>
      </c>
      <c r="P417">
        <f>MONTH(Table1[[#This Row],[Date]])</f>
        <v>4</v>
      </c>
    </row>
    <row r="418" spans="1:16" x14ac:dyDescent="0.25">
      <c r="A418" t="s">
        <v>437</v>
      </c>
      <c r="B418" t="s">
        <v>21</v>
      </c>
      <c r="C418" t="s">
        <v>17</v>
      </c>
      <c r="D418" s="1">
        <v>45542</v>
      </c>
      <c r="E418">
        <v>74469</v>
      </c>
      <c r="F418">
        <v>1219</v>
      </c>
      <c r="G418">
        <v>110</v>
      </c>
      <c r="H418" s="4">
        <v>1087.43</v>
      </c>
      <c r="I418" s="4">
        <v>11940.42</v>
      </c>
      <c r="J418" s="7">
        <f>Table1[[#This Row],[Clicks]]/Table1[[#This Row],[Impressions]]</f>
        <v>1.6369227463776875E-2</v>
      </c>
      <c r="K418" s="7">
        <f>IFERROR(Table1[[#This Row],[Conversions]]/Table1[[#This Row],[Clicks]],0)</f>
        <v>9.0237899917965547E-2</v>
      </c>
      <c r="L418" s="6">
        <f>IF(Table1[[#This Row],[Conversions]]=0,0,Table1[[#This Row],[Ad Spend]]/Table1[[#This Row],[Conversions]])</f>
        <v>9.8857272727272729</v>
      </c>
      <c r="M418" s="8">
        <f>IF(Table1[[#This Row],[Ad Spend]]=0,0,Table1[[#This Row],[Revenue]]/Table1[[#This Row],[Ad Spend]])</f>
        <v>10.980403336306704</v>
      </c>
      <c r="N418">
        <f>YEAR(Table1[[#This Row],[Date]])</f>
        <v>2024</v>
      </c>
      <c r="O418" t="str">
        <f>TEXT(Table1[[#This Row],[Date]],"mmm")</f>
        <v>Sept</v>
      </c>
      <c r="P418">
        <f>MONTH(Table1[[#This Row],[Date]])</f>
        <v>9</v>
      </c>
    </row>
    <row r="419" spans="1:16" x14ac:dyDescent="0.25">
      <c r="A419" t="s">
        <v>438</v>
      </c>
      <c r="B419" t="s">
        <v>47</v>
      </c>
      <c r="C419" t="s">
        <v>37</v>
      </c>
      <c r="D419" s="1">
        <v>45520</v>
      </c>
      <c r="E419">
        <v>16696</v>
      </c>
      <c r="F419">
        <v>474</v>
      </c>
      <c r="G419">
        <v>38</v>
      </c>
      <c r="H419" s="4">
        <v>1285.96</v>
      </c>
      <c r="I419" s="4">
        <v>1780.54</v>
      </c>
      <c r="J419" s="7">
        <f>Table1[[#This Row],[Clicks]]/Table1[[#This Row],[Impressions]]</f>
        <v>2.8390033540967897E-2</v>
      </c>
      <c r="K419" s="7">
        <f>IFERROR(Table1[[#This Row],[Conversions]]/Table1[[#This Row],[Clicks]],0)</f>
        <v>8.0168776371308023E-2</v>
      </c>
      <c r="L419" s="6">
        <f>IF(Table1[[#This Row],[Conversions]]=0,0,Table1[[#This Row],[Ad Spend]]/Table1[[#This Row],[Conversions]])</f>
        <v>33.841052631578947</v>
      </c>
      <c r="M419" s="8">
        <f>IF(Table1[[#This Row],[Ad Spend]]=0,0,Table1[[#This Row],[Revenue]]/Table1[[#This Row],[Ad Spend]])</f>
        <v>1.3845998320321005</v>
      </c>
      <c r="N419">
        <f>YEAR(Table1[[#This Row],[Date]])</f>
        <v>2024</v>
      </c>
      <c r="O419" t="str">
        <f>TEXT(Table1[[#This Row],[Date]],"mmm")</f>
        <v>Aug</v>
      </c>
      <c r="P419">
        <f>MONTH(Table1[[#This Row],[Date]])</f>
        <v>8</v>
      </c>
    </row>
    <row r="420" spans="1:16" x14ac:dyDescent="0.25">
      <c r="A420" t="s">
        <v>439</v>
      </c>
      <c r="B420" t="s">
        <v>31</v>
      </c>
      <c r="C420" t="s">
        <v>37</v>
      </c>
      <c r="D420" s="1">
        <v>45677</v>
      </c>
      <c r="E420">
        <v>30350</v>
      </c>
      <c r="F420">
        <v>485</v>
      </c>
      <c r="G420">
        <v>31</v>
      </c>
      <c r="H420" s="4">
        <v>2798.96</v>
      </c>
      <c r="I420" s="4">
        <v>3629.19</v>
      </c>
      <c r="J420" s="7">
        <f>Table1[[#This Row],[Clicks]]/Table1[[#This Row],[Impressions]]</f>
        <v>1.5980230642504117E-2</v>
      </c>
      <c r="K420" s="7">
        <f>IFERROR(Table1[[#This Row],[Conversions]]/Table1[[#This Row],[Clicks]],0)</f>
        <v>6.3917525773195871E-2</v>
      </c>
      <c r="L420" s="6">
        <f>IF(Table1[[#This Row],[Conversions]]=0,0,Table1[[#This Row],[Ad Spend]]/Table1[[#This Row],[Conversions]])</f>
        <v>90.289032258064523</v>
      </c>
      <c r="M420" s="8">
        <f>IF(Table1[[#This Row],[Ad Spend]]=0,0,Table1[[#This Row],[Revenue]]/Table1[[#This Row],[Ad Spend]])</f>
        <v>1.2966208877583103</v>
      </c>
      <c r="N420">
        <f>YEAR(Table1[[#This Row],[Date]])</f>
        <v>2025</v>
      </c>
      <c r="O420" t="str">
        <f>TEXT(Table1[[#This Row],[Date]],"mmm")</f>
        <v>Jan</v>
      </c>
      <c r="P420">
        <f>MONTH(Table1[[#This Row],[Date]])</f>
        <v>1</v>
      </c>
    </row>
    <row r="421" spans="1:16" x14ac:dyDescent="0.25">
      <c r="A421" t="s">
        <v>440</v>
      </c>
      <c r="B421" t="s">
        <v>14</v>
      </c>
      <c r="C421" t="s">
        <v>12</v>
      </c>
      <c r="D421" s="1">
        <v>45323</v>
      </c>
      <c r="E421">
        <v>106477</v>
      </c>
      <c r="F421">
        <v>7164</v>
      </c>
      <c r="G421">
        <v>533</v>
      </c>
      <c r="H421" s="4">
        <v>2770.47</v>
      </c>
      <c r="I421" s="4">
        <v>56865.45</v>
      </c>
      <c r="J421" s="7">
        <f>Table1[[#This Row],[Clicks]]/Table1[[#This Row],[Impressions]]</f>
        <v>6.7282136048160635E-2</v>
      </c>
      <c r="K421" s="7">
        <f>IFERROR(Table1[[#This Row],[Conversions]]/Table1[[#This Row],[Clicks]],0)</f>
        <v>7.4399776661083189E-2</v>
      </c>
      <c r="L421" s="6">
        <f>IF(Table1[[#This Row],[Conversions]]=0,0,Table1[[#This Row],[Ad Spend]]/Table1[[#This Row],[Conversions]])</f>
        <v>5.1978799249530949</v>
      </c>
      <c r="M421" s="8">
        <f>IF(Table1[[#This Row],[Ad Spend]]=0,0,Table1[[#This Row],[Revenue]]/Table1[[#This Row],[Ad Spend]])</f>
        <v>20.525560644944722</v>
      </c>
      <c r="N421">
        <f>YEAR(Table1[[#This Row],[Date]])</f>
        <v>2024</v>
      </c>
      <c r="O421" t="str">
        <f>TEXT(Table1[[#This Row],[Date]],"mmm")</f>
        <v>Feb</v>
      </c>
      <c r="P421">
        <f>MONTH(Table1[[#This Row],[Date]])</f>
        <v>2</v>
      </c>
    </row>
    <row r="422" spans="1:16" x14ac:dyDescent="0.25">
      <c r="A422" t="s">
        <v>441</v>
      </c>
      <c r="B422" t="s">
        <v>41</v>
      </c>
      <c r="C422" t="s">
        <v>12</v>
      </c>
      <c r="D422" s="1">
        <v>45412</v>
      </c>
      <c r="E422">
        <v>129849</v>
      </c>
      <c r="F422">
        <v>4014</v>
      </c>
      <c r="G422">
        <v>286</v>
      </c>
      <c r="H422" s="4">
        <v>4298.91</v>
      </c>
      <c r="I422" s="4">
        <v>6713.23</v>
      </c>
      <c r="J422" s="7">
        <f>Table1[[#This Row],[Clicks]]/Table1[[#This Row],[Impressions]]</f>
        <v>3.0912829517362475E-2</v>
      </c>
      <c r="K422" s="7">
        <f>IFERROR(Table1[[#This Row],[Conversions]]/Table1[[#This Row],[Clicks]],0)</f>
        <v>7.1250622820129547E-2</v>
      </c>
      <c r="L422" s="6">
        <f>IF(Table1[[#This Row],[Conversions]]=0,0,Table1[[#This Row],[Ad Spend]]/Table1[[#This Row],[Conversions]])</f>
        <v>15.031153846153845</v>
      </c>
      <c r="M422" s="8">
        <f>IF(Table1[[#This Row],[Ad Spend]]=0,0,Table1[[#This Row],[Revenue]]/Table1[[#This Row],[Ad Spend]])</f>
        <v>1.561612129586337</v>
      </c>
      <c r="N422">
        <f>YEAR(Table1[[#This Row],[Date]])</f>
        <v>2024</v>
      </c>
      <c r="O422" t="str">
        <f>TEXT(Table1[[#This Row],[Date]],"mmm")</f>
        <v>Apr</v>
      </c>
      <c r="P422">
        <f>MONTH(Table1[[#This Row],[Date]])</f>
        <v>4</v>
      </c>
    </row>
    <row r="423" spans="1:16" x14ac:dyDescent="0.25">
      <c r="A423" t="s">
        <v>442</v>
      </c>
      <c r="B423" t="s">
        <v>16</v>
      </c>
      <c r="C423" t="s">
        <v>10</v>
      </c>
      <c r="D423" s="1">
        <v>45679</v>
      </c>
      <c r="E423">
        <v>122713</v>
      </c>
      <c r="F423">
        <v>2712</v>
      </c>
      <c r="G423">
        <v>401</v>
      </c>
      <c r="H423" s="4">
        <v>4866.3900000000003</v>
      </c>
      <c r="I423" s="4">
        <v>40439.269999999997</v>
      </c>
      <c r="J423" s="7">
        <f>Table1[[#This Row],[Clicks]]/Table1[[#This Row],[Impressions]]</f>
        <v>2.2100347966393128E-2</v>
      </c>
      <c r="K423" s="7">
        <f>IFERROR(Table1[[#This Row],[Conversions]]/Table1[[#This Row],[Clicks]],0)</f>
        <v>0.14786135693215338</v>
      </c>
      <c r="L423" s="6">
        <f>IF(Table1[[#This Row],[Conversions]]=0,0,Table1[[#This Row],[Ad Spend]]/Table1[[#This Row],[Conversions]])</f>
        <v>12.13563591022444</v>
      </c>
      <c r="M423" s="8">
        <f>IF(Table1[[#This Row],[Ad Spend]]=0,0,Table1[[#This Row],[Revenue]]/Table1[[#This Row],[Ad Spend]])</f>
        <v>8.3099114538703223</v>
      </c>
      <c r="N423">
        <f>YEAR(Table1[[#This Row],[Date]])</f>
        <v>2025</v>
      </c>
      <c r="O423" t="str">
        <f>TEXT(Table1[[#This Row],[Date]],"mmm")</f>
        <v>Jan</v>
      </c>
      <c r="P423">
        <f>MONTH(Table1[[#This Row],[Date]])</f>
        <v>1</v>
      </c>
    </row>
    <row r="424" spans="1:16" x14ac:dyDescent="0.25">
      <c r="A424" t="s">
        <v>443</v>
      </c>
      <c r="B424" t="s">
        <v>16</v>
      </c>
      <c r="C424" t="s">
        <v>10</v>
      </c>
      <c r="D424" s="1">
        <v>45508</v>
      </c>
      <c r="E424">
        <v>25543</v>
      </c>
      <c r="F424">
        <v>2022</v>
      </c>
      <c r="G424">
        <v>154</v>
      </c>
      <c r="H424" s="4">
        <v>4986.8900000000003</v>
      </c>
      <c r="I424" s="4">
        <v>12739.28</v>
      </c>
      <c r="J424" s="7">
        <f>Table1[[#This Row],[Clicks]]/Table1[[#This Row],[Impressions]]</f>
        <v>7.9160631092667272E-2</v>
      </c>
      <c r="K424" s="7">
        <f>IFERROR(Table1[[#This Row],[Conversions]]/Table1[[#This Row],[Clicks]],0)</f>
        <v>7.6162215628091001E-2</v>
      </c>
      <c r="L424" s="6">
        <f>IF(Table1[[#This Row],[Conversions]]=0,0,Table1[[#This Row],[Ad Spend]]/Table1[[#This Row],[Conversions]])</f>
        <v>32.382402597402603</v>
      </c>
      <c r="M424" s="8">
        <f>IF(Table1[[#This Row],[Ad Spend]]=0,0,Table1[[#This Row],[Revenue]]/Table1[[#This Row],[Ad Spend]])</f>
        <v>2.5545540406947014</v>
      </c>
      <c r="N424">
        <f>YEAR(Table1[[#This Row],[Date]])</f>
        <v>2024</v>
      </c>
      <c r="O424" t="str">
        <f>TEXT(Table1[[#This Row],[Date]],"mmm")</f>
        <v>Aug</v>
      </c>
      <c r="P424">
        <f>MONTH(Table1[[#This Row],[Date]])</f>
        <v>8</v>
      </c>
    </row>
    <row r="425" spans="1:16" x14ac:dyDescent="0.25">
      <c r="A425" t="s">
        <v>444</v>
      </c>
      <c r="B425" t="s">
        <v>34</v>
      </c>
      <c r="C425" t="s">
        <v>19</v>
      </c>
      <c r="D425" s="1">
        <v>45664</v>
      </c>
      <c r="E425">
        <v>22566</v>
      </c>
      <c r="F425">
        <v>363</v>
      </c>
      <c r="G425">
        <v>33</v>
      </c>
      <c r="H425" s="4">
        <v>2849.86</v>
      </c>
      <c r="I425" s="4">
        <v>3486.86</v>
      </c>
      <c r="J425" s="7">
        <f>Table1[[#This Row],[Clicks]]/Table1[[#This Row],[Impressions]]</f>
        <v>1.6086147301249666E-2</v>
      </c>
      <c r="K425" s="7">
        <f>IFERROR(Table1[[#This Row],[Conversions]]/Table1[[#This Row],[Clicks]],0)</f>
        <v>9.0909090909090912E-2</v>
      </c>
      <c r="L425" s="6">
        <f>IF(Table1[[#This Row],[Conversions]]=0,0,Table1[[#This Row],[Ad Spend]]/Table1[[#This Row],[Conversions]])</f>
        <v>86.359393939393939</v>
      </c>
      <c r="M425" s="8">
        <f>IF(Table1[[#This Row],[Ad Spend]]=0,0,Table1[[#This Row],[Revenue]]/Table1[[#This Row],[Ad Spend]])</f>
        <v>1.2235197518474592</v>
      </c>
      <c r="N425">
        <f>YEAR(Table1[[#This Row],[Date]])</f>
        <v>2025</v>
      </c>
      <c r="O425" t="str">
        <f>TEXT(Table1[[#This Row],[Date]],"mmm")</f>
        <v>Jan</v>
      </c>
      <c r="P425">
        <f>MONTH(Table1[[#This Row],[Date]])</f>
        <v>1</v>
      </c>
    </row>
    <row r="426" spans="1:16" x14ac:dyDescent="0.25">
      <c r="A426" t="s">
        <v>445</v>
      </c>
      <c r="B426" t="s">
        <v>41</v>
      </c>
      <c r="C426" t="s">
        <v>10</v>
      </c>
      <c r="D426" s="1">
        <v>45694</v>
      </c>
      <c r="E426">
        <v>141986</v>
      </c>
      <c r="F426">
        <v>9189</v>
      </c>
      <c r="G426">
        <v>318</v>
      </c>
      <c r="H426" s="4">
        <v>918.28</v>
      </c>
      <c r="I426" s="4">
        <v>24377.69</v>
      </c>
      <c r="J426" s="7">
        <f>Table1[[#This Row],[Clicks]]/Table1[[#This Row],[Impressions]]</f>
        <v>6.4717648218838478E-2</v>
      </c>
      <c r="K426" s="7">
        <f>IFERROR(Table1[[#This Row],[Conversions]]/Table1[[#This Row],[Clicks]],0)</f>
        <v>3.4606594841658504E-2</v>
      </c>
      <c r="L426" s="6">
        <f>IF(Table1[[#This Row],[Conversions]]=0,0,Table1[[#This Row],[Ad Spend]]/Table1[[#This Row],[Conversions]])</f>
        <v>2.8876729559748426</v>
      </c>
      <c r="M426" s="8">
        <f>IF(Table1[[#This Row],[Ad Spend]]=0,0,Table1[[#This Row],[Revenue]]/Table1[[#This Row],[Ad Spend]])</f>
        <v>26.54712070392473</v>
      </c>
      <c r="N426">
        <f>YEAR(Table1[[#This Row],[Date]])</f>
        <v>2025</v>
      </c>
      <c r="O426" t="str">
        <f>TEXT(Table1[[#This Row],[Date]],"mmm")</f>
        <v>Feb</v>
      </c>
      <c r="P426">
        <f>MONTH(Table1[[#This Row],[Date]])</f>
        <v>2</v>
      </c>
    </row>
    <row r="427" spans="1:16" x14ac:dyDescent="0.25">
      <c r="A427" t="s">
        <v>446</v>
      </c>
      <c r="B427" t="s">
        <v>9</v>
      </c>
      <c r="C427" t="s">
        <v>10</v>
      </c>
      <c r="D427" s="1">
        <v>45580</v>
      </c>
      <c r="E427">
        <v>31474</v>
      </c>
      <c r="F427">
        <v>2045</v>
      </c>
      <c r="G427">
        <v>271</v>
      </c>
      <c r="H427" s="4">
        <v>4424.6499999999996</v>
      </c>
      <c r="I427" s="4">
        <v>29210.92</v>
      </c>
      <c r="J427" s="7">
        <f>Table1[[#This Row],[Clicks]]/Table1[[#This Row],[Impressions]]</f>
        <v>6.4974264472262816E-2</v>
      </c>
      <c r="K427" s="7">
        <f>IFERROR(Table1[[#This Row],[Conversions]]/Table1[[#This Row],[Clicks]],0)</f>
        <v>0.13251833740831295</v>
      </c>
      <c r="L427" s="6">
        <f>IF(Table1[[#This Row],[Conversions]]=0,0,Table1[[#This Row],[Ad Spend]]/Table1[[#This Row],[Conversions]])</f>
        <v>16.327121771217712</v>
      </c>
      <c r="M427" s="8">
        <f>IF(Table1[[#This Row],[Ad Spend]]=0,0,Table1[[#This Row],[Revenue]]/Table1[[#This Row],[Ad Spend]])</f>
        <v>6.6018600341269931</v>
      </c>
      <c r="N427">
        <f>YEAR(Table1[[#This Row],[Date]])</f>
        <v>2024</v>
      </c>
      <c r="O427" t="str">
        <f>TEXT(Table1[[#This Row],[Date]],"mmm")</f>
        <v>Oct</v>
      </c>
      <c r="P427">
        <f>MONTH(Table1[[#This Row],[Date]])</f>
        <v>10</v>
      </c>
    </row>
    <row r="428" spans="1:16" x14ac:dyDescent="0.25">
      <c r="A428" t="s">
        <v>447</v>
      </c>
      <c r="B428" t="s">
        <v>34</v>
      </c>
      <c r="C428" t="s">
        <v>17</v>
      </c>
      <c r="D428" s="1">
        <v>45627</v>
      </c>
      <c r="E428">
        <v>132293</v>
      </c>
      <c r="F428">
        <v>6620</v>
      </c>
      <c r="G428">
        <v>539</v>
      </c>
      <c r="H428" s="4">
        <v>1026.56</v>
      </c>
      <c r="I428" s="4">
        <v>32500.3</v>
      </c>
      <c r="J428" s="7">
        <f>Table1[[#This Row],[Clicks]]/Table1[[#This Row],[Impressions]]</f>
        <v>5.0040440537292223E-2</v>
      </c>
      <c r="K428" s="7">
        <f>IFERROR(Table1[[#This Row],[Conversions]]/Table1[[#This Row],[Clicks]],0)</f>
        <v>8.1419939577039274E-2</v>
      </c>
      <c r="L428" s="6">
        <f>IF(Table1[[#This Row],[Conversions]]=0,0,Table1[[#This Row],[Ad Spend]]/Table1[[#This Row],[Conversions]])</f>
        <v>1.9045640074211503</v>
      </c>
      <c r="M428" s="8">
        <f>IF(Table1[[#This Row],[Ad Spend]]=0,0,Table1[[#This Row],[Revenue]]/Table1[[#This Row],[Ad Spend]])</f>
        <v>31.659425654613468</v>
      </c>
      <c r="N428">
        <f>YEAR(Table1[[#This Row],[Date]])</f>
        <v>2024</v>
      </c>
      <c r="O428" t="str">
        <f>TEXT(Table1[[#This Row],[Date]],"mmm")</f>
        <v>Dec</v>
      </c>
      <c r="P428">
        <f>MONTH(Table1[[#This Row],[Date]])</f>
        <v>12</v>
      </c>
    </row>
    <row r="429" spans="1:16" x14ac:dyDescent="0.25">
      <c r="A429" t="s">
        <v>448</v>
      </c>
      <c r="B429" t="s">
        <v>21</v>
      </c>
      <c r="C429" t="s">
        <v>10</v>
      </c>
      <c r="D429" s="1">
        <v>45494</v>
      </c>
      <c r="E429">
        <v>91899</v>
      </c>
      <c r="F429">
        <v>5361</v>
      </c>
      <c r="G429">
        <v>141</v>
      </c>
      <c r="H429" s="4">
        <v>2481.0500000000002</v>
      </c>
      <c r="I429" s="4">
        <v>6607.04</v>
      </c>
      <c r="J429" s="7">
        <f>Table1[[#This Row],[Clicks]]/Table1[[#This Row],[Impressions]]</f>
        <v>5.8335781673358796E-2</v>
      </c>
      <c r="K429" s="7">
        <f>IFERROR(Table1[[#This Row],[Conversions]]/Table1[[#This Row],[Clicks]],0)</f>
        <v>2.6301063234471182E-2</v>
      </c>
      <c r="L429" s="6">
        <f>IF(Table1[[#This Row],[Conversions]]=0,0,Table1[[#This Row],[Ad Spend]]/Table1[[#This Row],[Conversions]])</f>
        <v>17.596099290780142</v>
      </c>
      <c r="M429" s="8">
        <f>IF(Table1[[#This Row],[Ad Spend]]=0,0,Table1[[#This Row],[Revenue]]/Table1[[#This Row],[Ad Spend]])</f>
        <v>2.6630015517623584</v>
      </c>
      <c r="N429">
        <f>YEAR(Table1[[#This Row],[Date]])</f>
        <v>2024</v>
      </c>
      <c r="O429" t="str">
        <f>TEXT(Table1[[#This Row],[Date]],"mmm")</f>
        <v>Jul</v>
      </c>
      <c r="P429">
        <f>MONTH(Table1[[#This Row],[Date]])</f>
        <v>7</v>
      </c>
    </row>
    <row r="430" spans="1:16" x14ac:dyDescent="0.25">
      <c r="A430" t="s">
        <v>449</v>
      </c>
      <c r="B430" t="s">
        <v>47</v>
      </c>
      <c r="C430" t="s">
        <v>10</v>
      </c>
      <c r="D430" s="1">
        <v>45464</v>
      </c>
      <c r="E430">
        <v>84444</v>
      </c>
      <c r="F430">
        <v>2682</v>
      </c>
      <c r="G430">
        <v>347</v>
      </c>
      <c r="H430" s="4">
        <v>4319.53</v>
      </c>
      <c r="I430" s="4">
        <v>30704.37</v>
      </c>
      <c r="J430" s="7">
        <f>Table1[[#This Row],[Clicks]]/Table1[[#This Row],[Impressions]]</f>
        <v>3.1760693477334088E-2</v>
      </c>
      <c r="K430" s="7">
        <f>IFERROR(Table1[[#This Row],[Conversions]]/Table1[[#This Row],[Clicks]],0)</f>
        <v>0.12938105891126025</v>
      </c>
      <c r="L430" s="6">
        <f>IF(Table1[[#This Row],[Conversions]]=0,0,Table1[[#This Row],[Ad Spend]]/Table1[[#This Row],[Conversions]])</f>
        <v>12.448213256484149</v>
      </c>
      <c r="M430" s="8">
        <f>IF(Table1[[#This Row],[Ad Spend]]=0,0,Table1[[#This Row],[Revenue]]/Table1[[#This Row],[Ad Spend]])</f>
        <v>7.1082664086139005</v>
      </c>
      <c r="N430">
        <f>YEAR(Table1[[#This Row],[Date]])</f>
        <v>2024</v>
      </c>
      <c r="O430" t="str">
        <f>TEXT(Table1[[#This Row],[Date]],"mmm")</f>
        <v>Jun</v>
      </c>
      <c r="P430">
        <f>MONTH(Table1[[#This Row],[Date]])</f>
        <v>6</v>
      </c>
    </row>
    <row r="431" spans="1:16" x14ac:dyDescent="0.25">
      <c r="A431" t="s">
        <v>450</v>
      </c>
      <c r="B431" t="s">
        <v>14</v>
      </c>
      <c r="C431" t="s">
        <v>37</v>
      </c>
      <c r="D431" s="1">
        <v>45445</v>
      </c>
      <c r="E431">
        <v>121158</v>
      </c>
      <c r="F431">
        <v>7776</v>
      </c>
      <c r="G431">
        <v>479</v>
      </c>
      <c r="H431" s="4">
        <v>3698.24</v>
      </c>
      <c r="I431" s="4">
        <v>38558.5</v>
      </c>
      <c r="J431" s="7">
        <f>Table1[[#This Row],[Clicks]]/Table1[[#This Row],[Impressions]]</f>
        <v>6.4180656663200122E-2</v>
      </c>
      <c r="K431" s="7">
        <f>IFERROR(Table1[[#This Row],[Conversions]]/Table1[[#This Row],[Clicks]],0)</f>
        <v>6.1599794238683128E-2</v>
      </c>
      <c r="L431" s="6">
        <f>IF(Table1[[#This Row],[Conversions]]=0,0,Table1[[#This Row],[Ad Spend]]/Table1[[#This Row],[Conversions]])</f>
        <v>7.7207515657620034</v>
      </c>
      <c r="M431" s="8">
        <f>IF(Table1[[#This Row],[Ad Spend]]=0,0,Table1[[#This Row],[Revenue]]/Table1[[#This Row],[Ad Spend]])</f>
        <v>10.426175694384357</v>
      </c>
      <c r="N431">
        <f>YEAR(Table1[[#This Row],[Date]])</f>
        <v>2024</v>
      </c>
      <c r="O431" t="str">
        <f>TEXT(Table1[[#This Row],[Date]],"mmm")</f>
        <v>Jun</v>
      </c>
      <c r="P431">
        <f>MONTH(Table1[[#This Row],[Date]])</f>
        <v>6</v>
      </c>
    </row>
    <row r="432" spans="1:16" x14ac:dyDescent="0.25">
      <c r="A432" t="s">
        <v>451</v>
      </c>
      <c r="B432" t="s">
        <v>9</v>
      </c>
      <c r="C432" t="s">
        <v>37</v>
      </c>
      <c r="D432" s="1">
        <v>45518</v>
      </c>
      <c r="E432">
        <v>60414</v>
      </c>
      <c r="F432">
        <v>4467</v>
      </c>
      <c r="G432">
        <v>325</v>
      </c>
      <c r="H432" s="4">
        <v>2525.41</v>
      </c>
      <c r="I432" s="4">
        <v>23286.3</v>
      </c>
      <c r="J432" s="7">
        <f>Table1[[#This Row],[Clicks]]/Table1[[#This Row],[Impressions]]</f>
        <v>7.393981527460522E-2</v>
      </c>
      <c r="K432" s="7">
        <f>IFERROR(Table1[[#This Row],[Conversions]]/Table1[[#This Row],[Clicks]],0)</f>
        <v>7.275576449518692E-2</v>
      </c>
      <c r="L432" s="6">
        <f>IF(Table1[[#This Row],[Conversions]]=0,0,Table1[[#This Row],[Ad Spend]]/Table1[[#This Row],[Conversions]])</f>
        <v>7.7704923076923071</v>
      </c>
      <c r="M432" s="8">
        <f>IF(Table1[[#This Row],[Ad Spend]]=0,0,Table1[[#This Row],[Revenue]]/Table1[[#This Row],[Ad Spend]])</f>
        <v>9.2207997909250388</v>
      </c>
      <c r="N432">
        <f>YEAR(Table1[[#This Row],[Date]])</f>
        <v>2024</v>
      </c>
      <c r="O432" t="str">
        <f>TEXT(Table1[[#This Row],[Date]],"mmm")</f>
        <v>Aug</v>
      </c>
      <c r="P432">
        <f>MONTH(Table1[[#This Row],[Date]])</f>
        <v>8</v>
      </c>
    </row>
    <row r="433" spans="1:16" x14ac:dyDescent="0.25">
      <c r="A433" t="s">
        <v>452</v>
      </c>
      <c r="B433" t="s">
        <v>47</v>
      </c>
      <c r="C433" t="s">
        <v>10</v>
      </c>
      <c r="D433" s="1">
        <v>45555</v>
      </c>
      <c r="E433">
        <v>46673</v>
      </c>
      <c r="F433">
        <v>681</v>
      </c>
      <c r="G433">
        <v>76</v>
      </c>
      <c r="H433" s="4">
        <v>2136.25</v>
      </c>
      <c r="I433" s="4">
        <v>7451.92</v>
      </c>
      <c r="J433" s="7">
        <f>Table1[[#This Row],[Clicks]]/Table1[[#This Row],[Impressions]]</f>
        <v>1.45908769524136E-2</v>
      </c>
      <c r="K433" s="7">
        <f>IFERROR(Table1[[#This Row],[Conversions]]/Table1[[#This Row],[Clicks]],0)</f>
        <v>0.11160058737151249</v>
      </c>
      <c r="L433" s="6">
        <f>IF(Table1[[#This Row],[Conversions]]=0,0,Table1[[#This Row],[Ad Spend]]/Table1[[#This Row],[Conversions]])</f>
        <v>28.108552631578949</v>
      </c>
      <c r="M433" s="8">
        <f>IF(Table1[[#This Row],[Ad Spend]]=0,0,Table1[[#This Row],[Revenue]]/Table1[[#This Row],[Ad Spend]])</f>
        <v>3.4883183148039789</v>
      </c>
      <c r="N433">
        <f>YEAR(Table1[[#This Row],[Date]])</f>
        <v>2024</v>
      </c>
      <c r="O433" t="str">
        <f>TEXT(Table1[[#This Row],[Date]],"mmm")</f>
        <v>Sept</v>
      </c>
      <c r="P433">
        <f>MONTH(Table1[[#This Row],[Date]])</f>
        <v>9</v>
      </c>
    </row>
    <row r="434" spans="1:16" x14ac:dyDescent="0.25">
      <c r="A434" t="s">
        <v>453</v>
      </c>
      <c r="B434" t="s">
        <v>31</v>
      </c>
      <c r="C434" t="s">
        <v>37</v>
      </c>
      <c r="D434" s="1">
        <v>45390</v>
      </c>
      <c r="E434">
        <v>57619</v>
      </c>
      <c r="F434">
        <v>3951</v>
      </c>
      <c r="G434">
        <v>207</v>
      </c>
      <c r="H434" s="4">
        <v>2390.9499999999998</v>
      </c>
      <c r="I434" s="4">
        <v>23143.24</v>
      </c>
      <c r="J434" s="7">
        <f>Table1[[#This Row],[Clicks]]/Table1[[#This Row],[Impressions]]</f>
        <v>6.8571131050521525E-2</v>
      </c>
      <c r="K434" s="7">
        <f>IFERROR(Table1[[#This Row],[Conversions]]/Table1[[#This Row],[Clicks]],0)</f>
        <v>5.2391799544419138E-2</v>
      </c>
      <c r="L434" s="6">
        <f>IF(Table1[[#This Row],[Conversions]]=0,0,Table1[[#This Row],[Ad Spend]]/Table1[[#This Row],[Conversions]])</f>
        <v>11.550483091787438</v>
      </c>
      <c r="M434" s="8">
        <f>IF(Table1[[#This Row],[Ad Spend]]=0,0,Table1[[#This Row],[Revenue]]/Table1[[#This Row],[Ad Spend]])</f>
        <v>9.6795165101737819</v>
      </c>
      <c r="N434">
        <f>YEAR(Table1[[#This Row],[Date]])</f>
        <v>2024</v>
      </c>
      <c r="O434" t="str">
        <f>TEXT(Table1[[#This Row],[Date]],"mmm")</f>
        <v>Apr</v>
      </c>
      <c r="P434">
        <f>MONTH(Table1[[#This Row],[Date]])</f>
        <v>4</v>
      </c>
    </row>
    <row r="435" spans="1:16" x14ac:dyDescent="0.25">
      <c r="A435" t="s">
        <v>454</v>
      </c>
      <c r="B435" t="s">
        <v>14</v>
      </c>
      <c r="C435" t="s">
        <v>19</v>
      </c>
      <c r="D435" s="1">
        <v>45480</v>
      </c>
      <c r="E435">
        <v>126692</v>
      </c>
      <c r="F435">
        <v>5746</v>
      </c>
      <c r="G435">
        <v>589</v>
      </c>
      <c r="H435" s="4">
        <v>794.59</v>
      </c>
      <c r="I435" s="4">
        <v>13580.17</v>
      </c>
      <c r="J435" s="7">
        <f>Table1[[#This Row],[Clicks]]/Table1[[#This Row],[Impressions]]</f>
        <v>4.535408707732138E-2</v>
      </c>
      <c r="K435" s="7">
        <f>IFERROR(Table1[[#This Row],[Conversions]]/Table1[[#This Row],[Clicks]],0)</f>
        <v>0.10250609119387399</v>
      </c>
      <c r="L435" s="6">
        <f>IF(Table1[[#This Row],[Conversions]]=0,0,Table1[[#This Row],[Ad Spend]]/Table1[[#This Row],[Conversions]])</f>
        <v>1.3490492359932089</v>
      </c>
      <c r="M435" s="8">
        <f>IF(Table1[[#This Row],[Ad Spend]]=0,0,Table1[[#This Row],[Revenue]]/Table1[[#This Row],[Ad Spend]])</f>
        <v>17.090788960344327</v>
      </c>
      <c r="N435">
        <f>YEAR(Table1[[#This Row],[Date]])</f>
        <v>2024</v>
      </c>
      <c r="O435" t="str">
        <f>TEXT(Table1[[#This Row],[Date]],"mmm")</f>
        <v>Jul</v>
      </c>
      <c r="P435">
        <f>MONTH(Table1[[#This Row],[Date]])</f>
        <v>7</v>
      </c>
    </row>
    <row r="436" spans="1:16" x14ac:dyDescent="0.25">
      <c r="A436" t="s">
        <v>455</v>
      </c>
      <c r="B436" t="s">
        <v>47</v>
      </c>
      <c r="C436" t="s">
        <v>17</v>
      </c>
      <c r="D436" s="1">
        <v>45596</v>
      </c>
      <c r="E436">
        <v>121943</v>
      </c>
      <c r="F436">
        <v>2735</v>
      </c>
      <c r="G436">
        <v>364</v>
      </c>
      <c r="H436" s="4">
        <v>3017.03</v>
      </c>
      <c r="I436" s="4">
        <v>20011.259999999998</v>
      </c>
      <c r="J436" s="7">
        <f>Table1[[#This Row],[Clicks]]/Table1[[#This Row],[Impressions]]</f>
        <v>2.2428511681687347E-2</v>
      </c>
      <c r="K436" s="7">
        <f>IFERROR(Table1[[#This Row],[Conversions]]/Table1[[#This Row],[Clicks]],0)</f>
        <v>0.13308957952468006</v>
      </c>
      <c r="L436" s="6">
        <f>IF(Table1[[#This Row],[Conversions]]=0,0,Table1[[#This Row],[Ad Spend]]/Table1[[#This Row],[Conversions]])</f>
        <v>8.2885439560439558</v>
      </c>
      <c r="M436" s="8">
        <f>IF(Table1[[#This Row],[Ad Spend]]=0,0,Table1[[#This Row],[Revenue]]/Table1[[#This Row],[Ad Spend]])</f>
        <v>6.6327679870601211</v>
      </c>
      <c r="N436">
        <f>YEAR(Table1[[#This Row],[Date]])</f>
        <v>2024</v>
      </c>
      <c r="O436" t="str">
        <f>TEXT(Table1[[#This Row],[Date]],"mmm")</f>
        <v>Oct</v>
      </c>
      <c r="P436">
        <f>MONTH(Table1[[#This Row],[Date]])</f>
        <v>10</v>
      </c>
    </row>
    <row r="437" spans="1:16" x14ac:dyDescent="0.25">
      <c r="A437" t="s">
        <v>456</v>
      </c>
      <c r="B437" t="s">
        <v>16</v>
      </c>
      <c r="C437" t="s">
        <v>19</v>
      </c>
      <c r="D437" s="1">
        <v>45675</v>
      </c>
      <c r="E437">
        <v>28695</v>
      </c>
      <c r="F437">
        <v>859</v>
      </c>
      <c r="G437">
        <v>60</v>
      </c>
      <c r="H437" s="4">
        <v>981.96</v>
      </c>
      <c r="I437" s="4">
        <v>4633.55</v>
      </c>
      <c r="J437" s="7">
        <f>Table1[[#This Row],[Clicks]]/Table1[[#This Row],[Impressions]]</f>
        <v>2.9935528837776615E-2</v>
      </c>
      <c r="K437" s="7">
        <f>IFERROR(Table1[[#This Row],[Conversions]]/Table1[[#This Row],[Clicks]],0)</f>
        <v>6.9848661233993012E-2</v>
      </c>
      <c r="L437" s="6">
        <f>IF(Table1[[#This Row],[Conversions]]=0,0,Table1[[#This Row],[Ad Spend]]/Table1[[#This Row],[Conversions]])</f>
        <v>16.366</v>
      </c>
      <c r="M437" s="8">
        <f>IF(Table1[[#This Row],[Ad Spend]]=0,0,Table1[[#This Row],[Revenue]]/Table1[[#This Row],[Ad Spend]])</f>
        <v>4.7186748951077435</v>
      </c>
      <c r="N437">
        <f>YEAR(Table1[[#This Row],[Date]])</f>
        <v>2025</v>
      </c>
      <c r="O437" t="str">
        <f>TEXT(Table1[[#This Row],[Date]],"mmm")</f>
        <v>Jan</v>
      </c>
      <c r="P437">
        <f>MONTH(Table1[[#This Row],[Date]])</f>
        <v>1</v>
      </c>
    </row>
    <row r="438" spans="1:16" x14ac:dyDescent="0.25">
      <c r="A438" t="s">
        <v>457</v>
      </c>
      <c r="B438" t="s">
        <v>14</v>
      </c>
      <c r="C438" t="s">
        <v>37</v>
      </c>
      <c r="D438" s="1">
        <v>45623</v>
      </c>
      <c r="E438">
        <v>64011</v>
      </c>
      <c r="F438">
        <v>3676</v>
      </c>
      <c r="G438">
        <v>202</v>
      </c>
      <c r="H438" s="4">
        <v>2165.63</v>
      </c>
      <c r="I438" s="4">
        <v>4445.0600000000004</v>
      </c>
      <c r="J438" s="7">
        <f>Table1[[#This Row],[Clicks]]/Table1[[#This Row],[Impressions]]</f>
        <v>5.7427629626158001E-2</v>
      </c>
      <c r="K438" s="7">
        <f>IFERROR(Table1[[#This Row],[Conversions]]/Table1[[#This Row],[Clicks]],0)</f>
        <v>5.4951033732317738E-2</v>
      </c>
      <c r="L438" s="6">
        <f>IF(Table1[[#This Row],[Conversions]]=0,0,Table1[[#This Row],[Ad Spend]]/Table1[[#This Row],[Conversions]])</f>
        <v>10.720940594059407</v>
      </c>
      <c r="M438" s="8">
        <f>IF(Table1[[#This Row],[Ad Spend]]=0,0,Table1[[#This Row],[Revenue]]/Table1[[#This Row],[Ad Spend]])</f>
        <v>2.0525482192248909</v>
      </c>
      <c r="N438">
        <f>YEAR(Table1[[#This Row],[Date]])</f>
        <v>2024</v>
      </c>
      <c r="O438" t="str">
        <f>TEXT(Table1[[#This Row],[Date]],"mmm")</f>
        <v>Nov</v>
      </c>
      <c r="P438">
        <f>MONTH(Table1[[#This Row],[Date]])</f>
        <v>11</v>
      </c>
    </row>
    <row r="439" spans="1:16" x14ac:dyDescent="0.25">
      <c r="A439" t="s">
        <v>458</v>
      </c>
      <c r="B439" t="s">
        <v>31</v>
      </c>
      <c r="C439" t="s">
        <v>17</v>
      </c>
      <c r="D439" s="1">
        <v>45359</v>
      </c>
      <c r="E439">
        <v>50403</v>
      </c>
      <c r="F439">
        <v>2624</v>
      </c>
      <c r="G439">
        <v>55</v>
      </c>
      <c r="H439" s="4">
        <v>1411.47</v>
      </c>
      <c r="I439" s="4">
        <v>5527.97</v>
      </c>
      <c r="J439" s="7">
        <f>Table1[[#This Row],[Clicks]]/Table1[[#This Row],[Impressions]]</f>
        <v>5.206039323056167E-2</v>
      </c>
      <c r="K439" s="7">
        <f>IFERROR(Table1[[#This Row],[Conversions]]/Table1[[#This Row],[Clicks]],0)</f>
        <v>2.0960365853658538E-2</v>
      </c>
      <c r="L439" s="6">
        <f>IF(Table1[[#This Row],[Conversions]]=0,0,Table1[[#This Row],[Ad Spend]]/Table1[[#This Row],[Conversions]])</f>
        <v>25.663090909090908</v>
      </c>
      <c r="M439" s="8">
        <f>IF(Table1[[#This Row],[Ad Spend]]=0,0,Table1[[#This Row],[Revenue]]/Table1[[#This Row],[Ad Spend]])</f>
        <v>3.9164629783133895</v>
      </c>
      <c r="N439">
        <f>YEAR(Table1[[#This Row],[Date]])</f>
        <v>2024</v>
      </c>
      <c r="O439" t="str">
        <f>TEXT(Table1[[#This Row],[Date]],"mmm")</f>
        <v>Mar</v>
      </c>
      <c r="P439">
        <f>MONTH(Table1[[#This Row],[Date]])</f>
        <v>3</v>
      </c>
    </row>
    <row r="440" spans="1:16" x14ac:dyDescent="0.25">
      <c r="A440" t="s">
        <v>459</v>
      </c>
      <c r="B440" t="s">
        <v>34</v>
      </c>
      <c r="C440" t="s">
        <v>19</v>
      </c>
      <c r="D440" s="1">
        <v>45508</v>
      </c>
      <c r="E440">
        <v>103690</v>
      </c>
      <c r="F440">
        <v>7217</v>
      </c>
      <c r="G440">
        <v>574</v>
      </c>
      <c r="H440" s="4">
        <v>1247.4000000000001</v>
      </c>
      <c r="I440" s="4">
        <v>28823.13</v>
      </c>
      <c r="J440" s="7">
        <f>Table1[[#This Row],[Clicks]]/Table1[[#This Row],[Impressions]]</f>
        <v>6.9601697367152091E-2</v>
      </c>
      <c r="K440" s="7">
        <f>IFERROR(Table1[[#This Row],[Conversions]]/Table1[[#This Row],[Clicks]],0)</f>
        <v>7.953443258971872E-2</v>
      </c>
      <c r="L440" s="6">
        <f>IF(Table1[[#This Row],[Conversions]]=0,0,Table1[[#This Row],[Ad Spend]]/Table1[[#This Row],[Conversions]])</f>
        <v>2.1731707317073172</v>
      </c>
      <c r="M440" s="8">
        <f>IF(Table1[[#This Row],[Ad Spend]]=0,0,Table1[[#This Row],[Revenue]]/Table1[[#This Row],[Ad Spend]])</f>
        <v>23.106565656565657</v>
      </c>
      <c r="N440">
        <f>YEAR(Table1[[#This Row],[Date]])</f>
        <v>2024</v>
      </c>
      <c r="O440" t="str">
        <f>TEXT(Table1[[#This Row],[Date]],"mmm")</f>
        <v>Aug</v>
      </c>
      <c r="P440">
        <f>MONTH(Table1[[#This Row],[Date]])</f>
        <v>8</v>
      </c>
    </row>
    <row r="441" spans="1:16" x14ac:dyDescent="0.25">
      <c r="A441" t="s">
        <v>460</v>
      </c>
      <c r="B441" t="s">
        <v>21</v>
      </c>
      <c r="C441" t="s">
        <v>12</v>
      </c>
      <c r="D441" s="1">
        <v>45344</v>
      </c>
      <c r="E441">
        <v>6926</v>
      </c>
      <c r="F441">
        <v>317</v>
      </c>
      <c r="G441">
        <v>33</v>
      </c>
      <c r="H441" s="4">
        <v>4247.76</v>
      </c>
      <c r="I441" s="4">
        <v>1894.96</v>
      </c>
      <c r="J441" s="7">
        <f>Table1[[#This Row],[Clicks]]/Table1[[#This Row],[Impressions]]</f>
        <v>4.576956396188276E-2</v>
      </c>
      <c r="K441" s="7">
        <f>IFERROR(Table1[[#This Row],[Conversions]]/Table1[[#This Row],[Clicks]],0)</f>
        <v>0.10410094637223975</v>
      </c>
      <c r="L441" s="6">
        <f>IF(Table1[[#This Row],[Conversions]]=0,0,Table1[[#This Row],[Ad Spend]]/Table1[[#This Row],[Conversions]])</f>
        <v>128.72</v>
      </c>
      <c r="M441" s="8">
        <f>IF(Table1[[#This Row],[Ad Spend]]=0,0,Table1[[#This Row],[Revenue]]/Table1[[#This Row],[Ad Spend]])</f>
        <v>0.44610806636909806</v>
      </c>
      <c r="N441">
        <f>YEAR(Table1[[#This Row],[Date]])</f>
        <v>2024</v>
      </c>
      <c r="O441" t="str">
        <f>TEXT(Table1[[#This Row],[Date]],"mmm")</f>
        <v>Feb</v>
      </c>
      <c r="P441">
        <f>MONTH(Table1[[#This Row],[Date]])</f>
        <v>2</v>
      </c>
    </row>
    <row r="442" spans="1:16" x14ac:dyDescent="0.25">
      <c r="A442" t="s">
        <v>461</v>
      </c>
      <c r="B442" t="s">
        <v>34</v>
      </c>
      <c r="C442" t="s">
        <v>19</v>
      </c>
      <c r="D442" s="1">
        <v>45642</v>
      </c>
      <c r="E442">
        <v>33338</v>
      </c>
      <c r="F442">
        <v>1457</v>
      </c>
      <c r="G442">
        <v>92</v>
      </c>
      <c r="H442" s="4">
        <v>1527.12</v>
      </c>
      <c r="I442" s="4">
        <v>4831.26</v>
      </c>
      <c r="J442" s="7">
        <f>Table1[[#This Row],[Clicks]]/Table1[[#This Row],[Impressions]]</f>
        <v>4.3703881456596073E-2</v>
      </c>
      <c r="K442" s="7">
        <f>IFERROR(Table1[[#This Row],[Conversions]]/Table1[[#This Row],[Clicks]],0)</f>
        <v>6.3143445435827047E-2</v>
      </c>
      <c r="L442" s="6">
        <f>IF(Table1[[#This Row],[Conversions]]=0,0,Table1[[#This Row],[Ad Spend]]/Table1[[#This Row],[Conversions]])</f>
        <v>16.599130434782609</v>
      </c>
      <c r="M442" s="8">
        <f>IF(Table1[[#This Row],[Ad Spend]]=0,0,Table1[[#This Row],[Revenue]]/Table1[[#This Row],[Ad Spend]])</f>
        <v>3.1636413641364141</v>
      </c>
      <c r="N442">
        <f>YEAR(Table1[[#This Row],[Date]])</f>
        <v>2024</v>
      </c>
      <c r="O442" t="str">
        <f>TEXT(Table1[[#This Row],[Date]],"mmm")</f>
        <v>Dec</v>
      </c>
      <c r="P442">
        <f>MONTH(Table1[[#This Row],[Date]])</f>
        <v>12</v>
      </c>
    </row>
    <row r="443" spans="1:16" x14ac:dyDescent="0.25">
      <c r="A443" t="s">
        <v>462</v>
      </c>
      <c r="B443" t="s">
        <v>34</v>
      </c>
      <c r="C443" t="s">
        <v>19</v>
      </c>
      <c r="D443" s="1">
        <v>45627</v>
      </c>
      <c r="E443">
        <v>83326</v>
      </c>
      <c r="F443">
        <v>1931</v>
      </c>
      <c r="G443">
        <v>168</v>
      </c>
      <c r="H443" s="4">
        <v>1353.45</v>
      </c>
      <c r="I443" s="4">
        <v>4313.8100000000004</v>
      </c>
      <c r="J443" s="7">
        <f>Table1[[#This Row],[Clicks]]/Table1[[#This Row],[Impressions]]</f>
        <v>2.3174039315459759E-2</v>
      </c>
      <c r="K443" s="7">
        <f>IFERROR(Table1[[#This Row],[Conversions]]/Table1[[#This Row],[Clicks]],0)</f>
        <v>8.7001553599171416E-2</v>
      </c>
      <c r="L443" s="6">
        <f>IF(Table1[[#This Row],[Conversions]]=0,0,Table1[[#This Row],[Ad Spend]]/Table1[[#This Row],[Conversions]])</f>
        <v>8.0562500000000004</v>
      </c>
      <c r="M443" s="8">
        <f>IF(Table1[[#This Row],[Ad Spend]]=0,0,Table1[[#This Row],[Revenue]]/Table1[[#This Row],[Ad Spend]])</f>
        <v>3.1872695703572353</v>
      </c>
      <c r="N443">
        <f>YEAR(Table1[[#This Row],[Date]])</f>
        <v>2024</v>
      </c>
      <c r="O443" t="str">
        <f>TEXT(Table1[[#This Row],[Date]],"mmm")</f>
        <v>Dec</v>
      </c>
      <c r="P443">
        <f>MONTH(Table1[[#This Row],[Date]])</f>
        <v>12</v>
      </c>
    </row>
    <row r="444" spans="1:16" x14ac:dyDescent="0.25">
      <c r="A444" t="s">
        <v>463</v>
      </c>
      <c r="B444" t="s">
        <v>21</v>
      </c>
      <c r="C444" t="s">
        <v>19</v>
      </c>
      <c r="D444" s="1">
        <v>45640</v>
      </c>
      <c r="E444">
        <v>41681</v>
      </c>
      <c r="F444">
        <v>2521</v>
      </c>
      <c r="G444">
        <v>265</v>
      </c>
      <c r="H444" s="4">
        <v>4987.8500000000004</v>
      </c>
      <c r="I444" s="4">
        <v>12174.8</v>
      </c>
      <c r="J444" s="7">
        <f>Table1[[#This Row],[Clicks]]/Table1[[#This Row],[Impressions]]</f>
        <v>6.048319378133922E-2</v>
      </c>
      <c r="K444" s="7">
        <f>IFERROR(Table1[[#This Row],[Conversions]]/Table1[[#This Row],[Clicks]],0)</f>
        <v>0.10511701705672352</v>
      </c>
      <c r="L444" s="6">
        <f>IF(Table1[[#This Row],[Conversions]]=0,0,Table1[[#This Row],[Ad Spend]]/Table1[[#This Row],[Conversions]])</f>
        <v>18.822075471698113</v>
      </c>
      <c r="M444" s="8">
        <f>IF(Table1[[#This Row],[Ad Spend]]=0,0,Table1[[#This Row],[Revenue]]/Table1[[#This Row],[Ad Spend]])</f>
        <v>2.4408913660194269</v>
      </c>
      <c r="N444">
        <f>YEAR(Table1[[#This Row],[Date]])</f>
        <v>2024</v>
      </c>
      <c r="O444" t="str">
        <f>TEXT(Table1[[#This Row],[Date]],"mmm")</f>
        <v>Dec</v>
      </c>
      <c r="P444">
        <f>MONTH(Table1[[#This Row],[Date]])</f>
        <v>12</v>
      </c>
    </row>
    <row r="445" spans="1:16" x14ac:dyDescent="0.25">
      <c r="A445" t="s">
        <v>464</v>
      </c>
      <c r="B445" t="s">
        <v>21</v>
      </c>
      <c r="C445" t="s">
        <v>17</v>
      </c>
      <c r="D445" s="1">
        <v>45490</v>
      </c>
      <c r="E445">
        <v>14258</v>
      </c>
      <c r="F445">
        <v>724</v>
      </c>
      <c r="G445">
        <v>108</v>
      </c>
      <c r="H445" s="4">
        <v>4116.87</v>
      </c>
      <c r="I445" s="4">
        <v>5866.2</v>
      </c>
      <c r="J445" s="7">
        <f>Table1[[#This Row],[Clicks]]/Table1[[#This Row],[Impressions]]</f>
        <v>5.0778510310001405E-2</v>
      </c>
      <c r="K445" s="7">
        <f>IFERROR(Table1[[#This Row],[Conversions]]/Table1[[#This Row],[Clicks]],0)</f>
        <v>0.14917127071823205</v>
      </c>
      <c r="L445" s="6">
        <f>IF(Table1[[#This Row],[Conversions]]=0,0,Table1[[#This Row],[Ad Spend]]/Table1[[#This Row],[Conversions]])</f>
        <v>38.119166666666665</v>
      </c>
      <c r="M445" s="8">
        <f>IF(Table1[[#This Row],[Ad Spend]]=0,0,Table1[[#This Row],[Revenue]]/Table1[[#This Row],[Ad Spend]])</f>
        <v>1.4249174737118246</v>
      </c>
      <c r="N445">
        <f>YEAR(Table1[[#This Row],[Date]])</f>
        <v>2024</v>
      </c>
      <c r="O445" t="str">
        <f>TEXT(Table1[[#This Row],[Date]],"mmm")</f>
        <v>Jul</v>
      </c>
      <c r="P445">
        <f>MONTH(Table1[[#This Row],[Date]])</f>
        <v>7</v>
      </c>
    </row>
    <row r="446" spans="1:16" x14ac:dyDescent="0.25">
      <c r="A446" t="s">
        <v>465</v>
      </c>
      <c r="B446" t="s">
        <v>14</v>
      </c>
      <c r="C446" t="s">
        <v>12</v>
      </c>
      <c r="D446" s="1">
        <v>45618</v>
      </c>
      <c r="E446">
        <v>129711</v>
      </c>
      <c r="F446">
        <v>9528</v>
      </c>
      <c r="G446">
        <v>1022</v>
      </c>
      <c r="H446" s="4">
        <v>2635.11</v>
      </c>
      <c r="I446" s="4">
        <v>106841.85</v>
      </c>
      <c r="J446" s="7">
        <f>Table1[[#This Row],[Clicks]]/Table1[[#This Row],[Impressions]]</f>
        <v>7.3455605152993958E-2</v>
      </c>
      <c r="K446" s="7">
        <f>IFERROR(Table1[[#This Row],[Conversions]]/Table1[[#This Row],[Clicks]],0)</f>
        <v>0.10726280436607892</v>
      </c>
      <c r="L446" s="6">
        <f>IF(Table1[[#This Row],[Conversions]]=0,0,Table1[[#This Row],[Ad Spend]]/Table1[[#This Row],[Conversions]])</f>
        <v>2.5783855185909981</v>
      </c>
      <c r="M446" s="8">
        <f>IF(Table1[[#This Row],[Ad Spend]]=0,0,Table1[[#This Row],[Revenue]]/Table1[[#This Row],[Ad Spend]])</f>
        <v>40.54549904937555</v>
      </c>
      <c r="N446">
        <f>YEAR(Table1[[#This Row],[Date]])</f>
        <v>2024</v>
      </c>
      <c r="O446" t="str">
        <f>TEXT(Table1[[#This Row],[Date]],"mmm")</f>
        <v>Nov</v>
      </c>
      <c r="P446">
        <f>MONTH(Table1[[#This Row],[Date]])</f>
        <v>11</v>
      </c>
    </row>
    <row r="447" spans="1:16" x14ac:dyDescent="0.25">
      <c r="A447" t="s">
        <v>466</v>
      </c>
      <c r="B447" t="s">
        <v>16</v>
      </c>
      <c r="C447" t="s">
        <v>19</v>
      </c>
      <c r="D447" s="1">
        <v>45341</v>
      </c>
      <c r="E447">
        <v>128412</v>
      </c>
      <c r="F447">
        <v>2434</v>
      </c>
      <c r="G447">
        <v>130</v>
      </c>
      <c r="H447" s="4">
        <v>4080.05</v>
      </c>
      <c r="I447" s="4">
        <v>12517.94</v>
      </c>
      <c r="J447" s="7">
        <f>Table1[[#This Row],[Clicks]]/Table1[[#This Row],[Impressions]]</f>
        <v>1.8954614833504656E-2</v>
      </c>
      <c r="K447" s="7">
        <f>IFERROR(Table1[[#This Row],[Conversions]]/Table1[[#This Row],[Clicks]],0)</f>
        <v>5.341002465078061E-2</v>
      </c>
      <c r="L447" s="6">
        <f>IF(Table1[[#This Row],[Conversions]]=0,0,Table1[[#This Row],[Ad Spend]]/Table1[[#This Row],[Conversions]])</f>
        <v>31.385000000000002</v>
      </c>
      <c r="M447" s="8">
        <f>IF(Table1[[#This Row],[Ad Spend]]=0,0,Table1[[#This Row],[Revenue]]/Table1[[#This Row],[Ad Spend]])</f>
        <v>3.068084949939339</v>
      </c>
      <c r="N447">
        <f>YEAR(Table1[[#This Row],[Date]])</f>
        <v>2024</v>
      </c>
      <c r="O447" t="str">
        <f>TEXT(Table1[[#This Row],[Date]],"mmm")</f>
        <v>Feb</v>
      </c>
      <c r="P447">
        <f>MONTH(Table1[[#This Row],[Date]])</f>
        <v>2</v>
      </c>
    </row>
    <row r="448" spans="1:16" x14ac:dyDescent="0.25">
      <c r="A448" t="s">
        <v>467</v>
      </c>
      <c r="B448" t="s">
        <v>16</v>
      </c>
      <c r="C448" t="s">
        <v>19</v>
      </c>
      <c r="D448" s="1">
        <v>45627</v>
      </c>
      <c r="E448">
        <v>28409</v>
      </c>
      <c r="F448">
        <v>726</v>
      </c>
      <c r="G448">
        <v>35</v>
      </c>
      <c r="H448" s="4">
        <v>4382.87</v>
      </c>
      <c r="I448" s="4">
        <v>2171.65</v>
      </c>
      <c r="J448" s="7">
        <f>Table1[[#This Row],[Clicks]]/Table1[[#This Row],[Impressions]]</f>
        <v>2.5555281776901684E-2</v>
      </c>
      <c r="K448" s="7">
        <f>IFERROR(Table1[[#This Row],[Conversions]]/Table1[[#This Row],[Clicks]],0)</f>
        <v>4.8209366391184574E-2</v>
      </c>
      <c r="L448" s="6">
        <f>IF(Table1[[#This Row],[Conversions]]=0,0,Table1[[#This Row],[Ad Spend]]/Table1[[#This Row],[Conversions]])</f>
        <v>125.22485714285715</v>
      </c>
      <c r="M448" s="8">
        <f>IF(Table1[[#This Row],[Ad Spend]]=0,0,Table1[[#This Row],[Revenue]]/Table1[[#This Row],[Ad Spend]])</f>
        <v>0.49548583462434437</v>
      </c>
      <c r="N448">
        <f>YEAR(Table1[[#This Row],[Date]])</f>
        <v>2024</v>
      </c>
      <c r="O448" t="str">
        <f>TEXT(Table1[[#This Row],[Date]],"mmm")</f>
        <v>Dec</v>
      </c>
      <c r="P448">
        <f>MONTH(Table1[[#This Row],[Date]])</f>
        <v>12</v>
      </c>
    </row>
    <row r="449" spans="1:16" x14ac:dyDescent="0.25">
      <c r="A449" t="s">
        <v>468</v>
      </c>
      <c r="B449" t="s">
        <v>47</v>
      </c>
      <c r="C449" t="s">
        <v>19</v>
      </c>
      <c r="D449" s="1">
        <v>45425</v>
      </c>
      <c r="E449">
        <v>82083</v>
      </c>
      <c r="F449">
        <v>3485</v>
      </c>
      <c r="G449">
        <v>123</v>
      </c>
      <c r="H449" s="4">
        <v>457.65</v>
      </c>
      <c r="I449" s="4">
        <v>10263.08</v>
      </c>
      <c r="J449" s="7">
        <f>Table1[[#This Row],[Clicks]]/Table1[[#This Row],[Impressions]]</f>
        <v>4.2457025206193731E-2</v>
      </c>
      <c r="K449" s="7">
        <f>IFERROR(Table1[[#This Row],[Conversions]]/Table1[[#This Row],[Clicks]],0)</f>
        <v>3.5294117647058823E-2</v>
      </c>
      <c r="L449" s="6">
        <f>IF(Table1[[#This Row],[Conversions]]=0,0,Table1[[#This Row],[Ad Spend]]/Table1[[#This Row],[Conversions]])</f>
        <v>3.7207317073170731</v>
      </c>
      <c r="M449" s="8">
        <f>IF(Table1[[#This Row],[Ad Spend]]=0,0,Table1[[#This Row],[Revenue]]/Table1[[#This Row],[Ad Spend]])</f>
        <v>22.425609089915877</v>
      </c>
      <c r="N449">
        <f>YEAR(Table1[[#This Row],[Date]])</f>
        <v>2024</v>
      </c>
      <c r="O449" t="str">
        <f>TEXT(Table1[[#This Row],[Date]],"mmm")</f>
        <v>May</v>
      </c>
      <c r="P449">
        <f>MONTH(Table1[[#This Row],[Date]])</f>
        <v>5</v>
      </c>
    </row>
    <row r="450" spans="1:16" x14ac:dyDescent="0.25">
      <c r="A450" t="s">
        <v>469</v>
      </c>
      <c r="B450" t="s">
        <v>9</v>
      </c>
      <c r="C450" t="s">
        <v>17</v>
      </c>
      <c r="D450" s="1">
        <v>45391</v>
      </c>
      <c r="E450">
        <v>136197</v>
      </c>
      <c r="F450">
        <v>2504</v>
      </c>
      <c r="G450">
        <v>271</v>
      </c>
      <c r="H450" s="4">
        <v>2743.22</v>
      </c>
      <c r="I450" s="4">
        <v>16615.21</v>
      </c>
      <c r="J450" s="7">
        <f>Table1[[#This Row],[Clicks]]/Table1[[#This Row],[Impressions]]</f>
        <v>1.8385133299558726E-2</v>
      </c>
      <c r="K450" s="7">
        <f>IFERROR(Table1[[#This Row],[Conversions]]/Table1[[#This Row],[Clicks]],0)</f>
        <v>0.10822683706070288</v>
      </c>
      <c r="L450" s="6">
        <f>IF(Table1[[#This Row],[Conversions]]=0,0,Table1[[#This Row],[Ad Spend]]/Table1[[#This Row],[Conversions]])</f>
        <v>10.122583025830258</v>
      </c>
      <c r="M450" s="8">
        <f>IF(Table1[[#This Row],[Ad Spend]]=0,0,Table1[[#This Row],[Revenue]]/Table1[[#This Row],[Ad Spend]])</f>
        <v>6.0568273780447797</v>
      </c>
      <c r="N450">
        <f>YEAR(Table1[[#This Row],[Date]])</f>
        <v>2024</v>
      </c>
      <c r="O450" t="str">
        <f>TEXT(Table1[[#This Row],[Date]],"mmm")</f>
        <v>Apr</v>
      </c>
      <c r="P450">
        <f>MONTH(Table1[[#This Row],[Date]])</f>
        <v>4</v>
      </c>
    </row>
    <row r="451" spans="1:16" x14ac:dyDescent="0.25">
      <c r="A451" t="s">
        <v>470</v>
      </c>
      <c r="B451" t="s">
        <v>16</v>
      </c>
      <c r="C451" t="s">
        <v>37</v>
      </c>
      <c r="D451" s="1">
        <v>45394</v>
      </c>
      <c r="E451">
        <v>94828</v>
      </c>
      <c r="F451">
        <v>3664</v>
      </c>
      <c r="G451">
        <v>344</v>
      </c>
      <c r="H451" s="4">
        <v>4551.78</v>
      </c>
      <c r="I451" s="4">
        <v>22620.46</v>
      </c>
      <c r="J451" s="7">
        <f>Table1[[#This Row],[Clicks]]/Table1[[#This Row],[Impressions]]</f>
        <v>3.8638376850719199E-2</v>
      </c>
      <c r="K451" s="7">
        <f>IFERROR(Table1[[#This Row],[Conversions]]/Table1[[#This Row],[Clicks]],0)</f>
        <v>9.3886462882096067E-2</v>
      </c>
      <c r="L451" s="6">
        <f>IF(Table1[[#This Row],[Conversions]]=0,0,Table1[[#This Row],[Ad Spend]]/Table1[[#This Row],[Conversions]])</f>
        <v>13.231918604651161</v>
      </c>
      <c r="M451" s="8">
        <f>IF(Table1[[#This Row],[Ad Spend]]=0,0,Table1[[#This Row],[Revenue]]/Table1[[#This Row],[Ad Spend]])</f>
        <v>4.9695855247837111</v>
      </c>
      <c r="N451">
        <f>YEAR(Table1[[#This Row],[Date]])</f>
        <v>2024</v>
      </c>
      <c r="O451" t="str">
        <f>TEXT(Table1[[#This Row],[Date]],"mmm")</f>
        <v>Apr</v>
      </c>
      <c r="P451">
        <f>MONTH(Table1[[#This Row],[Date]])</f>
        <v>4</v>
      </c>
    </row>
    <row r="452" spans="1:16" x14ac:dyDescent="0.25">
      <c r="A452" t="s">
        <v>471</v>
      </c>
      <c r="B452" t="s">
        <v>47</v>
      </c>
      <c r="C452" t="s">
        <v>37</v>
      </c>
      <c r="D452" s="1">
        <v>45690</v>
      </c>
      <c r="E452">
        <v>26184</v>
      </c>
      <c r="F452">
        <v>1155</v>
      </c>
      <c r="G452">
        <v>117</v>
      </c>
      <c r="H452" s="4">
        <v>1048.76</v>
      </c>
      <c r="I452" s="4">
        <v>9763.64</v>
      </c>
      <c r="J452" s="7">
        <f>Table1[[#This Row],[Clicks]]/Table1[[#This Row],[Impressions]]</f>
        <v>4.4110907424381299E-2</v>
      </c>
      <c r="K452" s="7">
        <f>IFERROR(Table1[[#This Row],[Conversions]]/Table1[[#This Row],[Clicks]],0)</f>
        <v>0.1012987012987013</v>
      </c>
      <c r="L452" s="6">
        <f>IF(Table1[[#This Row],[Conversions]]=0,0,Table1[[#This Row],[Ad Spend]]/Table1[[#This Row],[Conversions]])</f>
        <v>8.9637606837606842</v>
      </c>
      <c r="M452" s="8">
        <f>IF(Table1[[#This Row],[Ad Spend]]=0,0,Table1[[#This Row],[Revenue]]/Table1[[#This Row],[Ad Spend]])</f>
        <v>9.3096990731911973</v>
      </c>
      <c r="N452">
        <f>YEAR(Table1[[#This Row],[Date]])</f>
        <v>2025</v>
      </c>
      <c r="O452" t="str">
        <f>TEXT(Table1[[#This Row],[Date]],"mmm")</f>
        <v>Feb</v>
      </c>
      <c r="P452">
        <f>MONTH(Table1[[#This Row],[Date]])</f>
        <v>2</v>
      </c>
    </row>
    <row r="453" spans="1:16" x14ac:dyDescent="0.25">
      <c r="A453" t="s">
        <v>472</v>
      </c>
      <c r="B453" t="s">
        <v>31</v>
      </c>
      <c r="C453" t="s">
        <v>17</v>
      </c>
      <c r="D453" s="1">
        <v>45432</v>
      </c>
      <c r="E453">
        <v>59888</v>
      </c>
      <c r="F453">
        <v>3789</v>
      </c>
      <c r="G453">
        <v>158</v>
      </c>
      <c r="H453" s="4">
        <v>3869.52</v>
      </c>
      <c r="I453" s="4">
        <v>10895.32</v>
      </c>
      <c r="J453" s="7">
        <f>Table1[[#This Row],[Clicks]]/Table1[[#This Row],[Impressions]]</f>
        <v>6.3268100454181145E-2</v>
      </c>
      <c r="K453" s="7">
        <f>IFERROR(Table1[[#This Row],[Conversions]]/Table1[[#This Row],[Clicks]],0)</f>
        <v>4.1699656901557136E-2</v>
      </c>
      <c r="L453" s="6">
        <f>IF(Table1[[#This Row],[Conversions]]=0,0,Table1[[#This Row],[Ad Spend]]/Table1[[#This Row],[Conversions]])</f>
        <v>24.490632911392407</v>
      </c>
      <c r="M453" s="8">
        <f>IF(Table1[[#This Row],[Ad Spend]]=0,0,Table1[[#This Row],[Revenue]]/Table1[[#This Row],[Ad Spend]])</f>
        <v>2.8156773966796913</v>
      </c>
      <c r="N453">
        <f>YEAR(Table1[[#This Row],[Date]])</f>
        <v>2024</v>
      </c>
      <c r="O453" t="str">
        <f>TEXT(Table1[[#This Row],[Date]],"mmm")</f>
        <v>May</v>
      </c>
      <c r="P453">
        <f>MONTH(Table1[[#This Row],[Date]])</f>
        <v>5</v>
      </c>
    </row>
    <row r="454" spans="1:16" x14ac:dyDescent="0.25">
      <c r="A454" t="s">
        <v>473</v>
      </c>
      <c r="B454" t="s">
        <v>9</v>
      </c>
      <c r="C454" t="s">
        <v>37</v>
      </c>
      <c r="D454" s="1">
        <v>45606</v>
      </c>
      <c r="E454">
        <v>118694</v>
      </c>
      <c r="F454">
        <v>6450</v>
      </c>
      <c r="G454">
        <v>467</v>
      </c>
      <c r="H454" s="4">
        <v>4833.57</v>
      </c>
      <c r="I454" s="4">
        <v>27240.880000000001</v>
      </c>
      <c r="J454" s="7">
        <f>Table1[[#This Row],[Clicks]]/Table1[[#This Row],[Impressions]]</f>
        <v>5.4341415741318011E-2</v>
      </c>
      <c r="K454" s="7">
        <f>IFERROR(Table1[[#This Row],[Conversions]]/Table1[[#This Row],[Clicks]],0)</f>
        <v>7.2403100775193796E-2</v>
      </c>
      <c r="L454" s="6">
        <f>IF(Table1[[#This Row],[Conversions]]=0,0,Table1[[#This Row],[Ad Spend]]/Table1[[#This Row],[Conversions]])</f>
        <v>10.350256959314775</v>
      </c>
      <c r="M454" s="8">
        <f>IF(Table1[[#This Row],[Ad Spend]]=0,0,Table1[[#This Row],[Revenue]]/Table1[[#This Row],[Ad Spend]])</f>
        <v>5.6357681796270667</v>
      </c>
      <c r="N454">
        <f>YEAR(Table1[[#This Row],[Date]])</f>
        <v>2024</v>
      </c>
      <c r="O454" t="str">
        <f>TEXT(Table1[[#This Row],[Date]],"mmm")</f>
        <v>Nov</v>
      </c>
      <c r="P454">
        <f>MONTH(Table1[[#This Row],[Date]])</f>
        <v>11</v>
      </c>
    </row>
    <row r="455" spans="1:16" x14ac:dyDescent="0.25">
      <c r="A455" t="s">
        <v>474</v>
      </c>
      <c r="B455" t="s">
        <v>31</v>
      </c>
      <c r="C455" t="s">
        <v>12</v>
      </c>
      <c r="D455" s="1">
        <v>45394</v>
      </c>
      <c r="E455">
        <v>102806</v>
      </c>
      <c r="F455">
        <v>7865</v>
      </c>
      <c r="G455">
        <v>1069</v>
      </c>
      <c r="H455" s="4">
        <v>3832.87</v>
      </c>
      <c r="I455" s="4">
        <v>78147.509999999995</v>
      </c>
      <c r="J455" s="7">
        <f>Table1[[#This Row],[Clicks]]/Table1[[#This Row],[Impressions]]</f>
        <v>7.6503316927027609E-2</v>
      </c>
      <c r="K455" s="7">
        <f>IFERROR(Table1[[#This Row],[Conversions]]/Table1[[#This Row],[Clicks]],0)</f>
        <v>0.13591862682771774</v>
      </c>
      <c r="L455" s="6">
        <f>IF(Table1[[#This Row],[Conversions]]=0,0,Table1[[#This Row],[Ad Spend]]/Table1[[#This Row],[Conversions]])</f>
        <v>3.585472404115996</v>
      </c>
      <c r="M455" s="8">
        <f>IF(Table1[[#This Row],[Ad Spend]]=0,0,Table1[[#This Row],[Revenue]]/Table1[[#This Row],[Ad Spend]])</f>
        <v>20.388771338448734</v>
      </c>
      <c r="N455">
        <f>YEAR(Table1[[#This Row],[Date]])</f>
        <v>2024</v>
      </c>
      <c r="O455" t="str">
        <f>TEXT(Table1[[#This Row],[Date]],"mmm")</f>
        <v>Apr</v>
      </c>
      <c r="P455">
        <f>MONTH(Table1[[#This Row],[Date]])</f>
        <v>4</v>
      </c>
    </row>
    <row r="456" spans="1:16" x14ac:dyDescent="0.25">
      <c r="A456" t="s">
        <v>475</v>
      </c>
      <c r="B456" t="s">
        <v>31</v>
      </c>
      <c r="C456" t="s">
        <v>10</v>
      </c>
      <c r="D456" s="1">
        <v>45612</v>
      </c>
      <c r="E456">
        <v>70227</v>
      </c>
      <c r="F456">
        <v>1814</v>
      </c>
      <c r="G456">
        <v>243</v>
      </c>
      <c r="H456" s="4">
        <v>1698.04</v>
      </c>
      <c r="I456" s="4">
        <v>7355.81</v>
      </c>
      <c r="J456" s="7">
        <f>Table1[[#This Row],[Clicks]]/Table1[[#This Row],[Impressions]]</f>
        <v>2.583052102467712E-2</v>
      </c>
      <c r="K456" s="7">
        <f>IFERROR(Table1[[#This Row],[Conversions]]/Table1[[#This Row],[Clicks]],0)</f>
        <v>0.13395810363836824</v>
      </c>
      <c r="L456" s="6">
        <f>IF(Table1[[#This Row],[Conversions]]=0,0,Table1[[#This Row],[Ad Spend]]/Table1[[#This Row],[Conversions]])</f>
        <v>6.9878189300411524</v>
      </c>
      <c r="M456" s="8">
        <f>IF(Table1[[#This Row],[Ad Spend]]=0,0,Table1[[#This Row],[Revenue]]/Table1[[#This Row],[Ad Spend]])</f>
        <v>4.3319415325905162</v>
      </c>
      <c r="N456">
        <f>YEAR(Table1[[#This Row],[Date]])</f>
        <v>2024</v>
      </c>
      <c r="O456" t="str">
        <f>TEXT(Table1[[#This Row],[Date]],"mmm")</f>
        <v>Nov</v>
      </c>
      <c r="P456">
        <f>MONTH(Table1[[#This Row],[Date]])</f>
        <v>11</v>
      </c>
    </row>
    <row r="457" spans="1:16" x14ac:dyDescent="0.25">
      <c r="A457" t="s">
        <v>476</v>
      </c>
      <c r="B457" t="s">
        <v>34</v>
      </c>
      <c r="C457" t="s">
        <v>37</v>
      </c>
      <c r="D457" s="1">
        <v>45325</v>
      </c>
      <c r="E457">
        <v>16984</v>
      </c>
      <c r="F457">
        <v>524</v>
      </c>
      <c r="G457">
        <v>30</v>
      </c>
      <c r="H457" s="4">
        <v>3693.59</v>
      </c>
      <c r="I457" s="4">
        <v>2389.11</v>
      </c>
      <c r="J457" s="7">
        <f>Table1[[#This Row],[Clicks]]/Table1[[#This Row],[Impressions]]</f>
        <v>3.0852567121997174E-2</v>
      </c>
      <c r="K457" s="7">
        <f>IFERROR(Table1[[#This Row],[Conversions]]/Table1[[#This Row],[Clicks]],0)</f>
        <v>5.7251908396946563E-2</v>
      </c>
      <c r="L457" s="6">
        <f>IF(Table1[[#This Row],[Conversions]]=0,0,Table1[[#This Row],[Ad Spend]]/Table1[[#This Row],[Conversions]])</f>
        <v>123.11966666666667</v>
      </c>
      <c r="M457" s="8">
        <f>IF(Table1[[#This Row],[Ad Spend]]=0,0,Table1[[#This Row],[Revenue]]/Table1[[#This Row],[Ad Spend]])</f>
        <v>0.64682598772467981</v>
      </c>
      <c r="N457">
        <f>YEAR(Table1[[#This Row],[Date]])</f>
        <v>2024</v>
      </c>
      <c r="O457" t="str">
        <f>TEXT(Table1[[#This Row],[Date]],"mmm")</f>
        <v>Feb</v>
      </c>
      <c r="P457">
        <f>MONTH(Table1[[#This Row],[Date]])</f>
        <v>2</v>
      </c>
    </row>
    <row r="458" spans="1:16" x14ac:dyDescent="0.25">
      <c r="A458" t="s">
        <v>477</v>
      </c>
      <c r="B458" t="s">
        <v>47</v>
      </c>
      <c r="C458" t="s">
        <v>17</v>
      </c>
      <c r="D458" s="1">
        <v>45643</v>
      </c>
      <c r="E458">
        <v>40072</v>
      </c>
      <c r="F458">
        <v>1362</v>
      </c>
      <c r="G458">
        <v>186</v>
      </c>
      <c r="H458" s="4">
        <v>1924.4</v>
      </c>
      <c r="I458" s="4">
        <v>7224.72</v>
      </c>
      <c r="J458" s="7">
        <f>Table1[[#This Row],[Clicks]]/Table1[[#This Row],[Impressions]]</f>
        <v>3.39888201237772E-2</v>
      </c>
      <c r="K458" s="7">
        <f>IFERROR(Table1[[#This Row],[Conversions]]/Table1[[#This Row],[Clicks]],0)</f>
        <v>0.13656387665198239</v>
      </c>
      <c r="L458" s="6">
        <f>IF(Table1[[#This Row],[Conversions]]=0,0,Table1[[#This Row],[Ad Spend]]/Table1[[#This Row],[Conversions]])</f>
        <v>10.346236559139786</v>
      </c>
      <c r="M458" s="8">
        <f>IF(Table1[[#This Row],[Ad Spend]]=0,0,Table1[[#This Row],[Revenue]]/Table1[[#This Row],[Ad Spend]])</f>
        <v>3.7542714612346706</v>
      </c>
      <c r="N458">
        <f>YEAR(Table1[[#This Row],[Date]])</f>
        <v>2024</v>
      </c>
      <c r="O458" t="str">
        <f>TEXT(Table1[[#This Row],[Date]],"mmm")</f>
        <v>Dec</v>
      </c>
      <c r="P458">
        <f>MONTH(Table1[[#This Row],[Date]])</f>
        <v>12</v>
      </c>
    </row>
    <row r="459" spans="1:16" x14ac:dyDescent="0.25">
      <c r="A459" t="s">
        <v>478</v>
      </c>
      <c r="B459" t="s">
        <v>21</v>
      </c>
      <c r="C459" t="s">
        <v>10</v>
      </c>
      <c r="D459" s="1">
        <v>45408</v>
      </c>
      <c r="E459">
        <v>63804</v>
      </c>
      <c r="F459">
        <v>3885</v>
      </c>
      <c r="G459">
        <v>143</v>
      </c>
      <c r="H459" s="4">
        <v>3723.57</v>
      </c>
      <c r="I459" s="4">
        <v>11292.61</v>
      </c>
      <c r="J459" s="7">
        <f>Table1[[#This Row],[Clicks]]/Table1[[#This Row],[Impressions]]</f>
        <v>6.0889599398156857E-2</v>
      </c>
      <c r="K459" s="7">
        <f>IFERROR(Table1[[#This Row],[Conversions]]/Table1[[#This Row],[Clicks]],0)</f>
        <v>3.6808236808236805E-2</v>
      </c>
      <c r="L459" s="6">
        <f>IF(Table1[[#This Row],[Conversions]]=0,0,Table1[[#This Row],[Ad Spend]]/Table1[[#This Row],[Conversions]])</f>
        <v>26.038951048951049</v>
      </c>
      <c r="M459" s="8">
        <f>IF(Table1[[#This Row],[Ad Spend]]=0,0,Table1[[#This Row],[Revenue]]/Table1[[#This Row],[Ad Spend]])</f>
        <v>3.0327373998608862</v>
      </c>
      <c r="N459">
        <f>YEAR(Table1[[#This Row],[Date]])</f>
        <v>2024</v>
      </c>
      <c r="O459" t="str">
        <f>TEXT(Table1[[#This Row],[Date]],"mmm")</f>
        <v>Apr</v>
      </c>
      <c r="P459">
        <f>MONTH(Table1[[#This Row],[Date]])</f>
        <v>4</v>
      </c>
    </row>
    <row r="460" spans="1:16" x14ac:dyDescent="0.25">
      <c r="A460" t="s">
        <v>479</v>
      </c>
      <c r="B460" t="s">
        <v>16</v>
      </c>
      <c r="C460" t="s">
        <v>10</v>
      </c>
      <c r="D460" s="1">
        <v>45479</v>
      </c>
      <c r="E460">
        <v>14794</v>
      </c>
      <c r="F460">
        <v>536</v>
      </c>
      <c r="G460">
        <v>55</v>
      </c>
      <c r="H460" s="4">
        <v>3902</v>
      </c>
      <c r="I460" s="4">
        <v>4527.24</v>
      </c>
      <c r="J460" s="7">
        <f>Table1[[#This Row],[Clicks]]/Table1[[#This Row],[Impressions]]</f>
        <v>3.6230904420711099E-2</v>
      </c>
      <c r="K460" s="7">
        <f>IFERROR(Table1[[#This Row],[Conversions]]/Table1[[#This Row],[Clicks]],0)</f>
        <v>0.10261194029850747</v>
      </c>
      <c r="L460" s="6">
        <f>IF(Table1[[#This Row],[Conversions]]=0,0,Table1[[#This Row],[Ad Spend]]/Table1[[#This Row],[Conversions]])</f>
        <v>70.945454545454552</v>
      </c>
      <c r="M460" s="8">
        <f>IF(Table1[[#This Row],[Ad Spend]]=0,0,Table1[[#This Row],[Revenue]]/Table1[[#This Row],[Ad Spend]])</f>
        <v>1.160235776524859</v>
      </c>
      <c r="N460">
        <f>YEAR(Table1[[#This Row],[Date]])</f>
        <v>2024</v>
      </c>
      <c r="O460" t="str">
        <f>TEXT(Table1[[#This Row],[Date]],"mmm")</f>
        <v>Jul</v>
      </c>
      <c r="P460">
        <f>MONTH(Table1[[#This Row],[Date]])</f>
        <v>7</v>
      </c>
    </row>
    <row r="461" spans="1:16" x14ac:dyDescent="0.25">
      <c r="A461" t="s">
        <v>480</v>
      </c>
      <c r="B461" t="s">
        <v>31</v>
      </c>
      <c r="C461" t="s">
        <v>10</v>
      </c>
      <c r="D461" s="1">
        <v>45626</v>
      </c>
      <c r="E461">
        <v>10175</v>
      </c>
      <c r="F461">
        <v>136</v>
      </c>
      <c r="G461">
        <v>4</v>
      </c>
      <c r="H461" s="4">
        <v>2332.71</v>
      </c>
      <c r="I461" s="4">
        <v>129.44</v>
      </c>
      <c r="J461" s="7">
        <f>Table1[[#This Row],[Clicks]]/Table1[[#This Row],[Impressions]]</f>
        <v>1.3366093366093366E-2</v>
      </c>
      <c r="K461" s="7">
        <f>IFERROR(Table1[[#This Row],[Conversions]]/Table1[[#This Row],[Clicks]],0)</f>
        <v>2.9411764705882353E-2</v>
      </c>
      <c r="L461" s="6">
        <f>IF(Table1[[#This Row],[Conversions]]=0,0,Table1[[#This Row],[Ad Spend]]/Table1[[#This Row],[Conversions]])</f>
        <v>583.17750000000001</v>
      </c>
      <c r="M461" s="8">
        <f>IF(Table1[[#This Row],[Ad Spend]]=0,0,Table1[[#This Row],[Revenue]]/Table1[[#This Row],[Ad Spend]])</f>
        <v>5.5489109233466651E-2</v>
      </c>
      <c r="N461">
        <f>YEAR(Table1[[#This Row],[Date]])</f>
        <v>2024</v>
      </c>
      <c r="O461" t="str">
        <f>TEXT(Table1[[#This Row],[Date]],"mmm")</f>
        <v>Nov</v>
      </c>
      <c r="P461">
        <f>MONTH(Table1[[#This Row],[Date]])</f>
        <v>11</v>
      </c>
    </row>
    <row r="462" spans="1:16" x14ac:dyDescent="0.25">
      <c r="A462" t="s">
        <v>481</v>
      </c>
      <c r="B462" t="s">
        <v>34</v>
      </c>
      <c r="C462" t="s">
        <v>17</v>
      </c>
      <c r="D462" s="1">
        <v>45651</v>
      </c>
      <c r="E462">
        <v>45141</v>
      </c>
      <c r="F462">
        <v>1100</v>
      </c>
      <c r="G462">
        <v>120</v>
      </c>
      <c r="H462" s="4">
        <v>244.66</v>
      </c>
      <c r="I462" s="4">
        <v>7450.46</v>
      </c>
      <c r="J462" s="7">
        <f>Table1[[#This Row],[Clicks]]/Table1[[#This Row],[Impressions]]</f>
        <v>2.4368091092355066E-2</v>
      </c>
      <c r="K462" s="7">
        <f>IFERROR(Table1[[#This Row],[Conversions]]/Table1[[#This Row],[Clicks]],0)</f>
        <v>0.10909090909090909</v>
      </c>
      <c r="L462" s="6">
        <f>IF(Table1[[#This Row],[Conversions]]=0,0,Table1[[#This Row],[Ad Spend]]/Table1[[#This Row],[Conversions]])</f>
        <v>2.0388333333333333</v>
      </c>
      <c r="M462" s="8">
        <f>IF(Table1[[#This Row],[Ad Spend]]=0,0,Table1[[#This Row],[Revenue]]/Table1[[#This Row],[Ad Spend]])</f>
        <v>30.452301152619963</v>
      </c>
      <c r="N462">
        <f>YEAR(Table1[[#This Row],[Date]])</f>
        <v>2024</v>
      </c>
      <c r="O462" t="str">
        <f>TEXT(Table1[[#This Row],[Date]],"mmm")</f>
        <v>Dec</v>
      </c>
      <c r="P462">
        <f>MONTH(Table1[[#This Row],[Date]])</f>
        <v>12</v>
      </c>
    </row>
    <row r="463" spans="1:16" x14ac:dyDescent="0.25">
      <c r="A463" t="s">
        <v>482</v>
      </c>
      <c r="B463" t="s">
        <v>9</v>
      </c>
      <c r="C463" t="s">
        <v>12</v>
      </c>
      <c r="D463" s="1">
        <v>45430</v>
      </c>
      <c r="E463">
        <v>40956</v>
      </c>
      <c r="F463">
        <v>1610</v>
      </c>
      <c r="G463">
        <v>220</v>
      </c>
      <c r="H463" s="4">
        <v>2655.61</v>
      </c>
      <c r="I463" s="4">
        <v>17989.36</v>
      </c>
      <c r="J463" s="7">
        <f>Table1[[#This Row],[Clicks]]/Table1[[#This Row],[Impressions]]</f>
        <v>3.9310479539017479E-2</v>
      </c>
      <c r="K463" s="7">
        <f>IFERROR(Table1[[#This Row],[Conversions]]/Table1[[#This Row],[Clicks]],0)</f>
        <v>0.13664596273291926</v>
      </c>
      <c r="L463" s="6">
        <f>IF(Table1[[#This Row],[Conversions]]=0,0,Table1[[#This Row],[Ad Spend]]/Table1[[#This Row],[Conversions]])</f>
        <v>12.070954545454546</v>
      </c>
      <c r="M463" s="8">
        <f>IF(Table1[[#This Row],[Ad Spend]]=0,0,Table1[[#This Row],[Revenue]]/Table1[[#This Row],[Ad Spend]])</f>
        <v>6.7740971001012946</v>
      </c>
      <c r="N463">
        <f>YEAR(Table1[[#This Row],[Date]])</f>
        <v>2024</v>
      </c>
      <c r="O463" t="str">
        <f>TEXT(Table1[[#This Row],[Date]],"mmm")</f>
        <v>May</v>
      </c>
      <c r="P463">
        <f>MONTH(Table1[[#This Row],[Date]])</f>
        <v>5</v>
      </c>
    </row>
    <row r="464" spans="1:16" x14ac:dyDescent="0.25">
      <c r="A464" t="s">
        <v>483</v>
      </c>
      <c r="B464" t="s">
        <v>34</v>
      </c>
      <c r="C464" t="s">
        <v>10</v>
      </c>
      <c r="D464" s="1">
        <v>45693</v>
      </c>
      <c r="E464">
        <v>32856</v>
      </c>
      <c r="F464">
        <v>1473</v>
      </c>
      <c r="G464">
        <v>146</v>
      </c>
      <c r="H464" s="4">
        <v>3934.2</v>
      </c>
      <c r="I464" s="4">
        <v>15059.88</v>
      </c>
      <c r="J464" s="7">
        <f>Table1[[#This Row],[Clicks]]/Table1[[#This Row],[Impressions]]</f>
        <v>4.4831994156318479E-2</v>
      </c>
      <c r="K464" s="7">
        <f>IFERROR(Table1[[#This Row],[Conversions]]/Table1[[#This Row],[Clicks]],0)</f>
        <v>9.9117447386286486E-2</v>
      </c>
      <c r="L464" s="6">
        <f>IF(Table1[[#This Row],[Conversions]]=0,0,Table1[[#This Row],[Ad Spend]]/Table1[[#This Row],[Conversions]])</f>
        <v>26.946575342465753</v>
      </c>
      <c r="M464" s="8">
        <f>IF(Table1[[#This Row],[Ad Spend]]=0,0,Table1[[#This Row],[Revenue]]/Table1[[#This Row],[Ad Spend]])</f>
        <v>3.8279396065273752</v>
      </c>
      <c r="N464">
        <f>YEAR(Table1[[#This Row],[Date]])</f>
        <v>2025</v>
      </c>
      <c r="O464" t="str">
        <f>TEXT(Table1[[#This Row],[Date]],"mmm")</f>
        <v>Feb</v>
      </c>
      <c r="P464">
        <f>MONTH(Table1[[#This Row],[Date]])</f>
        <v>2</v>
      </c>
    </row>
    <row r="465" spans="1:16" x14ac:dyDescent="0.25">
      <c r="A465" t="s">
        <v>484</v>
      </c>
      <c r="B465" t="s">
        <v>14</v>
      </c>
      <c r="C465" t="s">
        <v>19</v>
      </c>
      <c r="D465" s="1">
        <v>45652</v>
      </c>
      <c r="E465">
        <v>112415</v>
      </c>
      <c r="F465">
        <v>3448</v>
      </c>
      <c r="G465">
        <v>86</v>
      </c>
      <c r="H465" s="4">
        <v>2582.5</v>
      </c>
      <c r="I465" s="4">
        <v>3506.17</v>
      </c>
      <c r="J465" s="7">
        <f>Table1[[#This Row],[Clicks]]/Table1[[#This Row],[Impressions]]</f>
        <v>3.0672063336743317E-2</v>
      </c>
      <c r="K465" s="7">
        <f>IFERROR(Table1[[#This Row],[Conversions]]/Table1[[#This Row],[Clicks]],0)</f>
        <v>2.4941995359628769E-2</v>
      </c>
      <c r="L465" s="6">
        <f>IF(Table1[[#This Row],[Conversions]]=0,0,Table1[[#This Row],[Ad Spend]]/Table1[[#This Row],[Conversions]])</f>
        <v>30.029069767441861</v>
      </c>
      <c r="M465" s="8">
        <f>IF(Table1[[#This Row],[Ad Spend]]=0,0,Table1[[#This Row],[Revenue]]/Table1[[#This Row],[Ad Spend]])</f>
        <v>1.3576650532429817</v>
      </c>
      <c r="N465">
        <f>YEAR(Table1[[#This Row],[Date]])</f>
        <v>2024</v>
      </c>
      <c r="O465" t="str">
        <f>TEXT(Table1[[#This Row],[Date]],"mmm")</f>
        <v>Dec</v>
      </c>
      <c r="P465">
        <f>MONTH(Table1[[#This Row],[Date]])</f>
        <v>12</v>
      </c>
    </row>
    <row r="466" spans="1:16" x14ac:dyDescent="0.25">
      <c r="A466" t="s">
        <v>485</v>
      </c>
      <c r="B466" t="s">
        <v>41</v>
      </c>
      <c r="C466" t="s">
        <v>19</v>
      </c>
      <c r="D466" s="1">
        <v>45412</v>
      </c>
      <c r="E466">
        <v>5717</v>
      </c>
      <c r="F466">
        <v>62</v>
      </c>
      <c r="G466">
        <v>1</v>
      </c>
      <c r="H466" s="4">
        <v>730.07</v>
      </c>
      <c r="I466" s="4">
        <v>77.42</v>
      </c>
      <c r="J466" s="7">
        <f>Table1[[#This Row],[Clicks]]/Table1[[#This Row],[Impressions]]</f>
        <v>1.0844848696868987E-2</v>
      </c>
      <c r="K466" s="7">
        <f>IFERROR(Table1[[#This Row],[Conversions]]/Table1[[#This Row],[Clicks]],0)</f>
        <v>1.6129032258064516E-2</v>
      </c>
      <c r="L466" s="6">
        <f>IF(Table1[[#This Row],[Conversions]]=0,0,Table1[[#This Row],[Ad Spend]]/Table1[[#This Row],[Conversions]])</f>
        <v>730.07</v>
      </c>
      <c r="M466" s="8">
        <f>IF(Table1[[#This Row],[Ad Spend]]=0,0,Table1[[#This Row],[Revenue]]/Table1[[#This Row],[Ad Spend]])</f>
        <v>0.10604462585779445</v>
      </c>
      <c r="N466">
        <f>YEAR(Table1[[#This Row],[Date]])</f>
        <v>2024</v>
      </c>
      <c r="O466" t="str">
        <f>TEXT(Table1[[#This Row],[Date]],"mmm")</f>
        <v>Apr</v>
      </c>
      <c r="P466">
        <f>MONTH(Table1[[#This Row],[Date]])</f>
        <v>4</v>
      </c>
    </row>
    <row r="467" spans="1:16" x14ac:dyDescent="0.25">
      <c r="A467" t="s">
        <v>486</v>
      </c>
      <c r="B467" t="s">
        <v>41</v>
      </c>
      <c r="C467" t="s">
        <v>37</v>
      </c>
      <c r="D467" s="1">
        <v>45338</v>
      </c>
      <c r="E467">
        <v>139140</v>
      </c>
      <c r="F467">
        <v>2122</v>
      </c>
      <c r="G467">
        <v>242</v>
      </c>
      <c r="H467" s="4">
        <v>4542.9399999999996</v>
      </c>
      <c r="I467" s="4">
        <v>20432.95</v>
      </c>
      <c r="J467" s="7">
        <f>Table1[[#This Row],[Clicks]]/Table1[[#This Row],[Impressions]]</f>
        <v>1.5250826505677734E-2</v>
      </c>
      <c r="K467" s="7">
        <f>IFERROR(Table1[[#This Row],[Conversions]]/Table1[[#This Row],[Clicks]],0)</f>
        <v>0.11404335532516494</v>
      </c>
      <c r="L467" s="6">
        <f>IF(Table1[[#This Row],[Conversions]]=0,0,Table1[[#This Row],[Ad Spend]]/Table1[[#This Row],[Conversions]])</f>
        <v>18.772479338842974</v>
      </c>
      <c r="M467" s="8">
        <f>IF(Table1[[#This Row],[Ad Spend]]=0,0,Table1[[#This Row],[Revenue]]/Table1[[#This Row],[Ad Spend]])</f>
        <v>4.4977371481903798</v>
      </c>
      <c r="N467">
        <f>YEAR(Table1[[#This Row],[Date]])</f>
        <v>2024</v>
      </c>
      <c r="O467" t="str">
        <f>TEXT(Table1[[#This Row],[Date]],"mmm")</f>
        <v>Feb</v>
      </c>
      <c r="P467">
        <f>MONTH(Table1[[#This Row],[Date]])</f>
        <v>2</v>
      </c>
    </row>
    <row r="468" spans="1:16" x14ac:dyDescent="0.25">
      <c r="A468" t="s">
        <v>487</v>
      </c>
      <c r="B468" t="s">
        <v>41</v>
      </c>
      <c r="C468" t="s">
        <v>19</v>
      </c>
      <c r="D468" s="1">
        <v>45427</v>
      </c>
      <c r="E468">
        <v>126707</v>
      </c>
      <c r="F468">
        <v>1711</v>
      </c>
      <c r="G468">
        <v>215</v>
      </c>
      <c r="H468" s="4">
        <v>4395.87</v>
      </c>
      <c r="I468" s="4">
        <v>22623.35</v>
      </c>
      <c r="J468" s="7">
        <f>Table1[[#This Row],[Clicks]]/Table1[[#This Row],[Impressions]]</f>
        <v>1.3503594907937209E-2</v>
      </c>
      <c r="K468" s="7">
        <f>IFERROR(Table1[[#This Row],[Conversions]]/Table1[[#This Row],[Clicks]],0)</f>
        <v>0.12565751022793689</v>
      </c>
      <c r="L468" s="6">
        <f>IF(Table1[[#This Row],[Conversions]]=0,0,Table1[[#This Row],[Ad Spend]]/Table1[[#This Row],[Conversions]])</f>
        <v>20.445906976744187</v>
      </c>
      <c r="M468" s="8">
        <f>IF(Table1[[#This Row],[Ad Spend]]=0,0,Table1[[#This Row],[Revenue]]/Table1[[#This Row],[Ad Spend]])</f>
        <v>5.1465011476681521</v>
      </c>
      <c r="N468">
        <f>YEAR(Table1[[#This Row],[Date]])</f>
        <v>2024</v>
      </c>
      <c r="O468" t="str">
        <f>TEXT(Table1[[#This Row],[Date]],"mmm")</f>
        <v>May</v>
      </c>
      <c r="P468">
        <f>MONTH(Table1[[#This Row],[Date]])</f>
        <v>5</v>
      </c>
    </row>
    <row r="469" spans="1:16" x14ac:dyDescent="0.25">
      <c r="A469" t="s">
        <v>488</v>
      </c>
      <c r="B469" t="s">
        <v>47</v>
      </c>
      <c r="C469" t="s">
        <v>19</v>
      </c>
      <c r="D469" s="1">
        <v>45510</v>
      </c>
      <c r="E469">
        <v>35382</v>
      </c>
      <c r="F469">
        <v>589</v>
      </c>
      <c r="G469">
        <v>69</v>
      </c>
      <c r="H469" s="4">
        <v>420.27</v>
      </c>
      <c r="I469" s="4">
        <v>7258.79</v>
      </c>
      <c r="J469" s="7">
        <f>Table1[[#This Row],[Clicks]]/Table1[[#This Row],[Impressions]]</f>
        <v>1.6646882595670116E-2</v>
      </c>
      <c r="K469" s="7">
        <f>IFERROR(Table1[[#This Row],[Conversions]]/Table1[[#This Row],[Clicks]],0)</f>
        <v>0.11714770797962648</v>
      </c>
      <c r="L469" s="6">
        <f>IF(Table1[[#This Row],[Conversions]]=0,0,Table1[[#This Row],[Ad Spend]]/Table1[[#This Row],[Conversions]])</f>
        <v>6.0908695652173908</v>
      </c>
      <c r="M469" s="8">
        <f>IF(Table1[[#This Row],[Ad Spend]]=0,0,Table1[[#This Row],[Revenue]]/Table1[[#This Row],[Ad Spend]])</f>
        <v>17.27173007828301</v>
      </c>
      <c r="N469">
        <f>YEAR(Table1[[#This Row],[Date]])</f>
        <v>2024</v>
      </c>
      <c r="O469" t="str">
        <f>TEXT(Table1[[#This Row],[Date]],"mmm")</f>
        <v>Aug</v>
      </c>
      <c r="P469">
        <f>MONTH(Table1[[#This Row],[Date]])</f>
        <v>8</v>
      </c>
    </row>
    <row r="470" spans="1:16" x14ac:dyDescent="0.25">
      <c r="A470" t="s">
        <v>489</v>
      </c>
      <c r="B470" t="s">
        <v>16</v>
      </c>
      <c r="C470" t="s">
        <v>19</v>
      </c>
      <c r="D470" s="1">
        <v>45475</v>
      </c>
      <c r="E470">
        <v>119744</v>
      </c>
      <c r="F470">
        <v>9203</v>
      </c>
      <c r="G470">
        <v>505</v>
      </c>
      <c r="H470" s="4">
        <v>3718.73</v>
      </c>
      <c r="I470" s="4">
        <v>28917.42</v>
      </c>
      <c r="J470" s="7">
        <f>Table1[[#This Row],[Clicks]]/Table1[[#This Row],[Impressions]]</f>
        <v>7.6855625334045968E-2</v>
      </c>
      <c r="K470" s="7">
        <f>IFERROR(Table1[[#This Row],[Conversions]]/Table1[[#This Row],[Clicks]],0)</f>
        <v>5.4873410844289906E-2</v>
      </c>
      <c r="L470" s="6">
        <f>IF(Table1[[#This Row],[Conversions]]=0,0,Table1[[#This Row],[Ad Spend]]/Table1[[#This Row],[Conversions]])</f>
        <v>7.3638217821782179</v>
      </c>
      <c r="M470" s="8">
        <f>IF(Table1[[#This Row],[Ad Spend]]=0,0,Table1[[#This Row],[Revenue]]/Table1[[#This Row],[Ad Spend]])</f>
        <v>7.7761547625130083</v>
      </c>
      <c r="N470">
        <f>YEAR(Table1[[#This Row],[Date]])</f>
        <v>2024</v>
      </c>
      <c r="O470" t="str">
        <f>TEXT(Table1[[#This Row],[Date]],"mmm")</f>
        <v>Jul</v>
      </c>
      <c r="P470">
        <f>MONTH(Table1[[#This Row],[Date]])</f>
        <v>7</v>
      </c>
    </row>
    <row r="471" spans="1:16" x14ac:dyDescent="0.25">
      <c r="A471" t="s">
        <v>490</v>
      </c>
      <c r="B471" t="s">
        <v>47</v>
      </c>
      <c r="C471" t="s">
        <v>37</v>
      </c>
      <c r="D471" s="1">
        <v>45350</v>
      </c>
      <c r="E471">
        <v>110061</v>
      </c>
      <c r="F471">
        <v>4184</v>
      </c>
      <c r="G471">
        <v>332</v>
      </c>
      <c r="H471" s="4">
        <v>4211.3999999999996</v>
      </c>
      <c r="I471" s="4">
        <v>29544.76</v>
      </c>
      <c r="J471" s="7">
        <f>Table1[[#This Row],[Clicks]]/Table1[[#This Row],[Impressions]]</f>
        <v>3.8015282434286445E-2</v>
      </c>
      <c r="K471" s="7">
        <f>IFERROR(Table1[[#This Row],[Conversions]]/Table1[[#This Row],[Clicks]],0)</f>
        <v>7.9349904397705548E-2</v>
      </c>
      <c r="L471" s="6">
        <f>IF(Table1[[#This Row],[Conversions]]=0,0,Table1[[#This Row],[Ad Spend]]/Table1[[#This Row],[Conversions]])</f>
        <v>12.684939759036144</v>
      </c>
      <c r="M471" s="8">
        <f>IF(Table1[[#This Row],[Ad Spend]]=0,0,Table1[[#This Row],[Revenue]]/Table1[[#This Row],[Ad Spend]])</f>
        <v>7.0154247993541343</v>
      </c>
      <c r="N471">
        <f>YEAR(Table1[[#This Row],[Date]])</f>
        <v>2024</v>
      </c>
      <c r="O471" t="str">
        <f>TEXT(Table1[[#This Row],[Date]],"mmm")</f>
        <v>Feb</v>
      </c>
      <c r="P471">
        <f>MONTH(Table1[[#This Row],[Date]])</f>
        <v>2</v>
      </c>
    </row>
    <row r="472" spans="1:16" x14ac:dyDescent="0.25">
      <c r="A472" t="s">
        <v>491</v>
      </c>
      <c r="B472" t="s">
        <v>41</v>
      </c>
      <c r="C472" t="s">
        <v>17</v>
      </c>
      <c r="D472" s="1">
        <v>45624</v>
      </c>
      <c r="E472">
        <v>48720</v>
      </c>
      <c r="F472">
        <v>872</v>
      </c>
      <c r="G472">
        <v>96</v>
      </c>
      <c r="H472" s="4">
        <v>481.5</v>
      </c>
      <c r="I472" s="4">
        <v>10967.68</v>
      </c>
      <c r="J472" s="7">
        <f>Table1[[#This Row],[Clicks]]/Table1[[#This Row],[Impressions]]</f>
        <v>1.7898193760262728E-2</v>
      </c>
      <c r="K472" s="7">
        <f>IFERROR(Table1[[#This Row],[Conversions]]/Table1[[#This Row],[Clicks]],0)</f>
        <v>0.11009174311926606</v>
      </c>
      <c r="L472" s="6">
        <f>IF(Table1[[#This Row],[Conversions]]=0,0,Table1[[#This Row],[Ad Spend]]/Table1[[#This Row],[Conversions]])</f>
        <v>5.015625</v>
      </c>
      <c r="M472" s="8">
        <f>IF(Table1[[#This Row],[Ad Spend]]=0,0,Table1[[#This Row],[Revenue]]/Table1[[#This Row],[Ad Spend]])</f>
        <v>22.778151609553479</v>
      </c>
      <c r="N472">
        <f>YEAR(Table1[[#This Row],[Date]])</f>
        <v>2024</v>
      </c>
      <c r="O472" t="str">
        <f>TEXT(Table1[[#This Row],[Date]],"mmm")</f>
        <v>Nov</v>
      </c>
      <c r="P472">
        <f>MONTH(Table1[[#This Row],[Date]])</f>
        <v>11</v>
      </c>
    </row>
    <row r="473" spans="1:16" x14ac:dyDescent="0.25">
      <c r="A473" t="s">
        <v>492</v>
      </c>
      <c r="B473" t="s">
        <v>16</v>
      </c>
      <c r="C473" t="s">
        <v>10</v>
      </c>
      <c r="D473" s="1">
        <v>45505</v>
      </c>
      <c r="E473">
        <v>131530</v>
      </c>
      <c r="F473">
        <v>8701</v>
      </c>
      <c r="G473">
        <v>941</v>
      </c>
      <c r="H473" s="4">
        <v>1070.05</v>
      </c>
      <c r="I473" s="4">
        <v>54554.55</v>
      </c>
      <c r="J473" s="7">
        <f>Table1[[#This Row],[Clicks]]/Table1[[#This Row],[Impressions]]</f>
        <v>6.6152208621607242E-2</v>
      </c>
      <c r="K473" s="7">
        <f>IFERROR(Table1[[#This Row],[Conversions]]/Table1[[#This Row],[Clicks]],0)</f>
        <v>0.10814848867946213</v>
      </c>
      <c r="L473" s="6">
        <f>IF(Table1[[#This Row],[Conversions]]=0,0,Table1[[#This Row],[Ad Spend]]/Table1[[#This Row],[Conversions]])</f>
        <v>1.1371413390010627</v>
      </c>
      <c r="M473" s="8">
        <f>IF(Table1[[#This Row],[Ad Spend]]=0,0,Table1[[#This Row],[Revenue]]/Table1[[#This Row],[Ad Spend]])</f>
        <v>50.983178356151583</v>
      </c>
      <c r="N473">
        <f>YEAR(Table1[[#This Row],[Date]])</f>
        <v>2024</v>
      </c>
      <c r="O473" t="str">
        <f>TEXT(Table1[[#This Row],[Date]],"mmm")</f>
        <v>Aug</v>
      </c>
      <c r="P473">
        <f>MONTH(Table1[[#This Row],[Date]])</f>
        <v>8</v>
      </c>
    </row>
    <row r="474" spans="1:16" x14ac:dyDescent="0.25">
      <c r="A474" t="s">
        <v>493</v>
      </c>
      <c r="B474" t="s">
        <v>47</v>
      </c>
      <c r="C474" t="s">
        <v>12</v>
      </c>
      <c r="D474" s="1">
        <v>45306</v>
      </c>
      <c r="E474">
        <v>39250</v>
      </c>
      <c r="F474">
        <v>1719</v>
      </c>
      <c r="G474">
        <v>143</v>
      </c>
      <c r="H474" s="4">
        <v>4460.45</v>
      </c>
      <c r="I474" s="4">
        <v>9161.84</v>
      </c>
      <c r="J474" s="7">
        <f>Table1[[#This Row],[Clicks]]/Table1[[#This Row],[Impressions]]</f>
        <v>4.3796178343949048E-2</v>
      </c>
      <c r="K474" s="7">
        <f>IFERROR(Table1[[#This Row],[Conversions]]/Table1[[#This Row],[Clicks]],0)</f>
        <v>8.318789994182664E-2</v>
      </c>
      <c r="L474" s="6">
        <f>IF(Table1[[#This Row],[Conversions]]=0,0,Table1[[#This Row],[Ad Spend]]/Table1[[#This Row],[Conversions]])</f>
        <v>31.191958041958042</v>
      </c>
      <c r="M474" s="8">
        <f>IF(Table1[[#This Row],[Ad Spend]]=0,0,Table1[[#This Row],[Revenue]]/Table1[[#This Row],[Ad Spend]])</f>
        <v>2.0540169713818113</v>
      </c>
      <c r="N474">
        <f>YEAR(Table1[[#This Row],[Date]])</f>
        <v>2024</v>
      </c>
      <c r="O474" t="str">
        <f>TEXT(Table1[[#This Row],[Date]],"mmm")</f>
        <v>Jan</v>
      </c>
      <c r="P474">
        <f>MONTH(Table1[[#This Row],[Date]])</f>
        <v>1</v>
      </c>
    </row>
    <row r="475" spans="1:16" x14ac:dyDescent="0.25">
      <c r="A475" t="s">
        <v>494</v>
      </c>
      <c r="B475" t="s">
        <v>9</v>
      </c>
      <c r="C475" t="s">
        <v>19</v>
      </c>
      <c r="D475" s="1">
        <v>45627</v>
      </c>
      <c r="E475">
        <v>87375</v>
      </c>
      <c r="F475">
        <v>949</v>
      </c>
      <c r="G475">
        <v>126</v>
      </c>
      <c r="H475" s="4">
        <v>2719.13</v>
      </c>
      <c r="I475" s="4">
        <v>11889.66</v>
      </c>
      <c r="J475" s="7">
        <f>Table1[[#This Row],[Clicks]]/Table1[[#This Row],[Impressions]]</f>
        <v>1.0861230329041488E-2</v>
      </c>
      <c r="K475" s="7">
        <f>IFERROR(Table1[[#This Row],[Conversions]]/Table1[[#This Row],[Clicks]],0)</f>
        <v>0.13277133825079029</v>
      </c>
      <c r="L475" s="6">
        <f>IF(Table1[[#This Row],[Conversions]]=0,0,Table1[[#This Row],[Ad Spend]]/Table1[[#This Row],[Conversions]])</f>
        <v>21.580396825396825</v>
      </c>
      <c r="M475" s="8">
        <f>IF(Table1[[#This Row],[Ad Spend]]=0,0,Table1[[#This Row],[Revenue]]/Table1[[#This Row],[Ad Spend]])</f>
        <v>4.3725971174603639</v>
      </c>
      <c r="N475">
        <f>YEAR(Table1[[#This Row],[Date]])</f>
        <v>2024</v>
      </c>
      <c r="O475" t="str">
        <f>TEXT(Table1[[#This Row],[Date]],"mmm")</f>
        <v>Dec</v>
      </c>
      <c r="P475">
        <f>MONTH(Table1[[#This Row],[Date]])</f>
        <v>12</v>
      </c>
    </row>
    <row r="476" spans="1:16" x14ac:dyDescent="0.25">
      <c r="A476" t="s">
        <v>495</v>
      </c>
      <c r="B476" t="s">
        <v>14</v>
      </c>
      <c r="C476" t="s">
        <v>19</v>
      </c>
      <c r="D476" s="1">
        <v>45557</v>
      </c>
      <c r="E476">
        <v>142128</v>
      </c>
      <c r="F476">
        <v>8268</v>
      </c>
      <c r="G476">
        <v>829</v>
      </c>
      <c r="H476" s="4">
        <v>2277.67</v>
      </c>
      <c r="I476" s="4">
        <v>76819.45</v>
      </c>
      <c r="J476" s="7">
        <f>Table1[[#This Row],[Clicks]]/Table1[[#This Row],[Impressions]]</f>
        <v>5.8172914555893282E-2</v>
      </c>
      <c r="K476" s="7">
        <f>IFERROR(Table1[[#This Row],[Conversions]]/Table1[[#This Row],[Clicks]],0)</f>
        <v>0.10026608611514272</v>
      </c>
      <c r="L476" s="6">
        <f>IF(Table1[[#This Row],[Conversions]]=0,0,Table1[[#This Row],[Ad Spend]]/Table1[[#This Row],[Conversions]])</f>
        <v>2.7474909529553679</v>
      </c>
      <c r="M476" s="8">
        <f>IF(Table1[[#This Row],[Ad Spend]]=0,0,Table1[[#This Row],[Revenue]]/Table1[[#This Row],[Ad Spend]])</f>
        <v>33.72720806789394</v>
      </c>
      <c r="N476">
        <f>YEAR(Table1[[#This Row],[Date]])</f>
        <v>2024</v>
      </c>
      <c r="O476" t="str">
        <f>TEXT(Table1[[#This Row],[Date]],"mmm")</f>
        <v>Sept</v>
      </c>
      <c r="P476">
        <f>MONTH(Table1[[#This Row],[Date]])</f>
        <v>9</v>
      </c>
    </row>
    <row r="477" spans="1:16" x14ac:dyDescent="0.25">
      <c r="A477" t="s">
        <v>496</v>
      </c>
      <c r="B477" t="s">
        <v>41</v>
      </c>
      <c r="C477" t="s">
        <v>19</v>
      </c>
      <c r="D477" s="1">
        <v>45631</v>
      </c>
      <c r="E477">
        <v>105893</v>
      </c>
      <c r="F477">
        <v>2160</v>
      </c>
      <c r="G477">
        <v>275</v>
      </c>
      <c r="H477" s="4">
        <v>4481.8999999999996</v>
      </c>
      <c r="I477" s="4">
        <v>22355.14</v>
      </c>
      <c r="J477" s="7">
        <f>Table1[[#This Row],[Clicks]]/Table1[[#This Row],[Impressions]]</f>
        <v>2.0397948872918889E-2</v>
      </c>
      <c r="K477" s="7">
        <f>IFERROR(Table1[[#This Row],[Conversions]]/Table1[[#This Row],[Clicks]],0)</f>
        <v>0.12731481481481483</v>
      </c>
      <c r="L477" s="6">
        <f>IF(Table1[[#This Row],[Conversions]]=0,0,Table1[[#This Row],[Ad Spend]]/Table1[[#This Row],[Conversions]])</f>
        <v>16.29781818181818</v>
      </c>
      <c r="M477" s="8">
        <f>IF(Table1[[#This Row],[Ad Spend]]=0,0,Table1[[#This Row],[Revenue]]/Table1[[#This Row],[Ad Spend]])</f>
        <v>4.9878712153327829</v>
      </c>
      <c r="N477">
        <f>YEAR(Table1[[#This Row],[Date]])</f>
        <v>2024</v>
      </c>
      <c r="O477" t="str">
        <f>TEXT(Table1[[#This Row],[Date]],"mmm")</f>
        <v>Dec</v>
      </c>
      <c r="P477">
        <f>MONTH(Table1[[#This Row],[Date]])</f>
        <v>12</v>
      </c>
    </row>
    <row r="478" spans="1:16" x14ac:dyDescent="0.25">
      <c r="A478" t="s">
        <v>497</v>
      </c>
      <c r="B478" t="s">
        <v>31</v>
      </c>
      <c r="C478" t="s">
        <v>37</v>
      </c>
      <c r="D478" s="1">
        <v>45550</v>
      </c>
      <c r="E478">
        <v>128021</v>
      </c>
      <c r="F478">
        <v>8914</v>
      </c>
      <c r="G478">
        <v>1185</v>
      </c>
      <c r="H478" s="4">
        <v>559.35</v>
      </c>
      <c r="I478" s="4">
        <v>81960.28</v>
      </c>
      <c r="J478" s="7">
        <f>Table1[[#This Row],[Clicks]]/Table1[[#This Row],[Impressions]]</f>
        <v>6.9629201459135606E-2</v>
      </c>
      <c r="K478" s="7">
        <f>IFERROR(Table1[[#This Row],[Conversions]]/Table1[[#This Row],[Clicks]],0)</f>
        <v>0.13293695310747139</v>
      </c>
      <c r="L478" s="6">
        <f>IF(Table1[[#This Row],[Conversions]]=0,0,Table1[[#This Row],[Ad Spend]]/Table1[[#This Row],[Conversions]])</f>
        <v>0.47202531645569623</v>
      </c>
      <c r="M478" s="8">
        <f>IF(Table1[[#This Row],[Ad Spend]]=0,0,Table1[[#This Row],[Revenue]]/Table1[[#This Row],[Ad Spend]])</f>
        <v>146.52771967462232</v>
      </c>
      <c r="N478">
        <f>YEAR(Table1[[#This Row],[Date]])</f>
        <v>2024</v>
      </c>
      <c r="O478" t="str">
        <f>TEXT(Table1[[#This Row],[Date]],"mmm")</f>
        <v>Sept</v>
      </c>
      <c r="P478">
        <f>MONTH(Table1[[#This Row],[Date]])</f>
        <v>9</v>
      </c>
    </row>
    <row r="479" spans="1:16" x14ac:dyDescent="0.25">
      <c r="A479" t="s">
        <v>498</v>
      </c>
      <c r="B479" t="s">
        <v>14</v>
      </c>
      <c r="C479" t="s">
        <v>19</v>
      </c>
      <c r="D479" s="1">
        <v>45434</v>
      </c>
      <c r="E479">
        <v>18199</v>
      </c>
      <c r="F479">
        <v>827</v>
      </c>
      <c r="G479">
        <v>75</v>
      </c>
      <c r="H479" s="4">
        <v>2017.46</v>
      </c>
      <c r="I479" s="4">
        <v>7628.27</v>
      </c>
      <c r="J479" s="7">
        <f>Table1[[#This Row],[Clicks]]/Table1[[#This Row],[Impressions]]</f>
        <v>4.5442057255893183E-2</v>
      </c>
      <c r="K479" s="7">
        <f>IFERROR(Table1[[#This Row],[Conversions]]/Table1[[#This Row],[Clicks]],0)</f>
        <v>9.0689238210399037E-2</v>
      </c>
      <c r="L479" s="6">
        <f>IF(Table1[[#This Row],[Conversions]]=0,0,Table1[[#This Row],[Ad Spend]]/Table1[[#This Row],[Conversions]])</f>
        <v>26.899466666666669</v>
      </c>
      <c r="M479" s="8">
        <f>IF(Table1[[#This Row],[Ad Spend]]=0,0,Table1[[#This Row],[Revenue]]/Table1[[#This Row],[Ad Spend]])</f>
        <v>3.7811257720103497</v>
      </c>
      <c r="N479">
        <f>YEAR(Table1[[#This Row],[Date]])</f>
        <v>2024</v>
      </c>
      <c r="O479" t="str">
        <f>TEXT(Table1[[#This Row],[Date]],"mmm")</f>
        <v>May</v>
      </c>
      <c r="P479">
        <f>MONTH(Table1[[#This Row],[Date]])</f>
        <v>5</v>
      </c>
    </row>
    <row r="480" spans="1:16" x14ac:dyDescent="0.25">
      <c r="A480" t="s">
        <v>499</v>
      </c>
      <c r="B480" t="s">
        <v>9</v>
      </c>
      <c r="C480" t="s">
        <v>17</v>
      </c>
      <c r="D480" s="1">
        <v>45519</v>
      </c>
      <c r="E480">
        <v>122466</v>
      </c>
      <c r="F480">
        <v>1979</v>
      </c>
      <c r="G480">
        <v>167</v>
      </c>
      <c r="H480" s="4">
        <v>1717.1</v>
      </c>
      <c r="I480" s="4">
        <v>19717.2</v>
      </c>
      <c r="J480" s="7">
        <f>Table1[[#This Row],[Clicks]]/Table1[[#This Row],[Impressions]]</f>
        <v>1.6159587150719384E-2</v>
      </c>
      <c r="K480" s="7">
        <f>IFERROR(Table1[[#This Row],[Conversions]]/Table1[[#This Row],[Clicks]],0)</f>
        <v>8.438605356240525E-2</v>
      </c>
      <c r="L480" s="6">
        <f>IF(Table1[[#This Row],[Conversions]]=0,0,Table1[[#This Row],[Ad Spend]]/Table1[[#This Row],[Conversions]])</f>
        <v>10.282035928143712</v>
      </c>
      <c r="M480" s="8">
        <f>IF(Table1[[#This Row],[Ad Spend]]=0,0,Table1[[#This Row],[Revenue]]/Table1[[#This Row],[Ad Spend]])</f>
        <v>11.482848989575448</v>
      </c>
      <c r="N480">
        <f>YEAR(Table1[[#This Row],[Date]])</f>
        <v>2024</v>
      </c>
      <c r="O480" t="str">
        <f>TEXT(Table1[[#This Row],[Date]],"mmm")</f>
        <v>Aug</v>
      </c>
      <c r="P480">
        <f>MONTH(Table1[[#This Row],[Date]])</f>
        <v>8</v>
      </c>
    </row>
    <row r="481" spans="1:16" x14ac:dyDescent="0.25">
      <c r="A481" t="s">
        <v>500</v>
      </c>
      <c r="B481" t="s">
        <v>31</v>
      </c>
      <c r="C481" t="s">
        <v>10</v>
      </c>
      <c r="D481" s="1">
        <v>45498</v>
      </c>
      <c r="E481">
        <v>113092</v>
      </c>
      <c r="F481">
        <v>1414</v>
      </c>
      <c r="G481">
        <v>129</v>
      </c>
      <c r="H481" s="4">
        <v>4164.3599999999997</v>
      </c>
      <c r="I481" s="4">
        <v>12794</v>
      </c>
      <c r="J481" s="7">
        <f>Table1[[#This Row],[Clicks]]/Table1[[#This Row],[Impressions]]</f>
        <v>1.2503094825451845E-2</v>
      </c>
      <c r="K481" s="7">
        <f>IFERROR(Table1[[#This Row],[Conversions]]/Table1[[#This Row],[Clicks]],0)</f>
        <v>9.123055162659123E-2</v>
      </c>
      <c r="L481" s="6">
        <f>IF(Table1[[#This Row],[Conversions]]=0,0,Table1[[#This Row],[Ad Spend]]/Table1[[#This Row],[Conversions]])</f>
        <v>32.281860465116274</v>
      </c>
      <c r="M481" s="8">
        <f>IF(Table1[[#This Row],[Ad Spend]]=0,0,Table1[[#This Row],[Revenue]]/Table1[[#This Row],[Ad Spend]])</f>
        <v>3.0722608035808627</v>
      </c>
      <c r="N481">
        <f>YEAR(Table1[[#This Row],[Date]])</f>
        <v>2024</v>
      </c>
      <c r="O481" t="str">
        <f>TEXT(Table1[[#This Row],[Date]],"mmm")</f>
        <v>Jul</v>
      </c>
      <c r="P481">
        <f>MONTH(Table1[[#This Row],[Date]])</f>
        <v>7</v>
      </c>
    </row>
    <row r="482" spans="1:16" x14ac:dyDescent="0.25">
      <c r="A482" t="s">
        <v>501</v>
      </c>
      <c r="B482" t="s">
        <v>34</v>
      </c>
      <c r="C482" t="s">
        <v>12</v>
      </c>
      <c r="D482" s="1">
        <v>45579</v>
      </c>
      <c r="E482">
        <v>59224</v>
      </c>
      <c r="F482">
        <v>3305</v>
      </c>
      <c r="G482">
        <v>262</v>
      </c>
      <c r="H482" s="4">
        <v>1836.1</v>
      </c>
      <c r="I482" s="4">
        <v>26863.15</v>
      </c>
      <c r="J482" s="7">
        <f>Table1[[#This Row],[Clicks]]/Table1[[#This Row],[Impressions]]</f>
        <v>5.5805079022018103E-2</v>
      </c>
      <c r="K482" s="7">
        <f>IFERROR(Table1[[#This Row],[Conversions]]/Table1[[#This Row],[Clicks]],0)</f>
        <v>7.9273827534039332E-2</v>
      </c>
      <c r="L482" s="6">
        <f>IF(Table1[[#This Row],[Conversions]]=0,0,Table1[[#This Row],[Ad Spend]]/Table1[[#This Row],[Conversions]])</f>
        <v>7.0080152671755718</v>
      </c>
      <c r="M482" s="8">
        <f>IF(Table1[[#This Row],[Ad Spend]]=0,0,Table1[[#This Row],[Revenue]]/Table1[[#This Row],[Ad Spend]])</f>
        <v>14.630548445073799</v>
      </c>
      <c r="N482">
        <f>YEAR(Table1[[#This Row],[Date]])</f>
        <v>2024</v>
      </c>
      <c r="O482" t="str">
        <f>TEXT(Table1[[#This Row],[Date]],"mmm")</f>
        <v>Oct</v>
      </c>
      <c r="P482">
        <f>MONTH(Table1[[#This Row],[Date]])</f>
        <v>10</v>
      </c>
    </row>
    <row r="483" spans="1:16" x14ac:dyDescent="0.25">
      <c r="A483" t="s">
        <v>502</v>
      </c>
      <c r="B483" t="s">
        <v>14</v>
      </c>
      <c r="C483" t="s">
        <v>17</v>
      </c>
      <c r="D483" s="1">
        <v>45461</v>
      </c>
      <c r="E483">
        <v>129029</v>
      </c>
      <c r="F483">
        <v>7763</v>
      </c>
      <c r="G483">
        <v>521</v>
      </c>
      <c r="H483" s="4">
        <v>2372.16</v>
      </c>
      <c r="I483" s="4">
        <v>15496.47</v>
      </c>
      <c r="J483" s="7">
        <f>Table1[[#This Row],[Clicks]]/Table1[[#This Row],[Impressions]]</f>
        <v>6.0164769160421301E-2</v>
      </c>
      <c r="K483" s="7">
        <f>IFERROR(Table1[[#This Row],[Conversions]]/Table1[[#This Row],[Clicks]],0)</f>
        <v>6.711322942161535E-2</v>
      </c>
      <c r="L483" s="6">
        <f>IF(Table1[[#This Row],[Conversions]]=0,0,Table1[[#This Row],[Ad Spend]]/Table1[[#This Row],[Conversions]])</f>
        <v>4.5530902111324369</v>
      </c>
      <c r="M483" s="8">
        <f>IF(Table1[[#This Row],[Ad Spend]]=0,0,Table1[[#This Row],[Revenue]]/Table1[[#This Row],[Ad Spend]])</f>
        <v>6.5326411371914208</v>
      </c>
      <c r="N483">
        <f>YEAR(Table1[[#This Row],[Date]])</f>
        <v>2024</v>
      </c>
      <c r="O483" t="str">
        <f>TEXT(Table1[[#This Row],[Date]],"mmm")</f>
        <v>Jun</v>
      </c>
      <c r="P483">
        <f>MONTH(Table1[[#This Row],[Date]])</f>
        <v>6</v>
      </c>
    </row>
    <row r="484" spans="1:16" x14ac:dyDescent="0.25">
      <c r="A484" t="s">
        <v>503</v>
      </c>
      <c r="B484" t="s">
        <v>14</v>
      </c>
      <c r="C484" t="s">
        <v>10</v>
      </c>
      <c r="D484" s="1">
        <v>45466</v>
      </c>
      <c r="E484">
        <v>98097</v>
      </c>
      <c r="F484">
        <v>6679</v>
      </c>
      <c r="G484">
        <v>970</v>
      </c>
      <c r="H484" s="4">
        <v>1601.52</v>
      </c>
      <c r="I484" s="4">
        <v>70032.55</v>
      </c>
      <c r="J484" s="7">
        <f>Table1[[#This Row],[Clicks]]/Table1[[#This Row],[Impressions]]</f>
        <v>6.8085670305921692E-2</v>
      </c>
      <c r="K484" s="7">
        <f>IFERROR(Table1[[#This Row],[Conversions]]/Table1[[#This Row],[Clicks]],0)</f>
        <v>0.14523132205419972</v>
      </c>
      <c r="L484" s="6">
        <f>IF(Table1[[#This Row],[Conversions]]=0,0,Table1[[#This Row],[Ad Spend]]/Table1[[#This Row],[Conversions]])</f>
        <v>1.6510515463917526</v>
      </c>
      <c r="M484" s="8">
        <f>IF(Table1[[#This Row],[Ad Spend]]=0,0,Table1[[#This Row],[Revenue]]/Table1[[#This Row],[Ad Spend]])</f>
        <v>43.728801388680758</v>
      </c>
      <c r="N484">
        <f>YEAR(Table1[[#This Row],[Date]])</f>
        <v>2024</v>
      </c>
      <c r="O484" t="str">
        <f>TEXT(Table1[[#This Row],[Date]],"mmm")</f>
        <v>Jun</v>
      </c>
      <c r="P484">
        <f>MONTH(Table1[[#This Row],[Date]])</f>
        <v>6</v>
      </c>
    </row>
    <row r="485" spans="1:16" x14ac:dyDescent="0.25">
      <c r="A485" t="s">
        <v>504</v>
      </c>
      <c r="B485" t="s">
        <v>9</v>
      </c>
      <c r="C485" t="s">
        <v>10</v>
      </c>
      <c r="D485" s="1">
        <v>45376</v>
      </c>
      <c r="E485">
        <v>134085</v>
      </c>
      <c r="F485">
        <v>2659</v>
      </c>
      <c r="G485">
        <v>300</v>
      </c>
      <c r="H485" s="4">
        <v>3663.48</v>
      </c>
      <c r="I485" s="4">
        <v>9208.85</v>
      </c>
      <c r="J485" s="7">
        <f>Table1[[#This Row],[Clicks]]/Table1[[#This Row],[Impressions]]</f>
        <v>1.9830704403922886E-2</v>
      </c>
      <c r="K485" s="7">
        <f>IFERROR(Table1[[#This Row],[Conversions]]/Table1[[#This Row],[Clicks]],0)</f>
        <v>0.11282437006393381</v>
      </c>
      <c r="L485" s="6">
        <f>IF(Table1[[#This Row],[Conversions]]=0,0,Table1[[#This Row],[Ad Spend]]/Table1[[#This Row],[Conversions]])</f>
        <v>12.211600000000001</v>
      </c>
      <c r="M485" s="8">
        <f>IF(Table1[[#This Row],[Ad Spend]]=0,0,Table1[[#This Row],[Revenue]]/Table1[[#This Row],[Ad Spend]])</f>
        <v>2.5136891698603514</v>
      </c>
      <c r="N485">
        <f>YEAR(Table1[[#This Row],[Date]])</f>
        <v>2024</v>
      </c>
      <c r="O485" t="str">
        <f>TEXT(Table1[[#This Row],[Date]],"mmm")</f>
        <v>Mar</v>
      </c>
      <c r="P485">
        <f>MONTH(Table1[[#This Row],[Date]])</f>
        <v>3</v>
      </c>
    </row>
    <row r="486" spans="1:16" x14ac:dyDescent="0.25">
      <c r="A486" t="s">
        <v>505</v>
      </c>
      <c r="B486" t="s">
        <v>14</v>
      </c>
      <c r="C486" t="s">
        <v>37</v>
      </c>
      <c r="D486" s="1">
        <v>45353</v>
      </c>
      <c r="E486">
        <v>107995</v>
      </c>
      <c r="F486">
        <v>2709</v>
      </c>
      <c r="G486">
        <v>344</v>
      </c>
      <c r="H486" s="4">
        <v>1114.78</v>
      </c>
      <c r="I486" s="4">
        <v>18504.91</v>
      </c>
      <c r="J486" s="7">
        <f>Table1[[#This Row],[Clicks]]/Table1[[#This Row],[Impressions]]</f>
        <v>2.5084494652530209E-2</v>
      </c>
      <c r="K486" s="7">
        <f>IFERROR(Table1[[#This Row],[Conversions]]/Table1[[#This Row],[Clicks]],0)</f>
        <v>0.12698412698412698</v>
      </c>
      <c r="L486" s="6">
        <f>IF(Table1[[#This Row],[Conversions]]=0,0,Table1[[#This Row],[Ad Spend]]/Table1[[#This Row],[Conversions]])</f>
        <v>3.2406395348837207</v>
      </c>
      <c r="M486" s="8">
        <f>IF(Table1[[#This Row],[Ad Spend]]=0,0,Table1[[#This Row],[Revenue]]/Table1[[#This Row],[Ad Spend]])</f>
        <v>16.599607097364501</v>
      </c>
      <c r="N486">
        <f>YEAR(Table1[[#This Row],[Date]])</f>
        <v>2024</v>
      </c>
      <c r="O486" t="str">
        <f>TEXT(Table1[[#This Row],[Date]],"mmm")</f>
        <v>Mar</v>
      </c>
      <c r="P486">
        <f>MONTH(Table1[[#This Row],[Date]])</f>
        <v>3</v>
      </c>
    </row>
    <row r="487" spans="1:16" x14ac:dyDescent="0.25">
      <c r="A487" t="s">
        <v>506</v>
      </c>
      <c r="B487" t="s">
        <v>21</v>
      </c>
      <c r="C487" t="s">
        <v>10</v>
      </c>
      <c r="D487" s="1">
        <v>45616</v>
      </c>
      <c r="E487">
        <v>37301</v>
      </c>
      <c r="F487">
        <v>2389</v>
      </c>
      <c r="G487">
        <v>187</v>
      </c>
      <c r="H487" s="4">
        <v>3360.59</v>
      </c>
      <c r="I487" s="4">
        <v>21620.76</v>
      </c>
      <c r="J487" s="7">
        <f>Table1[[#This Row],[Clicks]]/Table1[[#This Row],[Impressions]]</f>
        <v>6.4046540307230365E-2</v>
      </c>
      <c r="K487" s="7">
        <f>IFERROR(Table1[[#This Row],[Conversions]]/Table1[[#This Row],[Clicks]],0)</f>
        <v>7.8275429049811635E-2</v>
      </c>
      <c r="L487" s="6">
        <f>IF(Table1[[#This Row],[Conversions]]=0,0,Table1[[#This Row],[Ad Spend]]/Table1[[#This Row],[Conversions]])</f>
        <v>17.971069518716579</v>
      </c>
      <c r="M487" s="8">
        <f>IF(Table1[[#This Row],[Ad Spend]]=0,0,Table1[[#This Row],[Revenue]]/Table1[[#This Row],[Ad Spend]])</f>
        <v>6.4336202869139045</v>
      </c>
      <c r="N487">
        <f>YEAR(Table1[[#This Row],[Date]])</f>
        <v>2024</v>
      </c>
      <c r="O487" t="str">
        <f>TEXT(Table1[[#This Row],[Date]],"mmm")</f>
        <v>Nov</v>
      </c>
      <c r="P487">
        <f>MONTH(Table1[[#This Row],[Date]])</f>
        <v>11</v>
      </c>
    </row>
    <row r="488" spans="1:16" x14ac:dyDescent="0.25">
      <c r="A488" t="s">
        <v>507</v>
      </c>
      <c r="B488" t="s">
        <v>16</v>
      </c>
      <c r="C488" t="s">
        <v>17</v>
      </c>
      <c r="D488" s="1">
        <v>45294</v>
      </c>
      <c r="E488">
        <v>144031</v>
      </c>
      <c r="F488">
        <v>8862</v>
      </c>
      <c r="G488">
        <v>814</v>
      </c>
      <c r="H488" s="4">
        <v>2277.4899999999998</v>
      </c>
      <c r="I488" s="4">
        <v>63908.83</v>
      </c>
      <c r="J488" s="7">
        <f>Table1[[#This Row],[Clicks]]/Table1[[#This Row],[Impressions]]</f>
        <v>6.1528420964931163E-2</v>
      </c>
      <c r="K488" s="7">
        <f>IFERROR(Table1[[#This Row],[Conversions]]/Table1[[#This Row],[Clicks]],0)</f>
        <v>9.1852854886030247E-2</v>
      </c>
      <c r="L488" s="6">
        <f>IF(Table1[[#This Row],[Conversions]]=0,0,Table1[[#This Row],[Ad Spend]]/Table1[[#This Row],[Conversions]])</f>
        <v>2.7978992628992625</v>
      </c>
      <c r="M488" s="8">
        <f>IF(Table1[[#This Row],[Ad Spend]]=0,0,Table1[[#This Row],[Revenue]]/Table1[[#This Row],[Ad Spend]])</f>
        <v>28.061080399913944</v>
      </c>
      <c r="N488">
        <f>YEAR(Table1[[#This Row],[Date]])</f>
        <v>2024</v>
      </c>
      <c r="O488" t="str">
        <f>TEXT(Table1[[#This Row],[Date]],"mmm")</f>
        <v>Jan</v>
      </c>
      <c r="P488">
        <f>MONTH(Table1[[#This Row],[Date]])</f>
        <v>1</v>
      </c>
    </row>
    <row r="489" spans="1:16" x14ac:dyDescent="0.25">
      <c r="A489" t="s">
        <v>508</v>
      </c>
      <c r="B489" t="s">
        <v>16</v>
      </c>
      <c r="C489" t="s">
        <v>12</v>
      </c>
      <c r="D489" s="1">
        <v>45380</v>
      </c>
      <c r="E489">
        <v>38654</v>
      </c>
      <c r="F489">
        <v>666</v>
      </c>
      <c r="G489">
        <v>70</v>
      </c>
      <c r="H489" s="4">
        <v>3109.57</v>
      </c>
      <c r="I489" s="4">
        <v>3652.91</v>
      </c>
      <c r="J489" s="7">
        <f>Table1[[#This Row],[Clicks]]/Table1[[#This Row],[Impressions]]</f>
        <v>1.7229782170021215E-2</v>
      </c>
      <c r="K489" s="7">
        <f>IFERROR(Table1[[#This Row],[Conversions]]/Table1[[#This Row],[Clicks]],0)</f>
        <v>0.10510510510510511</v>
      </c>
      <c r="L489" s="6">
        <f>IF(Table1[[#This Row],[Conversions]]=0,0,Table1[[#This Row],[Ad Spend]]/Table1[[#This Row],[Conversions]])</f>
        <v>44.422428571428576</v>
      </c>
      <c r="M489" s="8">
        <f>IF(Table1[[#This Row],[Ad Spend]]=0,0,Table1[[#This Row],[Revenue]]/Table1[[#This Row],[Ad Spend]])</f>
        <v>1.1747315545236157</v>
      </c>
      <c r="N489">
        <f>YEAR(Table1[[#This Row],[Date]])</f>
        <v>2024</v>
      </c>
      <c r="O489" t="str">
        <f>TEXT(Table1[[#This Row],[Date]],"mmm")</f>
        <v>Mar</v>
      </c>
      <c r="P489">
        <f>MONTH(Table1[[#This Row],[Date]])</f>
        <v>3</v>
      </c>
    </row>
    <row r="490" spans="1:16" x14ac:dyDescent="0.25">
      <c r="A490" t="s">
        <v>509</v>
      </c>
      <c r="B490" t="s">
        <v>21</v>
      </c>
      <c r="C490" t="s">
        <v>17</v>
      </c>
      <c r="D490" s="1">
        <v>45603</v>
      </c>
      <c r="E490">
        <v>70074</v>
      </c>
      <c r="F490">
        <v>2042</v>
      </c>
      <c r="G490">
        <v>296</v>
      </c>
      <c r="H490" s="4">
        <v>4858.3599999999997</v>
      </c>
      <c r="I490" s="4">
        <v>19324.23</v>
      </c>
      <c r="J490" s="7">
        <f>Table1[[#This Row],[Clicks]]/Table1[[#This Row],[Impressions]]</f>
        <v>2.9140622770214345E-2</v>
      </c>
      <c r="K490" s="7">
        <f>IFERROR(Table1[[#This Row],[Conversions]]/Table1[[#This Row],[Clicks]],0)</f>
        <v>0.14495592556317335</v>
      </c>
      <c r="L490" s="6">
        <f>IF(Table1[[#This Row],[Conversions]]=0,0,Table1[[#This Row],[Ad Spend]]/Table1[[#This Row],[Conversions]])</f>
        <v>16.413378378378376</v>
      </c>
      <c r="M490" s="8">
        <f>IF(Table1[[#This Row],[Ad Spend]]=0,0,Table1[[#This Row],[Revenue]]/Table1[[#This Row],[Ad Spend]])</f>
        <v>3.9775212211528173</v>
      </c>
      <c r="N490">
        <f>YEAR(Table1[[#This Row],[Date]])</f>
        <v>2024</v>
      </c>
      <c r="O490" t="str">
        <f>TEXT(Table1[[#This Row],[Date]],"mmm")</f>
        <v>Nov</v>
      </c>
      <c r="P490">
        <f>MONTH(Table1[[#This Row],[Date]])</f>
        <v>11</v>
      </c>
    </row>
    <row r="491" spans="1:16" x14ac:dyDescent="0.25">
      <c r="A491" t="s">
        <v>510</v>
      </c>
      <c r="B491" t="s">
        <v>16</v>
      </c>
      <c r="C491" t="s">
        <v>37</v>
      </c>
      <c r="D491" s="1">
        <v>45503</v>
      </c>
      <c r="E491">
        <v>139294</v>
      </c>
      <c r="F491">
        <v>4307</v>
      </c>
      <c r="G491">
        <v>478</v>
      </c>
      <c r="H491" s="4">
        <v>4331.3999999999996</v>
      </c>
      <c r="I491" s="4">
        <v>43587.59</v>
      </c>
      <c r="J491" s="7">
        <f>Table1[[#This Row],[Clicks]]/Table1[[#This Row],[Impressions]]</f>
        <v>3.0920211925854667E-2</v>
      </c>
      <c r="K491" s="7">
        <f>IFERROR(Table1[[#This Row],[Conversions]]/Table1[[#This Row],[Clicks]],0)</f>
        <v>0.11098212212677037</v>
      </c>
      <c r="L491" s="6">
        <f>IF(Table1[[#This Row],[Conversions]]=0,0,Table1[[#This Row],[Ad Spend]]/Table1[[#This Row],[Conversions]])</f>
        <v>9.0615062761506273</v>
      </c>
      <c r="M491" s="8">
        <f>IF(Table1[[#This Row],[Ad Spend]]=0,0,Table1[[#This Row],[Revenue]]/Table1[[#This Row],[Ad Spend]])</f>
        <v>10.06316433485709</v>
      </c>
      <c r="N491">
        <f>YEAR(Table1[[#This Row],[Date]])</f>
        <v>2024</v>
      </c>
      <c r="O491" t="str">
        <f>TEXT(Table1[[#This Row],[Date]],"mmm")</f>
        <v>Jul</v>
      </c>
      <c r="P491">
        <f>MONTH(Table1[[#This Row],[Date]])</f>
        <v>7</v>
      </c>
    </row>
    <row r="492" spans="1:16" x14ac:dyDescent="0.25">
      <c r="A492" t="s">
        <v>511</v>
      </c>
      <c r="B492" t="s">
        <v>14</v>
      </c>
      <c r="C492" t="s">
        <v>37</v>
      </c>
      <c r="D492" s="1">
        <v>45399</v>
      </c>
      <c r="E492">
        <v>81173</v>
      </c>
      <c r="F492">
        <v>4713</v>
      </c>
      <c r="G492">
        <v>658</v>
      </c>
      <c r="H492" s="4">
        <v>836.82</v>
      </c>
      <c r="I492" s="4">
        <v>59904.09</v>
      </c>
      <c r="J492" s="7">
        <f>Table1[[#This Row],[Clicks]]/Table1[[#This Row],[Impressions]]</f>
        <v>5.8061177977899052E-2</v>
      </c>
      <c r="K492" s="7">
        <f>IFERROR(Table1[[#This Row],[Conversions]]/Table1[[#This Row],[Clicks]],0)</f>
        <v>0.13961383407596012</v>
      </c>
      <c r="L492" s="6">
        <f>IF(Table1[[#This Row],[Conversions]]=0,0,Table1[[#This Row],[Ad Spend]]/Table1[[#This Row],[Conversions]])</f>
        <v>1.2717629179331307</v>
      </c>
      <c r="M492" s="8">
        <f>IF(Table1[[#This Row],[Ad Spend]]=0,0,Table1[[#This Row],[Revenue]]/Table1[[#This Row],[Ad Spend]])</f>
        <v>71.585394708539468</v>
      </c>
      <c r="N492">
        <f>YEAR(Table1[[#This Row],[Date]])</f>
        <v>2024</v>
      </c>
      <c r="O492" t="str">
        <f>TEXT(Table1[[#This Row],[Date]],"mmm")</f>
        <v>Apr</v>
      </c>
      <c r="P492">
        <f>MONTH(Table1[[#This Row],[Date]])</f>
        <v>4</v>
      </c>
    </row>
    <row r="493" spans="1:16" x14ac:dyDescent="0.25">
      <c r="A493" t="s">
        <v>512</v>
      </c>
      <c r="B493" t="s">
        <v>16</v>
      </c>
      <c r="C493" t="s">
        <v>12</v>
      </c>
      <c r="D493" s="1">
        <v>45569</v>
      </c>
      <c r="E493">
        <v>89510</v>
      </c>
      <c r="F493">
        <v>5345</v>
      </c>
      <c r="G493">
        <v>635</v>
      </c>
      <c r="H493" s="4">
        <v>2898.95</v>
      </c>
      <c r="I493" s="4">
        <v>49708.2</v>
      </c>
      <c r="J493" s="7">
        <f>Table1[[#This Row],[Clicks]]/Table1[[#This Row],[Impressions]]</f>
        <v>5.9713998435928943E-2</v>
      </c>
      <c r="K493" s="7">
        <f>IFERROR(Table1[[#This Row],[Conversions]]/Table1[[#This Row],[Clicks]],0)</f>
        <v>0.11880261927034612</v>
      </c>
      <c r="L493" s="6">
        <f>IF(Table1[[#This Row],[Conversions]]=0,0,Table1[[#This Row],[Ad Spend]]/Table1[[#This Row],[Conversions]])</f>
        <v>4.565275590551181</v>
      </c>
      <c r="M493" s="8">
        <f>IF(Table1[[#This Row],[Ad Spend]]=0,0,Table1[[#This Row],[Revenue]]/Table1[[#This Row],[Ad Spend]])</f>
        <v>17.146967005295021</v>
      </c>
      <c r="N493">
        <f>YEAR(Table1[[#This Row],[Date]])</f>
        <v>2024</v>
      </c>
      <c r="O493" t="str">
        <f>TEXT(Table1[[#This Row],[Date]],"mmm")</f>
        <v>Oct</v>
      </c>
      <c r="P493">
        <f>MONTH(Table1[[#This Row],[Date]])</f>
        <v>10</v>
      </c>
    </row>
    <row r="494" spans="1:16" x14ac:dyDescent="0.25">
      <c r="A494" t="s">
        <v>513</v>
      </c>
      <c r="B494" t="s">
        <v>21</v>
      </c>
      <c r="C494" t="s">
        <v>12</v>
      </c>
      <c r="D494" s="1">
        <v>45438</v>
      </c>
      <c r="E494">
        <v>115726</v>
      </c>
      <c r="F494">
        <v>7705</v>
      </c>
      <c r="G494">
        <v>677</v>
      </c>
      <c r="H494" s="4">
        <v>321.31</v>
      </c>
      <c r="I494" s="4">
        <v>23378.62</v>
      </c>
      <c r="J494" s="7">
        <f>Table1[[#This Row],[Clicks]]/Table1[[#This Row],[Impressions]]</f>
        <v>6.6579679587992324E-2</v>
      </c>
      <c r="K494" s="7">
        <f>IFERROR(Table1[[#This Row],[Conversions]]/Table1[[#This Row],[Clicks]],0)</f>
        <v>8.7865022712524332E-2</v>
      </c>
      <c r="L494" s="6">
        <f>IF(Table1[[#This Row],[Conversions]]=0,0,Table1[[#This Row],[Ad Spend]]/Table1[[#This Row],[Conversions]])</f>
        <v>0.47460856720827177</v>
      </c>
      <c r="M494" s="8">
        <f>IF(Table1[[#This Row],[Ad Spend]]=0,0,Table1[[#This Row],[Revenue]]/Table1[[#This Row],[Ad Spend]])</f>
        <v>72.760324919859329</v>
      </c>
      <c r="N494">
        <f>YEAR(Table1[[#This Row],[Date]])</f>
        <v>2024</v>
      </c>
      <c r="O494" t="str">
        <f>TEXT(Table1[[#This Row],[Date]],"mmm")</f>
        <v>May</v>
      </c>
      <c r="P494">
        <f>MONTH(Table1[[#This Row],[Date]])</f>
        <v>5</v>
      </c>
    </row>
    <row r="495" spans="1:16" x14ac:dyDescent="0.25">
      <c r="A495" t="s">
        <v>514</v>
      </c>
      <c r="B495" t="s">
        <v>31</v>
      </c>
      <c r="C495" t="s">
        <v>37</v>
      </c>
      <c r="D495" s="1">
        <v>45428</v>
      </c>
      <c r="E495">
        <v>47188</v>
      </c>
      <c r="F495">
        <v>3720</v>
      </c>
      <c r="G495">
        <v>404</v>
      </c>
      <c r="H495" s="4">
        <v>902.86</v>
      </c>
      <c r="I495" s="4">
        <v>10586.13</v>
      </c>
      <c r="J495" s="7">
        <f>Table1[[#This Row],[Clicks]]/Table1[[#This Row],[Impressions]]</f>
        <v>7.8833601763160122E-2</v>
      </c>
      <c r="K495" s="7">
        <f>IFERROR(Table1[[#This Row],[Conversions]]/Table1[[#This Row],[Clicks]],0)</f>
        <v>0.1086021505376344</v>
      </c>
      <c r="L495" s="6">
        <f>IF(Table1[[#This Row],[Conversions]]=0,0,Table1[[#This Row],[Ad Spend]]/Table1[[#This Row],[Conversions]])</f>
        <v>2.2348019801980197</v>
      </c>
      <c r="M495" s="8">
        <f>IF(Table1[[#This Row],[Ad Spend]]=0,0,Table1[[#This Row],[Revenue]]/Table1[[#This Row],[Ad Spend]])</f>
        <v>11.725106882573156</v>
      </c>
      <c r="N495">
        <f>YEAR(Table1[[#This Row],[Date]])</f>
        <v>2024</v>
      </c>
      <c r="O495" t="str">
        <f>TEXT(Table1[[#This Row],[Date]],"mmm")</f>
        <v>May</v>
      </c>
      <c r="P495">
        <f>MONTH(Table1[[#This Row],[Date]])</f>
        <v>5</v>
      </c>
    </row>
    <row r="496" spans="1:16" x14ac:dyDescent="0.25">
      <c r="A496" t="s">
        <v>515</v>
      </c>
      <c r="B496" t="s">
        <v>34</v>
      </c>
      <c r="C496" t="s">
        <v>37</v>
      </c>
      <c r="D496" s="1">
        <v>45677</v>
      </c>
      <c r="E496">
        <v>146865</v>
      </c>
      <c r="F496">
        <v>1800</v>
      </c>
      <c r="G496">
        <v>226</v>
      </c>
      <c r="H496" s="4">
        <v>691.9</v>
      </c>
      <c r="I496" s="4">
        <v>24137.599999999999</v>
      </c>
      <c r="J496" s="7">
        <f>Table1[[#This Row],[Clicks]]/Table1[[#This Row],[Impressions]]</f>
        <v>1.2256153610458585E-2</v>
      </c>
      <c r="K496" s="7">
        <f>IFERROR(Table1[[#This Row],[Conversions]]/Table1[[#This Row],[Clicks]],0)</f>
        <v>0.12555555555555556</v>
      </c>
      <c r="L496" s="6">
        <f>IF(Table1[[#This Row],[Conversions]]=0,0,Table1[[#This Row],[Ad Spend]]/Table1[[#This Row],[Conversions]])</f>
        <v>3.0615044247787608</v>
      </c>
      <c r="M496" s="8">
        <f>IF(Table1[[#This Row],[Ad Spend]]=0,0,Table1[[#This Row],[Revenue]]/Table1[[#This Row],[Ad Spend]])</f>
        <v>34.885966180083827</v>
      </c>
      <c r="N496">
        <f>YEAR(Table1[[#This Row],[Date]])</f>
        <v>2025</v>
      </c>
      <c r="O496" t="str">
        <f>TEXT(Table1[[#This Row],[Date]],"mmm")</f>
        <v>Jan</v>
      </c>
      <c r="P496">
        <f>MONTH(Table1[[#This Row],[Date]])</f>
        <v>1</v>
      </c>
    </row>
    <row r="497" spans="1:16" x14ac:dyDescent="0.25">
      <c r="A497" t="s">
        <v>516</v>
      </c>
      <c r="B497" t="s">
        <v>14</v>
      </c>
      <c r="C497" t="s">
        <v>12</v>
      </c>
      <c r="D497" s="1">
        <v>45491</v>
      </c>
      <c r="E497">
        <v>67284</v>
      </c>
      <c r="F497">
        <v>3079</v>
      </c>
      <c r="G497">
        <v>380</v>
      </c>
      <c r="H497" s="4">
        <v>3541.42</v>
      </c>
      <c r="I497" s="4">
        <v>33931.57</v>
      </c>
      <c r="J497" s="7">
        <f>Table1[[#This Row],[Clicks]]/Table1[[#This Row],[Impressions]]</f>
        <v>4.5761250817430592E-2</v>
      </c>
      <c r="K497" s="7">
        <f>IFERROR(Table1[[#This Row],[Conversions]]/Table1[[#This Row],[Clicks]],0)</f>
        <v>0.12341669373173109</v>
      </c>
      <c r="L497" s="6">
        <f>IF(Table1[[#This Row],[Conversions]]=0,0,Table1[[#This Row],[Ad Spend]]/Table1[[#This Row],[Conversions]])</f>
        <v>9.3195263157894743</v>
      </c>
      <c r="M497" s="8">
        <f>IF(Table1[[#This Row],[Ad Spend]]=0,0,Table1[[#This Row],[Revenue]]/Table1[[#This Row],[Ad Spend]])</f>
        <v>9.5813459007968547</v>
      </c>
      <c r="N497">
        <f>YEAR(Table1[[#This Row],[Date]])</f>
        <v>2024</v>
      </c>
      <c r="O497" t="str">
        <f>TEXT(Table1[[#This Row],[Date]],"mmm")</f>
        <v>Jul</v>
      </c>
      <c r="P497">
        <f>MONTH(Table1[[#This Row],[Date]])</f>
        <v>7</v>
      </c>
    </row>
    <row r="498" spans="1:16" x14ac:dyDescent="0.25">
      <c r="A498" t="s">
        <v>517</v>
      </c>
      <c r="B498" t="s">
        <v>31</v>
      </c>
      <c r="C498" t="s">
        <v>17</v>
      </c>
      <c r="D498" s="1">
        <v>45490</v>
      </c>
      <c r="E498">
        <v>114200</v>
      </c>
      <c r="F498">
        <v>8789</v>
      </c>
      <c r="G498">
        <v>1290</v>
      </c>
      <c r="H498" s="4">
        <v>1700.74</v>
      </c>
      <c r="I498" s="4">
        <v>97024.07</v>
      </c>
      <c r="J498" s="7">
        <f>Table1[[#This Row],[Clicks]]/Table1[[#This Row],[Impressions]]</f>
        <v>7.6961471103327489E-2</v>
      </c>
      <c r="K498" s="7">
        <f>IFERROR(Table1[[#This Row],[Conversions]]/Table1[[#This Row],[Clicks]],0)</f>
        <v>0.14677437706223689</v>
      </c>
      <c r="L498" s="6">
        <f>IF(Table1[[#This Row],[Conversions]]=0,0,Table1[[#This Row],[Ad Spend]]/Table1[[#This Row],[Conversions]])</f>
        <v>1.3184031007751937</v>
      </c>
      <c r="M498" s="8">
        <f>IF(Table1[[#This Row],[Ad Spend]]=0,0,Table1[[#This Row],[Revenue]]/Table1[[#This Row],[Ad Spend]])</f>
        <v>57.048149628985037</v>
      </c>
      <c r="N498">
        <f>YEAR(Table1[[#This Row],[Date]])</f>
        <v>2024</v>
      </c>
      <c r="O498" t="str">
        <f>TEXT(Table1[[#This Row],[Date]],"mmm")</f>
        <v>Jul</v>
      </c>
      <c r="P498">
        <f>MONTH(Table1[[#This Row],[Date]])</f>
        <v>7</v>
      </c>
    </row>
    <row r="499" spans="1:16" x14ac:dyDescent="0.25">
      <c r="A499" t="s">
        <v>518</v>
      </c>
      <c r="B499" t="s">
        <v>31</v>
      </c>
      <c r="C499" t="s">
        <v>19</v>
      </c>
      <c r="D499" s="1">
        <v>45395</v>
      </c>
      <c r="E499">
        <v>121146</v>
      </c>
      <c r="F499">
        <v>8249</v>
      </c>
      <c r="G499">
        <v>1142</v>
      </c>
      <c r="H499" s="4">
        <v>3582.22</v>
      </c>
      <c r="I499" s="4">
        <v>96799.62</v>
      </c>
      <c r="J499" s="7">
        <f>Table1[[#This Row],[Clicks]]/Table1[[#This Row],[Impressions]]</f>
        <v>6.8091393855348098E-2</v>
      </c>
      <c r="K499" s="7">
        <f>IFERROR(Table1[[#This Row],[Conversions]]/Table1[[#This Row],[Clicks]],0)</f>
        <v>0.13844102315432175</v>
      </c>
      <c r="L499" s="6">
        <f>IF(Table1[[#This Row],[Conversions]]=0,0,Table1[[#This Row],[Ad Spend]]/Table1[[#This Row],[Conversions]])</f>
        <v>3.1367950963222415</v>
      </c>
      <c r="M499" s="8">
        <f>IF(Table1[[#This Row],[Ad Spend]]=0,0,Table1[[#This Row],[Revenue]]/Table1[[#This Row],[Ad Spend]])</f>
        <v>27.022243189977164</v>
      </c>
      <c r="N499">
        <f>YEAR(Table1[[#This Row],[Date]])</f>
        <v>2024</v>
      </c>
      <c r="O499" t="str">
        <f>TEXT(Table1[[#This Row],[Date]],"mmm")</f>
        <v>Apr</v>
      </c>
      <c r="P499">
        <f>MONTH(Table1[[#This Row],[Date]])</f>
        <v>4</v>
      </c>
    </row>
    <row r="500" spans="1:16" x14ac:dyDescent="0.25">
      <c r="A500" t="s">
        <v>519</v>
      </c>
      <c r="B500" t="s">
        <v>14</v>
      </c>
      <c r="C500" t="s">
        <v>37</v>
      </c>
      <c r="D500" s="1">
        <v>45442</v>
      </c>
      <c r="E500">
        <v>122654</v>
      </c>
      <c r="F500">
        <v>2749</v>
      </c>
      <c r="G500">
        <v>298</v>
      </c>
      <c r="H500" s="4">
        <v>1097.49</v>
      </c>
      <c r="I500" s="4">
        <v>11139.09</v>
      </c>
      <c r="J500" s="7">
        <f>Table1[[#This Row],[Clicks]]/Table1[[#This Row],[Impressions]]</f>
        <v>2.2412640435697163E-2</v>
      </c>
      <c r="K500" s="7">
        <f>IFERROR(Table1[[#This Row],[Conversions]]/Table1[[#This Row],[Clicks]],0)</f>
        <v>0.1084030556566024</v>
      </c>
      <c r="L500" s="6">
        <f>IF(Table1[[#This Row],[Conversions]]=0,0,Table1[[#This Row],[Ad Spend]]/Table1[[#This Row],[Conversions]])</f>
        <v>3.6828523489932885</v>
      </c>
      <c r="M500" s="8">
        <f>IF(Table1[[#This Row],[Ad Spend]]=0,0,Table1[[#This Row],[Revenue]]/Table1[[#This Row],[Ad Spend]])</f>
        <v>10.149605007790504</v>
      </c>
      <c r="N500">
        <f>YEAR(Table1[[#This Row],[Date]])</f>
        <v>2024</v>
      </c>
      <c r="O500" t="str">
        <f>TEXT(Table1[[#This Row],[Date]],"mmm")</f>
        <v>May</v>
      </c>
      <c r="P500">
        <f>MONTH(Table1[[#This Row],[Date]])</f>
        <v>5</v>
      </c>
    </row>
    <row r="501" spans="1:16" x14ac:dyDescent="0.25">
      <c r="A501" t="s">
        <v>520</v>
      </c>
      <c r="B501" t="s">
        <v>9</v>
      </c>
      <c r="C501" t="s">
        <v>17</v>
      </c>
      <c r="D501" s="1">
        <v>45312</v>
      </c>
      <c r="E501">
        <v>117330</v>
      </c>
      <c r="F501">
        <v>3465</v>
      </c>
      <c r="G501">
        <v>188</v>
      </c>
      <c r="H501" s="4">
        <v>972.46</v>
      </c>
      <c r="I501" s="4">
        <v>19665.07</v>
      </c>
      <c r="J501" s="7">
        <f>Table1[[#This Row],[Clicks]]/Table1[[#This Row],[Impressions]]</f>
        <v>2.9532088979800562E-2</v>
      </c>
      <c r="K501" s="7">
        <f>IFERROR(Table1[[#This Row],[Conversions]]/Table1[[#This Row],[Clicks]],0)</f>
        <v>5.425685425685426E-2</v>
      </c>
      <c r="L501" s="6">
        <f>IF(Table1[[#This Row],[Conversions]]=0,0,Table1[[#This Row],[Ad Spend]]/Table1[[#This Row],[Conversions]])</f>
        <v>5.172659574468085</v>
      </c>
      <c r="M501" s="8">
        <f>IF(Table1[[#This Row],[Ad Spend]]=0,0,Table1[[#This Row],[Revenue]]/Table1[[#This Row],[Ad Spend]])</f>
        <v>20.221983423482712</v>
      </c>
      <c r="N501">
        <f>YEAR(Table1[[#This Row],[Date]])</f>
        <v>2024</v>
      </c>
      <c r="O501" t="str">
        <f>TEXT(Table1[[#This Row],[Date]],"mmm")</f>
        <v>Jan</v>
      </c>
      <c r="P501">
        <f>MONTH(Table1[[#This Row],[Date]])</f>
        <v>1</v>
      </c>
    </row>
    <row r="502" spans="1:16" x14ac:dyDescent="0.25">
      <c r="A502" t="s">
        <v>521</v>
      </c>
      <c r="B502" t="s">
        <v>31</v>
      </c>
      <c r="C502" t="s">
        <v>19</v>
      </c>
      <c r="D502" s="1">
        <v>45530</v>
      </c>
      <c r="E502">
        <v>45581</v>
      </c>
      <c r="F502">
        <v>583</v>
      </c>
      <c r="G502">
        <v>82</v>
      </c>
      <c r="H502" s="4">
        <v>3065.03</v>
      </c>
      <c r="I502" s="4">
        <v>7984.02</v>
      </c>
      <c r="J502" s="7">
        <f>Table1[[#This Row],[Clicks]]/Table1[[#This Row],[Impressions]]</f>
        <v>1.2790417059739803E-2</v>
      </c>
      <c r="K502" s="7">
        <f>IFERROR(Table1[[#This Row],[Conversions]]/Table1[[#This Row],[Clicks]],0)</f>
        <v>0.14065180102915953</v>
      </c>
      <c r="L502" s="6">
        <f>IF(Table1[[#This Row],[Conversions]]=0,0,Table1[[#This Row],[Ad Spend]]/Table1[[#This Row],[Conversions]])</f>
        <v>37.378414634146345</v>
      </c>
      <c r="M502" s="8">
        <f>IF(Table1[[#This Row],[Ad Spend]]=0,0,Table1[[#This Row],[Revenue]]/Table1[[#This Row],[Ad Spend]])</f>
        <v>2.6048749930669519</v>
      </c>
      <c r="N502">
        <f>YEAR(Table1[[#This Row],[Date]])</f>
        <v>2024</v>
      </c>
      <c r="O502" t="str">
        <f>TEXT(Table1[[#This Row],[Date]],"mmm")</f>
        <v>Aug</v>
      </c>
      <c r="P502">
        <f>MONTH(Table1[[#This Row],[Date]])</f>
        <v>8</v>
      </c>
    </row>
    <row r="503" spans="1:16" x14ac:dyDescent="0.25">
      <c r="A503" t="s">
        <v>522</v>
      </c>
      <c r="B503" t="s">
        <v>34</v>
      </c>
      <c r="C503" t="s">
        <v>17</v>
      </c>
      <c r="D503" s="1">
        <v>45696</v>
      </c>
      <c r="E503">
        <v>149221</v>
      </c>
      <c r="F503">
        <v>5232</v>
      </c>
      <c r="G503">
        <v>637</v>
      </c>
      <c r="H503" s="4">
        <v>1725.72</v>
      </c>
      <c r="I503" s="4">
        <v>26751.58</v>
      </c>
      <c r="J503" s="7">
        <f>Table1[[#This Row],[Clicks]]/Table1[[#This Row],[Impressions]]</f>
        <v>3.5062089116143169E-2</v>
      </c>
      <c r="K503" s="7">
        <f>IFERROR(Table1[[#This Row],[Conversions]]/Table1[[#This Row],[Clicks]],0)</f>
        <v>0.12175076452599388</v>
      </c>
      <c r="L503" s="6">
        <f>IF(Table1[[#This Row],[Conversions]]=0,0,Table1[[#This Row],[Ad Spend]]/Table1[[#This Row],[Conversions]])</f>
        <v>2.7091365777080063</v>
      </c>
      <c r="M503" s="8">
        <f>IF(Table1[[#This Row],[Ad Spend]]=0,0,Table1[[#This Row],[Revenue]]/Table1[[#This Row],[Ad Spend]])</f>
        <v>15.501692047377327</v>
      </c>
      <c r="N503">
        <f>YEAR(Table1[[#This Row],[Date]])</f>
        <v>2025</v>
      </c>
      <c r="O503" t="str">
        <f>TEXT(Table1[[#This Row],[Date]],"mmm")</f>
        <v>Feb</v>
      </c>
      <c r="P503">
        <f>MONTH(Table1[[#This Row],[Date]])</f>
        <v>2</v>
      </c>
    </row>
    <row r="504" spans="1:16" x14ac:dyDescent="0.25">
      <c r="A504" t="s">
        <v>523</v>
      </c>
      <c r="B504" t="s">
        <v>16</v>
      </c>
      <c r="C504" t="s">
        <v>12</v>
      </c>
      <c r="D504" s="1">
        <v>45326</v>
      </c>
      <c r="E504">
        <v>137419</v>
      </c>
      <c r="F504">
        <v>2907</v>
      </c>
      <c r="G504">
        <v>263</v>
      </c>
      <c r="H504" s="4">
        <v>2136.4</v>
      </c>
      <c r="I504" s="4">
        <v>14449.3</v>
      </c>
      <c r="J504" s="7">
        <f>Table1[[#This Row],[Clicks]]/Table1[[#This Row],[Impressions]]</f>
        <v>2.1154279975840313E-2</v>
      </c>
      <c r="K504" s="7">
        <f>IFERROR(Table1[[#This Row],[Conversions]]/Table1[[#This Row],[Clicks]],0)</f>
        <v>9.0471276229790162E-2</v>
      </c>
      <c r="L504" s="6">
        <f>IF(Table1[[#This Row],[Conversions]]=0,0,Table1[[#This Row],[Ad Spend]]/Table1[[#This Row],[Conversions]])</f>
        <v>8.1231939163498108</v>
      </c>
      <c r="M504" s="8">
        <f>IF(Table1[[#This Row],[Ad Spend]]=0,0,Table1[[#This Row],[Revenue]]/Table1[[#This Row],[Ad Spend]])</f>
        <v>6.7633870061786174</v>
      </c>
      <c r="N504">
        <f>YEAR(Table1[[#This Row],[Date]])</f>
        <v>2024</v>
      </c>
      <c r="O504" t="str">
        <f>TEXT(Table1[[#This Row],[Date]],"mmm")</f>
        <v>Feb</v>
      </c>
      <c r="P504">
        <f>MONTH(Table1[[#This Row],[Date]])</f>
        <v>2</v>
      </c>
    </row>
    <row r="505" spans="1:16" x14ac:dyDescent="0.25">
      <c r="A505" t="s">
        <v>524</v>
      </c>
      <c r="B505" t="s">
        <v>14</v>
      </c>
      <c r="C505" t="s">
        <v>19</v>
      </c>
      <c r="D505" s="1">
        <v>45461</v>
      </c>
      <c r="E505">
        <v>99580</v>
      </c>
      <c r="F505">
        <v>3042</v>
      </c>
      <c r="G505">
        <v>436</v>
      </c>
      <c r="H505" s="4">
        <v>3167.75</v>
      </c>
      <c r="I505" s="4">
        <v>29423.77</v>
      </c>
      <c r="J505" s="7">
        <f>Table1[[#This Row],[Clicks]]/Table1[[#This Row],[Impressions]]</f>
        <v>3.0548302872062665E-2</v>
      </c>
      <c r="K505" s="7">
        <f>IFERROR(Table1[[#This Row],[Conversions]]/Table1[[#This Row],[Clicks]],0)</f>
        <v>0.1433267587113741</v>
      </c>
      <c r="L505" s="6">
        <f>IF(Table1[[#This Row],[Conversions]]=0,0,Table1[[#This Row],[Ad Spend]]/Table1[[#This Row],[Conversions]])</f>
        <v>7.2654816513761471</v>
      </c>
      <c r="M505" s="8">
        <f>IF(Table1[[#This Row],[Ad Spend]]=0,0,Table1[[#This Row],[Revenue]]/Table1[[#This Row],[Ad Spend]])</f>
        <v>9.2885391839633815</v>
      </c>
      <c r="N505">
        <f>YEAR(Table1[[#This Row],[Date]])</f>
        <v>2024</v>
      </c>
      <c r="O505" t="str">
        <f>TEXT(Table1[[#This Row],[Date]],"mmm")</f>
        <v>Jun</v>
      </c>
      <c r="P505">
        <f>MONTH(Table1[[#This Row],[Date]])</f>
        <v>6</v>
      </c>
    </row>
    <row r="506" spans="1:16" x14ac:dyDescent="0.25">
      <c r="A506" t="s">
        <v>525</v>
      </c>
      <c r="B506" t="s">
        <v>31</v>
      </c>
      <c r="C506" t="s">
        <v>10</v>
      </c>
      <c r="D506" s="1">
        <v>45634</v>
      </c>
      <c r="E506">
        <v>95703</v>
      </c>
      <c r="F506">
        <v>3942</v>
      </c>
      <c r="G506">
        <v>542</v>
      </c>
      <c r="H506" s="4">
        <v>3145.77</v>
      </c>
      <c r="I506" s="4">
        <v>44505.34</v>
      </c>
      <c r="J506" s="7">
        <f>Table1[[#This Row],[Clicks]]/Table1[[#This Row],[Impressions]]</f>
        <v>4.1189931350114416E-2</v>
      </c>
      <c r="K506" s="7">
        <f>IFERROR(Table1[[#This Row],[Conversions]]/Table1[[#This Row],[Clicks]],0)</f>
        <v>0.13749365804160324</v>
      </c>
      <c r="L506" s="6">
        <f>IF(Table1[[#This Row],[Conversions]]=0,0,Table1[[#This Row],[Ad Spend]]/Table1[[#This Row],[Conversions]])</f>
        <v>5.8040036900369003</v>
      </c>
      <c r="M506" s="8">
        <f>IF(Table1[[#This Row],[Ad Spend]]=0,0,Table1[[#This Row],[Revenue]]/Table1[[#This Row],[Ad Spend]])</f>
        <v>14.147677675100214</v>
      </c>
      <c r="N506">
        <f>YEAR(Table1[[#This Row],[Date]])</f>
        <v>2024</v>
      </c>
      <c r="O506" t="str">
        <f>TEXT(Table1[[#This Row],[Date]],"mmm")</f>
        <v>Dec</v>
      </c>
      <c r="P506">
        <f>MONTH(Table1[[#This Row],[Date]])</f>
        <v>12</v>
      </c>
    </row>
    <row r="507" spans="1:16" x14ac:dyDescent="0.25">
      <c r="A507" t="s">
        <v>526</v>
      </c>
      <c r="B507" t="s">
        <v>31</v>
      </c>
      <c r="C507" t="s">
        <v>19</v>
      </c>
      <c r="D507" s="1">
        <v>45487</v>
      </c>
      <c r="E507">
        <v>34720</v>
      </c>
      <c r="F507">
        <v>1285</v>
      </c>
      <c r="G507">
        <v>115</v>
      </c>
      <c r="H507" s="4">
        <v>1557.58</v>
      </c>
      <c r="I507" s="4">
        <v>12780.36</v>
      </c>
      <c r="J507" s="7">
        <f>Table1[[#This Row],[Clicks]]/Table1[[#This Row],[Impressions]]</f>
        <v>3.7010368663594473E-2</v>
      </c>
      <c r="K507" s="7">
        <f>IFERROR(Table1[[#This Row],[Conversions]]/Table1[[#This Row],[Clicks]],0)</f>
        <v>8.9494163424124515E-2</v>
      </c>
      <c r="L507" s="6">
        <f>IF(Table1[[#This Row],[Conversions]]=0,0,Table1[[#This Row],[Ad Spend]]/Table1[[#This Row],[Conversions]])</f>
        <v>13.544173913043478</v>
      </c>
      <c r="M507" s="8">
        <f>IF(Table1[[#This Row],[Ad Spend]]=0,0,Table1[[#This Row],[Revenue]]/Table1[[#This Row],[Ad Spend]])</f>
        <v>8.2052671451867649</v>
      </c>
      <c r="N507">
        <f>YEAR(Table1[[#This Row],[Date]])</f>
        <v>2024</v>
      </c>
      <c r="O507" t="str">
        <f>TEXT(Table1[[#This Row],[Date]],"mmm")</f>
        <v>Jul</v>
      </c>
      <c r="P507">
        <f>MONTH(Table1[[#This Row],[Date]])</f>
        <v>7</v>
      </c>
    </row>
    <row r="508" spans="1:16" x14ac:dyDescent="0.25">
      <c r="A508" t="s">
        <v>527</v>
      </c>
      <c r="B508" t="s">
        <v>47</v>
      </c>
      <c r="C508" t="s">
        <v>12</v>
      </c>
      <c r="D508" s="1">
        <v>45703</v>
      </c>
      <c r="E508">
        <v>138361</v>
      </c>
      <c r="F508">
        <v>5698</v>
      </c>
      <c r="G508">
        <v>146</v>
      </c>
      <c r="H508" s="4">
        <v>4511.75</v>
      </c>
      <c r="I508" s="4">
        <v>5730.68</v>
      </c>
      <c r="J508" s="7">
        <f>Table1[[#This Row],[Clicks]]/Table1[[#This Row],[Impressions]]</f>
        <v>4.1182125020778976E-2</v>
      </c>
      <c r="K508" s="7">
        <f>IFERROR(Table1[[#This Row],[Conversions]]/Table1[[#This Row],[Clicks]],0)</f>
        <v>2.5623025623025621E-2</v>
      </c>
      <c r="L508" s="6">
        <f>IF(Table1[[#This Row],[Conversions]]=0,0,Table1[[#This Row],[Ad Spend]]/Table1[[#This Row],[Conversions]])</f>
        <v>30.902397260273972</v>
      </c>
      <c r="M508" s="8">
        <f>IF(Table1[[#This Row],[Ad Spend]]=0,0,Table1[[#This Row],[Revenue]]/Table1[[#This Row],[Ad Spend]])</f>
        <v>1.2701678949409876</v>
      </c>
      <c r="N508">
        <f>YEAR(Table1[[#This Row],[Date]])</f>
        <v>2025</v>
      </c>
      <c r="O508" t="str">
        <f>TEXT(Table1[[#This Row],[Date]],"mmm")</f>
        <v>Feb</v>
      </c>
      <c r="P508">
        <f>MONTH(Table1[[#This Row],[Date]])</f>
        <v>2</v>
      </c>
    </row>
    <row r="509" spans="1:16" x14ac:dyDescent="0.25">
      <c r="A509" t="s">
        <v>528</v>
      </c>
      <c r="B509" t="s">
        <v>9</v>
      </c>
      <c r="C509" t="s">
        <v>10</v>
      </c>
      <c r="D509" s="1">
        <v>45377</v>
      </c>
      <c r="E509">
        <v>146026</v>
      </c>
      <c r="F509">
        <v>6910</v>
      </c>
      <c r="G509">
        <v>701</v>
      </c>
      <c r="H509" s="4">
        <v>1211.75</v>
      </c>
      <c r="I509" s="4">
        <v>58148.97</v>
      </c>
      <c r="J509" s="7">
        <f>Table1[[#This Row],[Clicks]]/Table1[[#This Row],[Impressions]]</f>
        <v>4.7320340213386658E-2</v>
      </c>
      <c r="K509" s="7">
        <f>IFERROR(Table1[[#This Row],[Conversions]]/Table1[[#This Row],[Clicks]],0)</f>
        <v>0.10144717800289435</v>
      </c>
      <c r="L509" s="6">
        <f>IF(Table1[[#This Row],[Conversions]]=0,0,Table1[[#This Row],[Ad Spend]]/Table1[[#This Row],[Conversions]])</f>
        <v>1.7286019971469329</v>
      </c>
      <c r="M509" s="8">
        <f>IF(Table1[[#This Row],[Ad Spend]]=0,0,Table1[[#This Row],[Revenue]]/Table1[[#This Row],[Ad Spend]])</f>
        <v>47.987596451413246</v>
      </c>
      <c r="N509">
        <f>YEAR(Table1[[#This Row],[Date]])</f>
        <v>2024</v>
      </c>
      <c r="O509" t="str">
        <f>TEXT(Table1[[#This Row],[Date]],"mmm")</f>
        <v>Mar</v>
      </c>
      <c r="P509">
        <f>MONTH(Table1[[#This Row],[Date]])</f>
        <v>3</v>
      </c>
    </row>
    <row r="510" spans="1:16" x14ac:dyDescent="0.25">
      <c r="A510" t="s">
        <v>529</v>
      </c>
      <c r="B510" t="s">
        <v>14</v>
      </c>
      <c r="C510" t="s">
        <v>17</v>
      </c>
      <c r="D510" s="1">
        <v>45345</v>
      </c>
      <c r="E510">
        <v>58891</v>
      </c>
      <c r="F510">
        <v>2805</v>
      </c>
      <c r="G510">
        <v>312</v>
      </c>
      <c r="H510" s="4">
        <v>4885.87</v>
      </c>
      <c r="I510" s="4">
        <v>30426.45</v>
      </c>
      <c r="J510" s="7">
        <f>Table1[[#This Row],[Clicks]]/Table1[[#This Row],[Impressions]]</f>
        <v>4.7630367967940769E-2</v>
      </c>
      <c r="K510" s="7">
        <f>IFERROR(Table1[[#This Row],[Conversions]]/Table1[[#This Row],[Clicks]],0)</f>
        <v>0.11122994652406418</v>
      </c>
      <c r="L510" s="6">
        <f>IF(Table1[[#This Row],[Conversions]]=0,0,Table1[[#This Row],[Ad Spend]]/Table1[[#This Row],[Conversions]])</f>
        <v>15.659839743589743</v>
      </c>
      <c r="M510" s="8">
        <f>IF(Table1[[#This Row],[Ad Spend]]=0,0,Table1[[#This Row],[Revenue]]/Table1[[#This Row],[Ad Spend]])</f>
        <v>6.2274374881034493</v>
      </c>
      <c r="N510">
        <f>YEAR(Table1[[#This Row],[Date]])</f>
        <v>2024</v>
      </c>
      <c r="O510" t="str">
        <f>TEXT(Table1[[#This Row],[Date]],"mmm")</f>
        <v>Feb</v>
      </c>
      <c r="P510">
        <f>MONTH(Table1[[#This Row],[Date]])</f>
        <v>2</v>
      </c>
    </row>
    <row r="511" spans="1:16" x14ac:dyDescent="0.25">
      <c r="A511" t="s">
        <v>530</v>
      </c>
      <c r="B511" t="s">
        <v>9</v>
      </c>
      <c r="C511" t="s">
        <v>37</v>
      </c>
      <c r="D511" s="1">
        <v>45304</v>
      </c>
      <c r="E511">
        <v>125383</v>
      </c>
      <c r="F511">
        <v>7545</v>
      </c>
      <c r="G511">
        <v>188</v>
      </c>
      <c r="H511" s="4">
        <v>551.59</v>
      </c>
      <c r="I511" s="4">
        <v>7106.25</v>
      </c>
      <c r="J511" s="7">
        <f>Table1[[#This Row],[Clicks]]/Table1[[#This Row],[Impressions]]</f>
        <v>6.0175621894515204E-2</v>
      </c>
      <c r="K511" s="7">
        <f>IFERROR(Table1[[#This Row],[Conversions]]/Table1[[#This Row],[Clicks]],0)</f>
        <v>2.4917163684559311E-2</v>
      </c>
      <c r="L511" s="6">
        <f>IF(Table1[[#This Row],[Conversions]]=0,0,Table1[[#This Row],[Ad Spend]]/Table1[[#This Row],[Conversions]])</f>
        <v>2.9339893617021278</v>
      </c>
      <c r="M511" s="8">
        <f>IF(Table1[[#This Row],[Ad Spend]]=0,0,Table1[[#This Row],[Revenue]]/Table1[[#This Row],[Ad Spend]])</f>
        <v>12.883210355517685</v>
      </c>
      <c r="N511">
        <f>YEAR(Table1[[#This Row],[Date]])</f>
        <v>2024</v>
      </c>
      <c r="O511" t="str">
        <f>TEXT(Table1[[#This Row],[Date]],"mmm")</f>
        <v>Jan</v>
      </c>
      <c r="P511">
        <f>MONTH(Table1[[#This Row],[Date]])</f>
        <v>1</v>
      </c>
    </row>
    <row r="512" spans="1:16" x14ac:dyDescent="0.25">
      <c r="A512" t="s">
        <v>531</v>
      </c>
      <c r="B512" t="s">
        <v>34</v>
      </c>
      <c r="C512" t="s">
        <v>12</v>
      </c>
      <c r="D512" s="1">
        <v>45328</v>
      </c>
      <c r="E512">
        <v>64675</v>
      </c>
      <c r="F512">
        <v>4771</v>
      </c>
      <c r="G512">
        <v>348</v>
      </c>
      <c r="H512" s="4">
        <v>2365.4</v>
      </c>
      <c r="I512" s="4">
        <v>21034.79</v>
      </c>
      <c r="J512" s="7">
        <f>Table1[[#This Row],[Clicks]]/Table1[[#This Row],[Impressions]]</f>
        <v>7.3768844221105523E-2</v>
      </c>
      <c r="K512" s="7">
        <f>IFERROR(Table1[[#This Row],[Conversions]]/Table1[[#This Row],[Clicks]],0)</f>
        <v>7.294068329490673E-2</v>
      </c>
      <c r="L512" s="6">
        <f>IF(Table1[[#This Row],[Conversions]]=0,0,Table1[[#This Row],[Ad Spend]]/Table1[[#This Row],[Conversions]])</f>
        <v>6.7971264367816095</v>
      </c>
      <c r="M512" s="8">
        <f>IF(Table1[[#This Row],[Ad Spend]]=0,0,Table1[[#This Row],[Revenue]]/Table1[[#This Row],[Ad Spend]])</f>
        <v>8.8926989092753868</v>
      </c>
      <c r="N512">
        <f>YEAR(Table1[[#This Row],[Date]])</f>
        <v>2024</v>
      </c>
      <c r="O512" t="str">
        <f>TEXT(Table1[[#This Row],[Date]],"mmm")</f>
        <v>Feb</v>
      </c>
      <c r="P512">
        <f>MONTH(Table1[[#This Row],[Date]])</f>
        <v>2</v>
      </c>
    </row>
    <row r="513" spans="1:16" x14ac:dyDescent="0.25">
      <c r="A513" t="s">
        <v>532</v>
      </c>
      <c r="B513" t="s">
        <v>47</v>
      </c>
      <c r="C513" t="s">
        <v>10</v>
      </c>
      <c r="D513" s="1">
        <v>45491</v>
      </c>
      <c r="E513">
        <v>36013</v>
      </c>
      <c r="F513">
        <v>1708</v>
      </c>
      <c r="G513">
        <v>176</v>
      </c>
      <c r="H513" s="4">
        <v>3168.08</v>
      </c>
      <c r="I513" s="4">
        <v>16824.91</v>
      </c>
      <c r="J513" s="7">
        <f>Table1[[#This Row],[Clicks]]/Table1[[#This Row],[Impressions]]</f>
        <v>4.7427317912975872E-2</v>
      </c>
      <c r="K513" s="7">
        <f>IFERROR(Table1[[#This Row],[Conversions]]/Table1[[#This Row],[Clicks]],0)</f>
        <v>0.10304449648711944</v>
      </c>
      <c r="L513" s="6">
        <f>IF(Table1[[#This Row],[Conversions]]=0,0,Table1[[#This Row],[Ad Spend]]/Table1[[#This Row],[Conversions]])</f>
        <v>18.000454545454545</v>
      </c>
      <c r="M513" s="8">
        <f>IF(Table1[[#This Row],[Ad Spend]]=0,0,Table1[[#This Row],[Revenue]]/Table1[[#This Row],[Ad Spend]])</f>
        <v>5.3107591980000501</v>
      </c>
      <c r="N513">
        <f>YEAR(Table1[[#This Row],[Date]])</f>
        <v>2024</v>
      </c>
      <c r="O513" t="str">
        <f>TEXT(Table1[[#This Row],[Date]],"mmm")</f>
        <v>Jul</v>
      </c>
      <c r="P513">
        <f>MONTH(Table1[[#This Row],[Date]])</f>
        <v>7</v>
      </c>
    </row>
    <row r="514" spans="1:16" x14ac:dyDescent="0.25">
      <c r="A514" t="s">
        <v>533</v>
      </c>
      <c r="B514" t="s">
        <v>31</v>
      </c>
      <c r="C514" t="s">
        <v>10</v>
      </c>
      <c r="D514" s="1">
        <v>45475</v>
      </c>
      <c r="E514">
        <v>136815</v>
      </c>
      <c r="F514">
        <v>2384</v>
      </c>
      <c r="G514">
        <v>291</v>
      </c>
      <c r="H514" s="4">
        <v>1646.48</v>
      </c>
      <c r="I514" s="4">
        <v>8337.2999999999993</v>
      </c>
      <c r="J514" s="7">
        <f>Table1[[#This Row],[Clicks]]/Table1[[#This Row],[Impressions]]</f>
        <v>1.7424989949932392E-2</v>
      </c>
      <c r="K514" s="7">
        <f>IFERROR(Table1[[#This Row],[Conversions]]/Table1[[#This Row],[Clicks]],0)</f>
        <v>0.12206375838926174</v>
      </c>
      <c r="L514" s="6">
        <f>IF(Table1[[#This Row],[Conversions]]=0,0,Table1[[#This Row],[Ad Spend]]/Table1[[#This Row],[Conversions]])</f>
        <v>5.6580068728522335</v>
      </c>
      <c r="M514" s="8">
        <f>IF(Table1[[#This Row],[Ad Spend]]=0,0,Table1[[#This Row],[Revenue]]/Table1[[#This Row],[Ad Spend]])</f>
        <v>5.0637116758175011</v>
      </c>
      <c r="N514">
        <f>YEAR(Table1[[#This Row],[Date]])</f>
        <v>2024</v>
      </c>
      <c r="O514" t="str">
        <f>TEXT(Table1[[#This Row],[Date]],"mmm")</f>
        <v>Jul</v>
      </c>
      <c r="P514">
        <f>MONTH(Table1[[#This Row],[Date]])</f>
        <v>7</v>
      </c>
    </row>
    <row r="515" spans="1:16" x14ac:dyDescent="0.25">
      <c r="A515" t="s">
        <v>534</v>
      </c>
      <c r="B515" t="s">
        <v>41</v>
      </c>
      <c r="C515" t="s">
        <v>17</v>
      </c>
      <c r="D515" s="1">
        <v>45494</v>
      </c>
      <c r="E515">
        <v>13079</v>
      </c>
      <c r="F515">
        <v>564</v>
      </c>
      <c r="G515">
        <v>50</v>
      </c>
      <c r="H515" s="4">
        <v>854.63</v>
      </c>
      <c r="I515" s="4">
        <v>2954.96</v>
      </c>
      <c r="J515" s="7">
        <f>Table1[[#This Row],[Clicks]]/Table1[[#This Row],[Impressions]]</f>
        <v>4.3122562887070878E-2</v>
      </c>
      <c r="K515" s="7">
        <f>IFERROR(Table1[[#This Row],[Conversions]]/Table1[[#This Row],[Clicks]],0)</f>
        <v>8.8652482269503549E-2</v>
      </c>
      <c r="L515" s="6">
        <f>IF(Table1[[#This Row],[Conversions]]=0,0,Table1[[#This Row],[Ad Spend]]/Table1[[#This Row],[Conversions]])</f>
        <v>17.092600000000001</v>
      </c>
      <c r="M515" s="8">
        <f>IF(Table1[[#This Row],[Ad Spend]]=0,0,Table1[[#This Row],[Revenue]]/Table1[[#This Row],[Ad Spend]])</f>
        <v>3.4575898341972549</v>
      </c>
      <c r="N515">
        <f>YEAR(Table1[[#This Row],[Date]])</f>
        <v>2024</v>
      </c>
      <c r="O515" t="str">
        <f>TEXT(Table1[[#This Row],[Date]],"mmm")</f>
        <v>Jul</v>
      </c>
      <c r="P515">
        <f>MONTH(Table1[[#This Row],[Date]])</f>
        <v>7</v>
      </c>
    </row>
    <row r="516" spans="1:16" x14ac:dyDescent="0.25">
      <c r="A516" t="s">
        <v>535</v>
      </c>
      <c r="B516" t="s">
        <v>34</v>
      </c>
      <c r="C516" t="s">
        <v>37</v>
      </c>
      <c r="D516" s="1">
        <v>45444</v>
      </c>
      <c r="E516">
        <v>102813</v>
      </c>
      <c r="F516">
        <v>7918</v>
      </c>
      <c r="G516">
        <v>169</v>
      </c>
      <c r="H516" s="4">
        <v>4398.88</v>
      </c>
      <c r="I516" s="4">
        <v>5769.22</v>
      </c>
      <c r="J516" s="7">
        <f>Table1[[#This Row],[Clicks]]/Table1[[#This Row],[Impressions]]</f>
        <v>7.7013607228657854E-2</v>
      </c>
      <c r="K516" s="7">
        <f>IFERROR(Table1[[#This Row],[Conversions]]/Table1[[#This Row],[Clicks]],0)</f>
        <v>2.1343773680222278E-2</v>
      </c>
      <c r="L516" s="6">
        <f>IF(Table1[[#This Row],[Conversions]]=0,0,Table1[[#This Row],[Ad Spend]]/Table1[[#This Row],[Conversions]])</f>
        <v>26.02887573964497</v>
      </c>
      <c r="M516" s="8">
        <f>IF(Table1[[#This Row],[Ad Spend]]=0,0,Table1[[#This Row],[Revenue]]/Table1[[#This Row],[Ad Spend]])</f>
        <v>1.3115202051431274</v>
      </c>
      <c r="N516">
        <f>YEAR(Table1[[#This Row],[Date]])</f>
        <v>2024</v>
      </c>
      <c r="O516" t="str">
        <f>TEXT(Table1[[#This Row],[Date]],"mmm")</f>
        <v>Jun</v>
      </c>
      <c r="P516">
        <f>MONTH(Table1[[#This Row],[Date]])</f>
        <v>6</v>
      </c>
    </row>
    <row r="517" spans="1:16" x14ac:dyDescent="0.25">
      <c r="A517" t="s">
        <v>536</v>
      </c>
      <c r="B517" t="s">
        <v>31</v>
      </c>
      <c r="C517" t="s">
        <v>10</v>
      </c>
      <c r="D517" s="1">
        <v>45585</v>
      </c>
      <c r="E517">
        <v>108306</v>
      </c>
      <c r="F517">
        <v>5155</v>
      </c>
      <c r="G517">
        <v>737</v>
      </c>
      <c r="H517" s="4">
        <v>1662.52</v>
      </c>
      <c r="I517" s="4">
        <v>69889.460000000006</v>
      </c>
      <c r="J517" s="7">
        <f>Table1[[#This Row],[Clicks]]/Table1[[#This Row],[Impressions]]</f>
        <v>4.7596624379074103E-2</v>
      </c>
      <c r="K517" s="7">
        <f>IFERROR(Table1[[#This Row],[Conversions]]/Table1[[#This Row],[Clicks]],0)</f>
        <v>0.14296799224054316</v>
      </c>
      <c r="L517" s="6">
        <f>IF(Table1[[#This Row],[Conversions]]=0,0,Table1[[#This Row],[Ad Spend]]/Table1[[#This Row],[Conversions]])</f>
        <v>2.2557937584803258</v>
      </c>
      <c r="M517" s="8">
        <f>IF(Table1[[#This Row],[Ad Spend]]=0,0,Table1[[#This Row],[Revenue]]/Table1[[#This Row],[Ad Spend]])</f>
        <v>42.03826720881554</v>
      </c>
      <c r="N517">
        <f>YEAR(Table1[[#This Row],[Date]])</f>
        <v>2024</v>
      </c>
      <c r="O517" t="str">
        <f>TEXT(Table1[[#This Row],[Date]],"mmm")</f>
        <v>Oct</v>
      </c>
      <c r="P517">
        <f>MONTH(Table1[[#This Row],[Date]])</f>
        <v>10</v>
      </c>
    </row>
    <row r="518" spans="1:16" x14ac:dyDescent="0.25">
      <c r="A518" t="s">
        <v>537</v>
      </c>
      <c r="B518" t="s">
        <v>47</v>
      </c>
      <c r="C518" t="s">
        <v>37</v>
      </c>
      <c r="D518" s="1">
        <v>45503</v>
      </c>
      <c r="E518">
        <v>139362</v>
      </c>
      <c r="F518">
        <v>2783</v>
      </c>
      <c r="G518">
        <v>122</v>
      </c>
      <c r="H518" s="4">
        <v>3161.05</v>
      </c>
      <c r="I518" s="4">
        <v>5523.45</v>
      </c>
      <c r="J518" s="7">
        <f>Table1[[#This Row],[Clicks]]/Table1[[#This Row],[Impressions]]</f>
        <v>1.9969575637548257E-2</v>
      </c>
      <c r="K518" s="7">
        <f>IFERROR(Table1[[#This Row],[Conversions]]/Table1[[#This Row],[Clicks]],0)</f>
        <v>4.3837585339561627E-2</v>
      </c>
      <c r="L518" s="6">
        <f>IF(Table1[[#This Row],[Conversions]]=0,0,Table1[[#This Row],[Ad Spend]]/Table1[[#This Row],[Conversions]])</f>
        <v>25.910245901639346</v>
      </c>
      <c r="M518" s="8">
        <f>IF(Table1[[#This Row],[Ad Spend]]=0,0,Table1[[#This Row],[Revenue]]/Table1[[#This Row],[Ad Spend]])</f>
        <v>1.7473466095126617</v>
      </c>
      <c r="N518">
        <f>YEAR(Table1[[#This Row],[Date]])</f>
        <v>2024</v>
      </c>
      <c r="O518" t="str">
        <f>TEXT(Table1[[#This Row],[Date]],"mmm")</f>
        <v>Jul</v>
      </c>
      <c r="P518">
        <f>MONTH(Table1[[#This Row],[Date]])</f>
        <v>7</v>
      </c>
    </row>
    <row r="519" spans="1:16" x14ac:dyDescent="0.25">
      <c r="A519" t="s">
        <v>538</v>
      </c>
      <c r="B519" t="s">
        <v>9</v>
      </c>
      <c r="C519" t="s">
        <v>37</v>
      </c>
      <c r="D519" s="1">
        <v>45635</v>
      </c>
      <c r="E519">
        <v>19257</v>
      </c>
      <c r="F519">
        <v>1340</v>
      </c>
      <c r="G519">
        <v>189</v>
      </c>
      <c r="H519" s="4">
        <v>4972.7</v>
      </c>
      <c r="I519" s="4">
        <v>12497.91</v>
      </c>
      <c r="J519" s="7">
        <f>Table1[[#This Row],[Clicks]]/Table1[[#This Row],[Impressions]]</f>
        <v>6.9585085942774058E-2</v>
      </c>
      <c r="K519" s="7">
        <f>IFERROR(Table1[[#This Row],[Conversions]]/Table1[[#This Row],[Clicks]],0)</f>
        <v>0.141044776119403</v>
      </c>
      <c r="L519" s="6">
        <f>IF(Table1[[#This Row],[Conversions]]=0,0,Table1[[#This Row],[Ad Spend]]/Table1[[#This Row],[Conversions]])</f>
        <v>26.31058201058201</v>
      </c>
      <c r="M519" s="8">
        <f>IF(Table1[[#This Row],[Ad Spend]]=0,0,Table1[[#This Row],[Revenue]]/Table1[[#This Row],[Ad Spend]])</f>
        <v>2.513304643352706</v>
      </c>
      <c r="N519">
        <f>YEAR(Table1[[#This Row],[Date]])</f>
        <v>2024</v>
      </c>
      <c r="O519" t="str">
        <f>TEXT(Table1[[#This Row],[Date]],"mmm")</f>
        <v>Dec</v>
      </c>
      <c r="P519">
        <f>MONTH(Table1[[#This Row],[Date]])</f>
        <v>12</v>
      </c>
    </row>
    <row r="520" spans="1:16" x14ac:dyDescent="0.25">
      <c r="A520" t="s">
        <v>539</v>
      </c>
      <c r="B520" t="s">
        <v>9</v>
      </c>
      <c r="C520" t="s">
        <v>19</v>
      </c>
      <c r="D520" s="1">
        <v>45635</v>
      </c>
      <c r="E520">
        <v>22658</v>
      </c>
      <c r="F520">
        <v>624</v>
      </c>
      <c r="G520">
        <v>28</v>
      </c>
      <c r="H520" s="4">
        <v>2986.86</v>
      </c>
      <c r="I520" s="4">
        <v>3224.31</v>
      </c>
      <c r="J520" s="7">
        <f>Table1[[#This Row],[Clicks]]/Table1[[#This Row],[Impressions]]</f>
        <v>2.7539941742430931E-2</v>
      </c>
      <c r="K520" s="7">
        <f>IFERROR(Table1[[#This Row],[Conversions]]/Table1[[#This Row],[Clicks]],0)</f>
        <v>4.4871794871794872E-2</v>
      </c>
      <c r="L520" s="6">
        <f>IF(Table1[[#This Row],[Conversions]]=0,0,Table1[[#This Row],[Ad Spend]]/Table1[[#This Row],[Conversions]])</f>
        <v>106.67357142857144</v>
      </c>
      <c r="M520" s="8">
        <f>IF(Table1[[#This Row],[Ad Spend]]=0,0,Table1[[#This Row],[Revenue]]/Table1[[#This Row],[Ad Spend]])</f>
        <v>1.0794982021253088</v>
      </c>
      <c r="N520">
        <f>YEAR(Table1[[#This Row],[Date]])</f>
        <v>2024</v>
      </c>
      <c r="O520" t="str">
        <f>TEXT(Table1[[#This Row],[Date]],"mmm")</f>
        <v>Dec</v>
      </c>
      <c r="P520">
        <f>MONTH(Table1[[#This Row],[Date]])</f>
        <v>12</v>
      </c>
    </row>
    <row r="521" spans="1:16" x14ac:dyDescent="0.25">
      <c r="A521" t="s">
        <v>540</v>
      </c>
      <c r="B521" t="s">
        <v>47</v>
      </c>
      <c r="C521" t="s">
        <v>37</v>
      </c>
      <c r="D521" s="1">
        <v>45635</v>
      </c>
      <c r="E521">
        <v>66481</v>
      </c>
      <c r="F521">
        <v>1130</v>
      </c>
      <c r="G521">
        <v>113</v>
      </c>
      <c r="H521" s="4">
        <v>4520.57</v>
      </c>
      <c r="I521" s="4">
        <v>5850.98</v>
      </c>
      <c r="J521" s="7">
        <f>Table1[[#This Row],[Clicks]]/Table1[[#This Row],[Impressions]]</f>
        <v>1.6997337585174712E-2</v>
      </c>
      <c r="K521" s="7">
        <f>IFERROR(Table1[[#This Row],[Conversions]]/Table1[[#This Row],[Clicks]],0)</f>
        <v>0.1</v>
      </c>
      <c r="L521" s="6">
        <f>IF(Table1[[#This Row],[Conversions]]=0,0,Table1[[#This Row],[Ad Spend]]/Table1[[#This Row],[Conversions]])</f>
        <v>40.005044247787609</v>
      </c>
      <c r="M521" s="8">
        <f>IF(Table1[[#This Row],[Ad Spend]]=0,0,Table1[[#This Row],[Revenue]]/Table1[[#This Row],[Ad Spend]])</f>
        <v>1.2943013823478013</v>
      </c>
      <c r="N521">
        <f>YEAR(Table1[[#This Row],[Date]])</f>
        <v>2024</v>
      </c>
      <c r="O521" t="str">
        <f>TEXT(Table1[[#This Row],[Date]],"mmm")</f>
        <v>Dec</v>
      </c>
      <c r="P521">
        <f>MONTH(Table1[[#This Row],[Date]])</f>
        <v>12</v>
      </c>
    </row>
    <row r="522" spans="1:16" x14ac:dyDescent="0.25">
      <c r="A522" t="s">
        <v>541</v>
      </c>
      <c r="B522" t="s">
        <v>41</v>
      </c>
      <c r="C522" t="s">
        <v>19</v>
      </c>
      <c r="D522" s="1">
        <v>45607</v>
      </c>
      <c r="E522">
        <v>85130</v>
      </c>
      <c r="F522">
        <v>4983</v>
      </c>
      <c r="G522">
        <v>198</v>
      </c>
      <c r="H522" s="4">
        <v>2920.94</v>
      </c>
      <c r="I522" s="4">
        <v>19952.46</v>
      </c>
      <c r="J522" s="7">
        <f>Table1[[#This Row],[Clicks]]/Table1[[#This Row],[Impressions]]</f>
        <v>5.8534006813109364E-2</v>
      </c>
      <c r="K522" s="7">
        <f>IFERROR(Table1[[#This Row],[Conversions]]/Table1[[#This Row],[Clicks]],0)</f>
        <v>3.9735099337748346E-2</v>
      </c>
      <c r="L522" s="6">
        <f>IF(Table1[[#This Row],[Conversions]]=0,0,Table1[[#This Row],[Ad Spend]]/Table1[[#This Row],[Conversions]])</f>
        <v>14.752222222222223</v>
      </c>
      <c r="M522" s="8">
        <f>IF(Table1[[#This Row],[Ad Spend]]=0,0,Table1[[#This Row],[Revenue]]/Table1[[#This Row],[Ad Spend]])</f>
        <v>6.8308352790540026</v>
      </c>
      <c r="N522">
        <f>YEAR(Table1[[#This Row],[Date]])</f>
        <v>2024</v>
      </c>
      <c r="O522" t="str">
        <f>TEXT(Table1[[#This Row],[Date]],"mmm")</f>
        <v>Nov</v>
      </c>
      <c r="P522">
        <f>MONTH(Table1[[#This Row],[Date]])</f>
        <v>11</v>
      </c>
    </row>
    <row r="523" spans="1:16" x14ac:dyDescent="0.25">
      <c r="A523" t="s">
        <v>542</v>
      </c>
      <c r="B523" t="s">
        <v>21</v>
      </c>
      <c r="C523" t="s">
        <v>37</v>
      </c>
      <c r="D523" s="1">
        <v>45294</v>
      </c>
      <c r="E523">
        <v>87107</v>
      </c>
      <c r="F523">
        <v>2372</v>
      </c>
      <c r="G523">
        <v>115</v>
      </c>
      <c r="H523" s="4">
        <v>3751.12</v>
      </c>
      <c r="I523" s="4">
        <v>7315.43</v>
      </c>
      <c r="J523" s="7">
        <f>Table1[[#This Row],[Clicks]]/Table1[[#This Row],[Impressions]]</f>
        <v>2.7230876967407901E-2</v>
      </c>
      <c r="K523" s="7">
        <f>IFERROR(Table1[[#This Row],[Conversions]]/Table1[[#This Row],[Clicks]],0)</f>
        <v>4.8482293423271504E-2</v>
      </c>
      <c r="L523" s="6">
        <f>IF(Table1[[#This Row],[Conversions]]=0,0,Table1[[#This Row],[Ad Spend]]/Table1[[#This Row],[Conversions]])</f>
        <v>32.618434782608695</v>
      </c>
      <c r="M523" s="8">
        <f>IF(Table1[[#This Row],[Ad Spend]]=0,0,Table1[[#This Row],[Revenue]]/Table1[[#This Row],[Ad Spend]])</f>
        <v>1.9501988739363179</v>
      </c>
      <c r="N523">
        <f>YEAR(Table1[[#This Row],[Date]])</f>
        <v>2024</v>
      </c>
      <c r="O523" t="str">
        <f>TEXT(Table1[[#This Row],[Date]],"mmm")</f>
        <v>Jan</v>
      </c>
      <c r="P523">
        <f>MONTH(Table1[[#This Row],[Date]])</f>
        <v>1</v>
      </c>
    </row>
    <row r="524" spans="1:16" x14ac:dyDescent="0.25">
      <c r="A524" t="s">
        <v>543</v>
      </c>
      <c r="B524" t="s">
        <v>47</v>
      </c>
      <c r="C524" t="s">
        <v>37</v>
      </c>
      <c r="D524" s="1">
        <v>45639</v>
      </c>
      <c r="E524">
        <v>91917</v>
      </c>
      <c r="F524">
        <v>6567</v>
      </c>
      <c r="G524">
        <v>526</v>
      </c>
      <c r="H524" s="4">
        <v>1921.96</v>
      </c>
      <c r="I524" s="4">
        <v>26587.82</v>
      </c>
      <c r="J524" s="7">
        <f>Table1[[#This Row],[Clicks]]/Table1[[#This Row],[Impressions]]</f>
        <v>7.144489049903717E-2</v>
      </c>
      <c r="K524" s="7">
        <f>IFERROR(Table1[[#This Row],[Conversions]]/Table1[[#This Row],[Clicks]],0)</f>
        <v>8.0097456981879089E-2</v>
      </c>
      <c r="L524" s="6">
        <f>IF(Table1[[#This Row],[Conversions]]=0,0,Table1[[#This Row],[Ad Spend]]/Table1[[#This Row],[Conversions]])</f>
        <v>3.6539163498098861</v>
      </c>
      <c r="M524" s="8">
        <f>IF(Table1[[#This Row],[Ad Spend]]=0,0,Table1[[#This Row],[Revenue]]/Table1[[#This Row],[Ad Spend]])</f>
        <v>13.833701013548669</v>
      </c>
      <c r="N524">
        <f>YEAR(Table1[[#This Row],[Date]])</f>
        <v>2024</v>
      </c>
      <c r="O524" t="str">
        <f>TEXT(Table1[[#This Row],[Date]],"mmm")</f>
        <v>Dec</v>
      </c>
      <c r="P524">
        <f>MONTH(Table1[[#This Row],[Date]])</f>
        <v>12</v>
      </c>
    </row>
    <row r="525" spans="1:16" x14ac:dyDescent="0.25">
      <c r="A525" t="s">
        <v>544</v>
      </c>
      <c r="B525" t="s">
        <v>9</v>
      </c>
      <c r="C525" t="s">
        <v>37</v>
      </c>
      <c r="D525" s="1">
        <v>45622</v>
      </c>
      <c r="E525">
        <v>26488</v>
      </c>
      <c r="F525">
        <v>1825</v>
      </c>
      <c r="G525">
        <v>240</v>
      </c>
      <c r="H525" s="4">
        <v>872.01</v>
      </c>
      <c r="I525" s="4">
        <v>17726.830000000002</v>
      </c>
      <c r="J525" s="7">
        <f>Table1[[#This Row],[Clicks]]/Table1[[#This Row],[Impressions]]</f>
        <v>6.8899124131682268E-2</v>
      </c>
      <c r="K525" s="7">
        <f>IFERROR(Table1[[#This Row],[Conversions]]/Table1[[#This Row],[Clicks]],0)</f>
        <v>0.13150684931506848</v>
      </c>
      <c r="L525" s="6">
        <f>IF(Table1[[#This Row],[Conversions]]=0,0,Table1[[#This Row],[Ad Spend]]/Table1[[#This Row],[Conversions]])</f>
        <v>3.633375</v>
      </c>
      <c r="M525" s="8">
        <f>IF(Table1[[#This Row],[Ad Spend]]=0,0,Table1[[#This Row],[Revenue]]/Table1[[#This Row],[Ad Spend]])</f>
        <v>20.328700358940839</v>
      </c>
      <c r="N525">
        <f>YEAR(Table1[[#This Row],[Date]])</f>
        <v>2024</v>
      </c>
      <c r="O525" t="str">
        <f>TEXT(Table1[[#This Row],[Date]],"mmm")</f>
        <v>Nov</v>
      </c>
      <c r="P525">
        <f>MONTH(Table1[[#This Row],[Date]])</f>
        <v>11</v>
      </c>
    </row>
    <row r="526" spans="1:16" x14ac:dyDescent="0.25">
      <c r="A526" t="s">
        <v>545</v>
      </c>
      <c r="B526" t="s">
        <v>34</v>
      </c>
      <c r="C526" t="s">
        <v>10</v>
      </c>
      <c r="D526" s="1">
        <v>45664</v>
      </c>
      <c r="E526">
        <v>24765</v>
      </c>
      <c r="F526">
        <v>1794</v>
      </c>
      <c r="G526">
        <v>234</v>
      </c>
      <c r="H526" s="4">
        <v>3231.81</v>
      </c>
      <c r="I526" s="4">
        <v>23695.83</v>
      </c>
      <c r="J526" s="7">
        <f>Table1[[#This Row],[Clicks]]/Table1[[#This Row],[Impressions]]</f>
        <v>7.2440944881889763E-2</v>
      </c>
      <c r="K526" s="7">
        <f>IFERROR(Table1[[#This Row],[Conversions]]/Table1[[#This Row],[Clicks]],0)</f>
        <v>0.13043478260869565</v>
      </c>
      <c r="L526" s="6">
        <f>IF(Table1[[#This Row],[Conversions]]=0,0,Table1[[#This Row],[Ad Spend]]/Table1[[#This Row],[Conversions]])</f>
        <v>13.811153846153847</v>
      </c>
      <c r="M526" s="8">
        <f>IF(Table1[[#This Row],[Ad Spend]]=0,0,Table1[[#This Row],[Revenue]]/Table1[[#This Row],[Ad Spend]])</f>
        <v>7.3320616001559502</v>
      </c>
      <c r="N526">
        <f>YEAR(Table1[[#This Row],[Date]])</f>
        <v>2025</v>
      </c>
      <c r="O526" t="str">
        <f>TEXT(Table1[[#This Row],[Date]],"mmm")</f>
        <v>Jan</v>
      </c>
      <c r="P526">
        <f>MONTH(Table1[[#This Row],[Date]])</f>
        <v>1</v>
      </c>
    </row>
    <row r="527" spans="1:16" x14ac:dyDescent="0.25">
      <c r="A527" t="s">
        <v>546</v>
      </c>
      <c r="B527" t="s">
        <v>21</v>
      </c>
      <c r="C527" t="s">
        <v>12</v>
      </c>
      <c r="D527" s="1">
        <v>45400</v>
      </c>
      <c r="E527">
        <v>14609</v>
      </c>
      <c r="F527">
        <v>710</v>
      </c>
      <c r="G527">
        <v>64</v>
      </c>
      <c r="H527" s="4">
        <v>4993.8999999999996</v>
      </c>
      <c r="I527" s="4">
        <v>4301.47</v>
      </c>
      <c r="J527" s="7">
        <f>Table1[[#This Row],[Clicks]]/Table1[[#This Row],[Impressions]]</f>
        <v>4.8600177972482714E-2</v>
      </c>
      <c r="K527" s="7">
        <f>IFERROR(Table1[[#This Row],[Conversions]]/Table1[[#This Row],[Clicks]],0)</f>
        <v>9.014084507042254E-2</v>
      </c>
      <c r="L527" s="6">
        <f>IF(Table1[[#This Row],[Conversions]]=0,0,Table1[[#This Row],[Ad Spend]]/Table1[[#This Row],[Conversions]])</f>
        <v>78.029687499999994</v>
      </c>
      <c r="M527" s="8">
        <f>IF(Table1[[#This Row],[Ad Spend]]=0,0,Table1[[#This Row],[Revenue]]/Table1[[#This Row],[Ad Spend]])</f>
        <v>0.86134484070566097</v>
      </c>
      <c r="N527">
        <f>YEAR(Table1[[#This Row],[Date]])</f>
        <v>2024</v>
      </c>
      <c r="O527" t="str">
        <f>TEXT(Table1[[#This Row],[Date]],"mmm")</f>
        <v>Apr</v>
      </c>
      <c r="P527">
        <f>MONTH(Table1[[#This Row],[Date]])</f>
        <v>4</v>
      </c>
    </row>
    <row r="528" spans="1:16" x14ac:dyDescent="0.25">
      <c r="A528" t="s">
        <v>547</v>
      </c>
      <c r="B528" t="s">
        <v>16</v>
      </c>
      <c r="C528" t="s">
        <v>19</v>
      </c>
      <c r="D528" s="1">
        <v>45492</v>
      </c>
      <c r="E528">
        <v>63538</v>
      </c>
      <c r="F528">
        <v>4600</v>
      </c>
      <c r="G528">
        <v>444</v>
      </c>
      <c r="H528" s="4">
        <v>4314.3900000000003</v>
      </c>
      <c r="I528" s="4">
        <v>14824.33</v>
      </c>
      <c r="J528" s="7">
        <f>Table1[[#This Row],[Clicks]]/Table1[[#This Row],[Impressions]]</f>
        <v>7.2397620321697248E-2</v>
      </c>
      <c r="K528" s="7">
        <f>IFERROR(Table1[[#This Row],[Conversions]]/Table1[[#This Row],[Clicks]],0)</f>
        <v>9.6521739130434783E-2</v>
      </c>
      <c r="L528" s="6">
        <f>IF(Table1[[#This Row],[Conversions]]=0,0,Table1[[#This Row],[Ad Spend]]/Table1[[#This Row],[Conversions]])</f>
        <v>9.7170945945945952</v>
      </c>
      <c r="M528" s="8">
        <f>IF(Table1[[#This Row],[Ad Spend]]=0,0,Table1[[#This Row],[Revenue]]/Table1[[#This Row],[Ad Spend]])</f>
        <v>3.436019924021704</v>
      </c>
      <c r="N528">
        <f>YEAR(Table1[[#This Row],[Date]])</f>
        <v>2024</v>
      </c>
      <c r="O528" t="str">
        <f>TEXT(Table1[[#This Row],[Date]],"mmm")</f>
        <v>Jul</v>
      </c>
      <c r="P528">
        <f>MONTH(Table1[[#This Row],[Date]])</f>
        <v>7</v>
      </c>
    </row>
    <row r="529" spans="1:16" x14ac:dyDescent="0.25">
      <c r="A529" t="s">
        <v>548</v>
      </c>
      <c r="B529" t="s">
        <v>9</v>
      </c>
      <c r="C529" t="s">
        <v>17</v>
      </c>
      <c r="D529" s="1">
        <v>45478</v>
      </c>
      <c r="E529">
        <v>136640</v>
      </c>
      <c r="F529">
        <v>1467</v>
      </c>
      <c r="G529">
        <v>74</v>
      </c>
      <c r="H529" s="4">
        <v>4827.2</v>
      </c>
      <c r="I529" s="4">
        <v>8745.7099999999991</v>
      </c>
      <c r="J529" s="7">
        <f>Table1[[#This Row],[Clicks]]/Table1[[#This Row],[Impressions]]</f>
        <v>1.0736241217798596E-2</v>
      </c>
      <c r="K529" s="7">
        <f>IFERROR(Table1[[#This Row],[Conversions]]/Table1[[#This Row],[Clicks]],0)</f>
        <v>5.0443081117927745E-2</v>
      </c>
      <c r="L529" s="6">
        <f>IF(Table1[[#This Row],[Conversions]]=0,0,Table1[[#This Row],[Ad Spend]]/Table1[[#This Row],[Conversions]])</f>
        <v>65.232432432432432</v>
      </c>
      <c r="M529" s="8">
        <f>IF(Table1[[#This Row],[Ad Spend]]=0,0,Table1[[#This Row],[Revenue]]/Table1[[#This Row],[Ad Spend]])</f>
        <v>1.8117562976466688</v>
      </c>
      <c r="N529">
        <f>YEAR(Table1[[#This Row],[Date]])</f>
        <v>2024</v>
      </c>
      <c r="O529" t="str">
        <f>TEXT(Table1[[#This Row],[Date]],"mmm")</f>
        <v>Jul</v>
      </c>
      <c r="P529">
        <f>MONTH(Table1[[#This Row],[Date]])</f>
        <v>7</v>
      </c>
    </row>
    <row r="530" spans="1:16" x14ac:dyDescent="0.25">
      <c r="A530" t="s">
        <v>549</v>
      </c>
      <c r="B530" t="s">
        <v>16</v>
      </c>
      <c r="C530" t="s">
        <v>12</v>
      </c>
      <c r="D530" s="1">
        <v>45363</v>
      </c>
      <c r="E530">
        <v>121974</v>
      </c>
      <c r="F530">
        <v>2579</v>
      </c>
      <c r="G530">
        <v>241</v>
      </c>
      <c r="H530" s="4">
        <v>2915.9</v>
      </c>
      <c r="I530" s="4">
        <v>25839.9</v>
      </c>
      <c r="J530" s="7">
        <f>Table1[[#This Row],[Clicks]]/Table1[[#This Row],[Impressions]]</f>
        <v>2.1143850328758589E-2</v>
      </c>
      <c r="K530" s="7">
        <f>IFERROR(Table1[[#This Row],[Conversions]]/Table1[[#This Row],[Clicks]],0)</f>
        <v>9.3447072508724305E-2</v>
      </c>
      <c r="L530" s="6">
        <f>IF(Table1[[#This Row],[Conversions]]=0,0,Table1[[#This Row],[Ad Spend]]/Table1[[#This Row],[Conversions]])</f>
        <v>12.099170124481327</v>
      </c>
      <c r="M530" s="8">
        <f>IF(Table1[[#This Row],[Ad Spend]]=0,0,Table1[[#This Row],[Revenue]]/Table1[[#This Row],[Ad Spend]])</f>
        <v>8.861723653074522</v>
      </c>
      <c r="N530">
        <f>YEAR(Table1[[#This Row],[Date]])</f>
        <v>2024</v>
      </c>
      <c r="O530" t="str">
        <f>TEXT(Table1[[#This Row],[Date]],"mmm")</f>
        <v>Mar</v>
      </c>
      <c r="P530">
        <f>MONTH(Table1[[#This Row],[Date]])</f>
        <v>3</v>
      </c>
    </row>
    <row r="531" spans="1:16" x14ac:dyDescent="0.25">
      <c r="A531" t="s">
        <v>550</v>
      </c>
      <c r="B531" t="s">
        <v>16</v>
      </c>
      <c r="C531" t="s">
        <v>17</v>
      </c>
      <c r="D531" s="1">
        <v>45475</v>
      </c>
      <c r="E531">
        <v>15595</v>
      </c>
      <c r="F531">
        <v>394</v>
      </c>
      <c r="G531">
        <v>32</v>
      </c>
      <c r="H531" s="4">
        <v>501.73</v>
      </c>
      <c r="I531" s="4">
        <v>1822.19</v>
      </c>
      <c r="J531" s="7">
        <f>Table1[[#This Row],[Clicks]]/Table1[[#This Row],[Impressions]]</f>
        <v>2.5264507855081757E-2</v>
      </c>
      <c r="K531" s="7">
        <f>IFERROR(Table1[[#This Row],[Conversions]]/Table1[[#This Row],[Clicks]],0)</f>
        <v>8.1218274111675121E-2</v>
      </c>
      <c r="L531" s="6">
        <f>IF(Table1[[#This Row],[Conversions]]=0,0,Table1[[#This Row],[Ad Spend]]/Table1[[#This Row],[Conversions]])</f>
        <v>15.679062500000001</v>
      </c>
      <c r="M531" s="8">
        <f>IF(Table1[[#This Row],[Ad Spend]]=0,0,Table1[[#This Row],[Revenue]]/Table1[[#This Row],[Ad Spend]])</f>
        <v>3.6318139238235703</v>
      </c>
      <c r="N531">
        <f>YEAR(Table1[[#This Row],[Date]])</f>
        <v>2024</v>
      </c>
      <c r="O531" t="str">
        <f>TEXT(Table1[[#This Row],[Date]],"mmm")</f>
        <v>Jul</v>
      </c>
      <c r="P531">
        <f>MONTH(Table1[[#This Row],[Date]])</f>
        <v>7</v>
      </c>
    </row>
    <row r="532" spans="1:16" x14ac:dyDescent="0.25">
      <c r="A532" t="s">
        <v>551</v>
      </c>
      <c r="B532" t="s">
        <v>31</v>
      </c>
      <c r="C532" t="s">
        <v>37</v>
      </c>
      <c r="D532" s="1">
        <v>45557</v>
      </c>
      <c r="E532">
        <v>99699</v>
      </c>
      <c r="F532">
        <v>3705</v>
      </c>
      <c r="G532">
        <v>516</v>
      </c>
      <c r="H532" s="4">
        <v>4431.45</v>
      </c>
      <c r="I532" s="4">
        <v>12379.08</v>
      </c>
      <c r="J532" s="7">
        <f>Table1[[#This Row],[Clicks]]/Table1[[#This Row],[Impressions]]</f>
        <v>3.7161857190142325E-2</v>
      </c>
      <c r="K532" s="7">
        <f>IFERROR(Table1[[#This Row],[Conversions]]/Table1[[#This Row],[Clicks]],0)</f>
        <v>0.13927125506072874</v>
      </c>
      <c r="L532" s="6">
        <f>IF(Table1[[#This Row],[Conversions]]=0,0,Table1[[#This Row],[Ad Spend]]/Table1[[#This Row],[Conversions]])</f>
        <v>8.5880813953488371</v>
      </c>
      <c r="M532" s="8">
        <f>IF(Table1[[#This Row],[Ad Spend]]=0,0,Table1[[#This Row],[Revenue]]/Table1[[#This Row],[Ad Spend]])</f>
        <v>2.7934603797853979</v>
      </c>
      <c r="N532">
        <f>YEAR(Table1[[#This Row],[Date]])</f>
        <v>2024</v>
      </c>
      <c r="O532" t="str">
        <f>TEXT(Table1[[#This Row],[Date]],"mmm")</f>
        <v>Sept</v>
      </c>
      <c r="P532">
        <f>MONTH(Table1[[#This Row],[Date]])</f>
        <v>9</v>
      </c>
    </row>
    <row r="533" spans="1:16" x14ac:dyDescent="0.25">
      <c r="A533" t="s">
        <v>552</v>
      </c>
      <c r="B533" t="s">
        <v>47</v>
      </c>
      <c r="C533" t="s">
        <v>10</v>
      </c>
      <c r="D533" s="1">
        <v>45652</v>
      </c>
      <c r="E533">
        <v>141674</v>
      </c>
      <c r="F533">
        <v>7699</v>
      </c>
      <c r="G533">
        <v>427</v>
      </c>
      <c r="H533" s="4">
        <v>3761.17</v>
      </c>
      <c r="I533" s="4">
        <v>33247.56</v>
      </c>
      <c r="J533" s="7">
        <f>Table1[[#This Row],[Clicks]]/Table1[[#This Row],[Impressions]]</f>
        <v>5.4343069299942121E-2</v>
      </c>
      <c r="K533" s="7">
        <f>IFERROR(Table1[[#This Row],[Conversions]]/Table1[[#This Row],[Clicks]],0)</f>
        <v>5.5461748278997275E-2</v>
      </c>
      <c r="L533" s="6">
        <f>IF(Table1[[#This Row],[Conversions]]=0,0,Table1[[#This Row],[Ad Spend]]/Table1[[#This Row],[Conversions]])</f>
        <v>8.8083606557377045</v>
      </c>
      <c r="M533" s="8">
        <f>IF(Table1[[#This Row],[Ad Spend]]=0,0,Table1[[#This Row],[Revenue]]/Table1[[#This Row],[Ad Spend]])</f>
        <v>8.8396855233876686</v>
      </c>
      <c r="N533">
        <f>YEAR(Table1[[#This Row],[Date]])</f>
        <v>2024</v>
      </c>
      <c r="O533" t="str">
        <f>TEXT(Table1[[#This Row],[Date]],"mmm")</f>
        <v>Dec</v>
      </c>
      <c r="P533">
        <f>MONTH(Table1[[#This Row],[Date]])</f>
        <v>12</v>
      </c>
    </row>
    <row r="534" spans="1:16" x14ac:dyDescent="0.25">
      <c r="A534" t="s">
        <v>553</v>
      </c>
      <c r="B534" t="s">
        <v>16</v>
      </c>
      <c r="C534" t="s">
        <v>17</v>
      </c>
      <c r="D534" s="1">
        <v>45626</v>
      </c>
      <c r="E534">
        <v>104226</v>
      </c>
      <c r="F534">
        <v>3707</v>
      </c>
      <c r="G534">
        <v>388</v>
      </c>
      <c r="H534" s="4">
        <v>4210.25</v>
      </c>
      <c r="I534" s="4">
        <v>27806.52</v>
      </c>
      <c r="J534" s="7">
        <f>Table1[[#This Row],[Clicks]]/Table1[[#This Row],[Impressions]]</f>
        <v>3.5566941070366322E-2</v>
      </c>
      <c r="K534" s="7">
        <f>IFERROR(Table1[[#This Row],[Conversions]]/Table1[[#This Row],[Clicks]],0)</f>
        <v>0.10466684650660912</v>
      </c>
      <c r="L534" s="6">
        <f>IF(Table1[[#This Row],[Conversions]]=0,0,Table1[[#This Row],[Ad Spend]]/Table1[[#This Row],[Conversions]])</f>
        <v>10.851159793814434</v>
      </c>
      <c r="M534" s="8">
        <f>IF(Table1[[#This Row],[Ad Spend]]=0,0,Table1[[#This Row],[Revenue]]/Table1[[#This Row],[Ad Spend]])</f>
        <v>6.6044819191259432</v>
      </c>
      <c r="N534">
        <f>YEAR(Table1[[#This Row],[Date]])</f>
        <v>2024</v>
      </c>
      <c r="O534" t="str">
        <f>TEXT(Table1[[#This Row],[Date]],"mmm")</f>
        <v>Nov</v>
      </c>
      <c r="P534">
        <f>MONTH(Table1[[#This Row],[Date]])</f>
        <v>11</v>
      </c>
    </row>
    <row r="535" spans="1:16" x14ac:dyDescent="0.25">
      <c r="A535" t="s">
        <v>554</v>
      </c>
      <c r="B535" t="s">
        <v>21</v>
      </c>
      <c r="C535" t="s">
        <v>37</v>
      </c>
      <c r="D535" s="1">
        <v>45556</v>
      </c>
      <c r="E535">
        <v>111389</v>
      </c>
      <c r="F535">
        <v>3865</v>
      </c>
      <c r="G535">
        <v>513</v>
      </c>
      <c r="H535" s="4">
        <v>2536.94</v>
      </c>
      <c r="I535" s="4">
        <v>34992.25</v>
      </c>
      <c r="J535" s="7">
        <f>Table1[[#This Row],[Clicks]]/Table1[[#This Row],[Impressions]]</f>
        <v>3.4698219752399249E-2</v>
      </c>
      <c r="K535" s="7">
        <f>IFERROR(Table1[[#This Row],[Conversions]]/Table1[[#This Row],[Clicks]],0)</f>
        <v>0.13272962483829237</v>
      </c>
      <c r="L535" s="6">
        <f>IF(Table1[[#This Row],[Conversions]]=0,0,Table1[[#This Row],[Ad Spend]]/Table1[[#This Row],[Conversions]])</f>
        <v>4.9453021442495126</v>
      </c>
      <c r="M535" s="8">
        <f>IF(Table1[[#This Row],[Ad Spend]]=0,0,Table1[[#This Row],[Revenue]]/Table1[[#This Row],[Ad Spend]])</f>
        <v>13.793093254077746</v>
      </c>
      <c r="N535">
        <f>YEAR(Table1[[#This Row],[Date]])</f>
        <v>2024</v>
      </c>
      <c r="O535" t="str">
        <f>TEXT(Table1[[#This Row],[Date]],"mmm")</f>
        <v>Sept</v>
      </c>
      <c r="P535">
        <f>MONTH(Table1[[#This Row],[Date]])</f>
        <v>9</v>
      </c>
    </row>
    <row r="536" spans="1:16" x14ac:dyDescent="0.25">
      <c r="A536" t="s">
        <v>555</v>
      </c>
      <c r="B536" t="s">
        <v>31</v>
      </c>
      <c r="C536" t="s">
        <v>12</v>
      </c>
      <c r="D536" s="1">
        <v>45363</v>
      </c>
      <c r="E536">
        <v>120316</v>
      </c>
      <c r="F536">
        <v>2597</v>
      </c>
      <c r="G536">
        <v>77</v>
      </c>
      <c r="H536" s="4">
        <v>3288.69</v>
      </c>
      <c r="I536" s="4">
        <v>3168.68</v>
      </c>
      <c r="J536" s="7">
        <f>Table1[[#This Row],[Clicks]]/Table1[[#This Row],[Impressions]]</f>
        <v>2.1584826623225507E-2</v>
      </c>
      <c r="K536" s="7">
        <f>IFERROR(Table1[[#This Row],[Conversions]]/Table1[[#This Row],[Clicks]],0)</f>
        <v>2.9649595687331536E-2</v>
      </c>
      <c r="L536" s="6">
        <f>IF(Table1[[#This Row],[Conversions]]=0,0,Table1[[#This Row],[Ad Spend]]/Table1[[#This Row],[Conversions]])</f>
        <v>42.710259740259744</v>
      </c>
      <c r="M536" s="8">
        <f>IF(Table1[[#This Row],[Ad Spend]]=0,0,Table1[[#This Row],[Revenue]]/Table1[[#This Row],[Ad Spend]])</f>
        <v>0.9635082662093416</v>
      </c>
      <c r="N536">
        <f>YEAR(Table1[[#This Row],[Date]])</f>
        <v>2024</v>
      </c>
      <c r="O536" t="str">
        <f>TEXT(Table1[[#This Row],[Date]],"mmm")</f>
        <v>Mar</v>
      </c>
      <c r="P536">
        <f>MONTH(Table1[[#This Row],[Date]])</f>
        <v>3</v>
      </c>
    </row>
    <row r="537" spans="1:16" x14ac:dyDescent="0.25">
      <c r="A537" t="s">
        <v>556</v>
      </c>
      <c r="B537" t="s">
        <v>16</v>
      </c>
      <c r="C537" t="s">
        <v>37</v>
      </c>
      <c r="D537" s="1">
        <v>45477</v>
      </c>
      <c r="E537">
        <v>36019</v>
      </c>
      <c r="F537">
        <v>2027</v>
      </c>
      <c r="G537">
        <v>149</v>
      </c>
      <c r="H537" s="4">
        <v>1785.08</v>
      </c>
      <c r="I537" s="4">
        <v>4668.75</v>
      </c>
      <c r="J537" s="7">
        <f>Table1[[#This Row],[Clicks]]/Table1[[#This Row],[Impressions]]</f>
        <v>5.627585441017241E-2</v>
      </c>
      <c r="K537" s="7">
        <f>IFERROR(Table1[[#This Row],[Conversions]]/Table1[[#This Row],[Clicks]],0)</f>
        <v>7.3507646768623577E-2</v>
      </c>
      <c r="L537" s="6">
        <f>IF(Table1[[#This Row],[Conversions]]=0,0,Table1[[#This Row],[Ad Spend]]/Table1[[#This Row],[Conversions]])</f>
        <v>11.980402684563758</v>
      </c>
      <c r="M537" s="8">
        <f>IF(Table1[[#This Row],[Ad Spend]]=0,0,Table1[[#This Row],[Revenue]]/Table1[[#This Row],[Ad Spend]])</f>
        <v>2.6154290003809355</v>
      </c>
      <c r="N537">
        <f>YEAR(Table1[[#This Row],[Date]])</f>
        <v>2024</v>
      </c>
      <c r="O537" t="str">
        <f>TEXT(Table1[[#This Row],[Date]],"mmm")</f>
        <v>Jul</v>
      </c>
      <c r="P537">
        <f>MONTH(Table1[[#This Row],[Date]])</f>
        <v>7</v>
      </c>
    </row>
    <row r="538" spans="1:16" x14ac:dyDescent="0.25">
      <c r="A538" t="s">
        <v>557</v>
      </c>
      <c r="B538" t="s">
        <v>41</v>
      </c>
      <c r="C538" t="s">
        <v>17</v>
      </c>
      <c r="D538" s="1">
        <v>45399</v>
      </c>
      <c r="E538">
        <v>47269</v>
      </c>
      <c r="F538">
        <v>2614</v>
      </c>
      <c r="G538">
        <v>191</v>
      </c>
      <c r="H538" s="4">
        <v>1369.62</v>
      </c>
      <c r="I538" s="4">
        <v>6262.61</v>
      </c>
      <c r="J538" s="7">
        <f>Table1[[#This Row],[Clicks]]/Table1[[#This Row],[Impressions]]</f>
        <v>5.5300514078994688E-2</v>
      </c>
      <c r="K538" s="7">
        <f>IFERROR(Table1[[#This Row],[Conversions]]/Table1[[#This Row],[Clicks]],0)</f>
        <v>7.3068094873756692E-2</v>
      </c>
      <c r="L538" s="6">
        <f>IF(Table1[[#This Row],[Conversions]]=0,0,Table1[[#This Row],[Ad Spend]]/Table1[[#This Row],[Conversions]])</f>
        <v>7.1707853403141355</v>
      </c>
      <c r="M538" s="8">
        <f>IF(Table1[[#This Row],[Ad Spend]]=0,0,Table1[[#This Row],[Revenue]]/Table1[[#This Row],[Ad Spend]])</f>
        <v>4.5725164644207883</v>
      </c>
      <c r="N538">
        <f>YEAR(Table1[[#This Row],[Date]])</f>
        <v>2024</v>
      </c>
      <c r="O538" t="str">
        <f>TEXT(Table1[[#This Row],[Date]],"mmm")</f>
        <v>Apr</v>
      </c>
      <c r="P538">
        <f>MONTH(Table1[[#This Row],[Date]])</f>
        <v>4</v>
      </c>
    </row>
    <row r="539" spans="1:16" x14ac:dyDescent="0.25">
      <c r="A539" t="s">
        <v>558</v>
      </c>
      <c r="B539" t="s">
        <v>16</v>
      </c>
      <c r="C539" t="s">
        <v>37</v>
      </c>
      <c r="D539" s="1">
        <v>45614</v>
      </c>
      <c r="E539">
        <v>139386</v>
      </c>
      <c r="F539">
        <v>1776</v>
      </c>
      <c r="G539">
        <v>167</v>
      </c>
      <c r="H539" s="4">
        <v>468.38</v>
      </c>
      <c r="I539" s="4">
        <v>7652.94</v>
      </c>
      <c r="J539" s="7">
        <f>Table1[[#This Row],[Clicks]]/Table1[[#This Row],[Impressions]]</f>
        <v>1.2741595282166071E-2</v>
      </c>
      <c r="K539" s="7">
        <f>IFERROR(Table1[[#This Row],[Conversions]]/Table1[[#This Row],[Clicks]],0)</f>
        <v>9.4031531531531529E-2</v>
      </c>
      <c r="L539" s="6">
        <f>IF(Table1[[#This Row],[Conversions]]=0,0,Table1[[#This Row],[Ad Spend]]/Table1[[#This Row],[Conversions]])</f>
        <v>2.8046706586826349</v>
      </c>
      <c r="M539" s="8">
        <f>IF(Table1[[#This Row],[Ad Spend]]=0,0,Table1[[#This Row],[Revenue]]/Table1[[#This Row],[Ad Spend]])</f>
        <v>16.339169050770742</v>
      </c>
      <c r="N539">
        <f>YEAR(Table1[[#This Row],[Date]])</f>
        <v>2024</v>
      </c>
      <c r="O539" t="str">
        <f>TEXT(Table1[[#This Row],[Date]],"mmm")</f>
        <v>Nov</v>
      </c>
      <c r="P539">
        <f>MONTH(Table1[[#This Row],[Date]])</f>
        <v>11</v>
      </c>
    </row>
    <row r="540" spans="1:16" x14ac:dyDescent="0.25">
      <c r="A540" t="s">
        <v>559</v>
      </c>
      <c r="B540" t="s">
        <v>16</v>
      </c>
      <c r="C540" t="s">
        <v>12</v>
      </c>
      <c r="D540" s="1">
        <v>45499</v>
      </c>
      <c r="E540">
        <v>9881</v>
      </c>
      <c r="F540">
        <v>706</v>
      </c>
      <c r="G540">
        <v>80</v>
      </c>
      <c r="H540" s="4">
        <v>4142.26</v>
      </c>
      <c r="I540" s="4">
        <v>9178.0300000000007</v>
      </c>
      <c r="J540" s="7">
        <f>Table1[[#This Row],[Clicks]]/Table1[[#This Row],[Impressions]]</f>
        <v>7.1450258071045436E-2</v>
      </c>
      <c r="K540" s="7">
        <f>IFERROR(Table1[[#This Row],[Conversions]]/Table1[[#This Row],[Clicks]],0)</f>
        <v>0.11331444759206799</v>
      </c>
      <c r="L540" s="6">
        <f>IF(Table1[[#This Row],[Conversions]]=0,0,Table1[[#This Row],[Ad Spend]]/Table1[[#This Row],[Conversions]])</f>
        <v>51.77825</v>
      </c>
      <c r="M540" s="8">
        <f>IF(Table1[[#This Row],[Ad Spend]]=0,0,Table1[[#This Row],[Revenue]]/Table1[[#This Row],[Ad Spend]])</f>
        <v>2.2157059189910822</v>
      </c>
      <c r="N540">
        <f>YEAR(Table1[[#This Row],[Date]])</f>
        <v>2024</v>
      </c>
      <c r="O540" t="str">
        <f>TEXT(Table1[[#This Row],[Date]],"mmm")</f>
        <v>Jul</v>
      </c>
      <c r="P540">
        <f>MONTH(Table1[[#This Row],[Date]])</f>
        <v>7</v>
      </c>
    </row>
    <row r="541" spans="1:16" x14ac:dyDescent="0.25">
      <c r="A541" t="s">
        <v>560</v>
      </c>
      <c r="B541" t="s">
        <v>14</v>
      </c>
      <c r="C541" t="s">
        <v>17</v>
      </c>
      <c r="D541" s="1">
        <v>45602</v>
      </c>
      <c r="E541">
        <v>128578</v>
      </c>
      <c r="F541">
        <v>9091</v>
      </c>
      <c r="G541">
        <v>383</v>
      </c>
      <c r="H541" s="4">
        <v>4185.75</v>
      </c>
      <c r="I541" s="4">
        <v>30672.12</v>
      </c>
      <c r="J541" s="7">
        <f>Table1[[#This Row],[Clicks]]/Table1[[#This Row],[Impressions]]</f>
        <v>7.0704164009395082E-2</v>
      </c>
      <c r="K541" s="7">
        <f>IFERROR(Table1[[#This Row],[Conversions]]/Table1[[#This Row],[Clicks]],0)</f>
        <v>4.212957870421296E-2</v>
      </c>
      <c r="L541" s="6">
        <f>IF(Table1[[#This Row],[Conversions]]=0,0,Table1[[#This Row],[Ad Spend]]/Table1[[#This Row],[Conversions]])</f>
        <v>10.928851174934726</v>
      </c>
      <c r="M541" s="8">
        <f>IF(Table1[[#This Row],[Ad Spend]]=0,0,Table1[[#This Row],[Revenue]]/Table1[[#This Row],[Ad Spend]])</f>
        <v>7.327747715463178</v>
      </c>
      <c r="N541">
        <f>YEAR(Table1[[#This Row],[Date]])</f>
        <v>2024</v>
      </c>
      <c r="O541" t="str">
        <f>TEXT(Table1[[#This Row],[Date]],"mmm")</f>
        <v>Nov</v>
      </c>
      <c r="P541">
        <f>MONTH(Table1[[#This Row],[Date]])</f>
        <v>11</v>
      </c>
    </row>
    <row r="542" spans="1:16" x14ac:dyDescent="0.25">
      <c r="A542" t="s">
        <v>561</v>
      </c>
      <c r="B542" t="s">
        <v>16</v>
      </c>
      <c r="C542" t="s">
        <v>12</v>
      </c>
      <c r="D542" s="1">
        <v>45629</v>
      </c>
      <c r="E542">
        <v>138904</v>
      </c>
      <c r="F542">
        <v>3961</v>
      </c>
      <c r="G542">
        <v>452</v>
      </c>
      <c r="H542" s="4">
        <v>1844.82</v>
      </c>
      <c r="I542" s="4">
        <v>29536.85</v>
      </c>
      <c r="J542" s="7">
        <f>Table1[[#This Row],[Clicks]]/Table1[[#This Row],[Impressions]]</f>
        <v>2.8516097448597594E-2</v>
      </c>
      <c r="K542" s="7">
        <f>IFERROR(Table1[[#This Row],[Conversions]]/Table1[[#This Row],[Clicks]],0)</f>
        <v>0.1141125978288311</v>
      </c>
      <c r="L542" s="6">
        <f>IF(Table1[[#This Row],[Conversions]]=0,0,Table1[[#This Row],[Ad Spend]]/Table1[[#This Row],[Conversions]])</f>
        <v>4.0814601769911505</v>
      </c>
      <c r="M542" s="8">
        <f>IF(Table1[[#This Row],[Ad Spend]]=0,0,Table1[[#This Row],[Revenue]]/Table1[[#This Row],[Ad Spend]])</f>
        <v>16.010694810333799</v>
      </c>
      <c r="N542">
        <f>YEAR(Table1[[#This Row],[Date]])</f>
        <v>2024</v>
      </c>
      <c r="O542" t="str">
        <f>TEXT(Table1[[#This Row],[Date]],"mmm")</f>
        <v>Dec</v>
      </c>
      <c r="P542">
        <f>MONTH(Table1[[#This Row],[Date]])</f>
        <v>12</v>
      </c>
    </row>
    <row r="543" spans="1:16" x14ac:dyDescent="0.25">
      <c r="A543" t="s">
        <v>562</v>
      </c>
      <c r="B543" t="s">
        <v>9</v>
      </c>
      <c r="C543" t="s">
        <v>37</v>
      </c>
      <c r="D543" s="1">
        <v>45485</v>
      </c>
      <c r="E543">
        <v>106046</v>
      </c>
      <c r="F543">
        <v>2041</v>
      </c>
      <c r="G543">
        <v>45</v>
      </c>
      <c r="H543" s="4">
        <v>2709.01</v>
      </c>
      <c r="I543" s="4">
        <v>4992.03</v>
      </c>
      <c r="J543" s="7">
        <f>Table1[[#This Row],[Clicks]]/Table1[[#This Row],[Impressions]]</f>
        <v>1.924636478509326E-2</v>
      </c>
      <c r="K543" s="7">
        <f>IFERROR(Table1[[#This Row],[Conversions]]/Table1[[#This Row],[Clicks]],0)</f>
        <v>2.2048015678588925E-2</v>
      </c>
      <c r="L543" s="6">
        <f>IF(Table1[[#This Row],[Conversions]]=0,0,Table1[[#This Row],[Ad Spend]]/Table1[[#This Row],[Conversions]])</f>
        <v>60.20022222222223</v>
      </c>
      <c r="M543" s="8">
        <f>IF(Table1[[#This Row],[Ad Spend]]=0,0,Table1[[#This Row],[Revenue]]/Table1[[#This Row],[Ad Spend]])</f>
        <v>1.8427506727549914</v>
      </c>
      <c r="N543">
        <f>YEAR(Table1[[#This Row],[Date]])</f>
        <v>2024</v>
      </c>
      <c r="O543" t="str">
        <f>TEXT(Table1[[#This Row],[Date]],"mmm")</f>
        <v>Jul</v>
      </c>
      <c r="P543">
        <f>MONTH(Table1[[#This Row],[Date]])</f>
        <v>7</v>
      </c>
    </row>
    <row r="544" spans="1:16" x14ac:dyDescent="0.25">
      <c r="A544" t="s">
        <v>563</v>
      </c>
      <c r="B544" t="s">
        <v>21</v>
      </c>
      <c r="C544" t="s">
        <v>37</v>
      </c>
      <c r="D544" s="1">
        <v>45602</v>
      </c>
      <c r="E544">
        <v>30244</v>
      </c>
      <c r="F544">
        <v>678</v>
      </c>
      <c r="G544">
        <v>93</v>
      </c>
      <c r="H544" s="4">
        <v>3079.11</v>
      </c>
      <c r="I544" s="4">
        <v>10023.1</v>
      </c>
      <c r="J544" s="7">
        <f>Table1[[#This Row],[Clicks]]/Table1[[#This Row],[Impressions]]</f>
        <v>2.2417669620420581E-2</v>
      </c>
      <c r="K544" s="7">
        <f>IFERROR(Table1[[#This Row],[Conversions]]/Table1[[#This Row],[Clicks]],0)</f>
        <v>0.13716814159292035</v>
      </c>
      <c r="L544" s="6">
        <f>IF(Table1[[#This Row],[Conversions]]=0,0,Table1[[#This Row],[Ad Spend]]/Table1[[#This Row],[Conversions]])</f>
        <v>33.108709677419355</v>
      </c>
      <c r="M544" s="8">
        <f>IF(Table1[[#This Row],[Ad Spend]]=0,0,Table1[[#This Row],[Revenue]]/Table1[[#This Row],[Ad Spend]])</f>
        <v>3.255193870956218</v>
      </c>
      <c r="N544">
        <f>YEAR(Table1[[#This Row],[Date]])</f>
        <v>2024</v>
      </c>
      <c r="O544" t="str">
        <f>TEXT(Table1[[#This Row],[Date]],"mmm")</f>
        <v>Nov</v>
      </c>
      <c r="P544">
        <f>MONTH(Table1[[#This Row],[Date]])</f>
        <v>11</v>
      </c>
    </row>
    <row r="545" spans="1:16" x14ac:dyDescent="0.25">
      <c r="A545" t="s">
        <v>564</v>
      </c>
      <c r="B545" t="s">
        <v>9</v>
      </c>
      <c r="C545" t="s">
        <v>10</v>
      </c>
      <c r="D545" s="1">
        <v>45538</v>
      </c>
      <c r="E545">
        <v>39164</v>
      </c>
      <c r="F545">
        <v>2864</v>
      </c>
      <c r="G545">
        <v>258</v>
      </c>
      <c r="H545" s="4">
        <v>205.76</v>
      </c>
      <c r="I545" s="4">
        <v>29353.56</v>
      </c>
      <c r="J545" s="7">
        <f>Table1[[#This Row],[Clicks]]/Table1[[#This Row],[Impressions]]</f>
        <v>7.3128383209069558E-2</v>
      </c>
      <c r="K545" s="7">
        <f>IFERROR(Table1[[#This Row],[Conversions]]/Table1[[#This Row],[Clicks]],0)</f>
        <v>9.0083798882681559E-2</v>
      </c>
      <c r="L545" s="6">
        <f>IF(Table1[[#This Row],[Conversions]]=0,0,Table1[[#This Row],[Ad Spend]]/Table1[[#This Row],[Conversions]])</f>
        <v>0.79751937984496124</v>
      </c>
      <c r="M545" s="8">
        <f>IF(Table1[[#This Row],[Ad Spend]]=0,0,Table1[[#This Row],[Revenue]]/Table1[[#This Row],[Ad Spend]])</f>
        <v>142.65921461897358</v>
      </c>
      <c r="N545">
        <f>YEAR(Table1[[#This Row],[Date]])</f>
        <v>2024</v>
      </c>
      <c r="O545" t="str">
        <f>TEXT(Table1[[#This Row],[Date]],"mmm")</f>
        <v>Sept</v>
      </c>
      <c r="P545">
        <f>MONTH(Table1[[#This Row],[Date]])</f>
        <v>9</v>
      </c>
    </row>
    <row r="546" spans="1:16" x14ac:dyDescent="0.25">
      <c r="A546" t="s">
        <v>565</v>
      </c>
      <c r="B546" t="s">
        <v>21</v>
      </c>
      <c r="C546" t="s">
        <v>12</v>
      </c>
      <c r="D546" s="1">
        <v>45507</v>
      </c>
      <c r="E546">
        <v>102092</v>
      </c>
      <c r="F546">
        <v>7272</v>
      </c>
      <c r="G546">
        <v>804</v>
      </c>
      <c r="H546" s="4">
        <v>2258.9899999999998</v>
      </c>
      <c r="I546" s="4">
        <v>91529.1</v>
      </c>
      <c r="J546" s="7">
        <f>Table1[[#This Row],[Clicks]]/Table1[[#This Row],[Impressions]]</f>
        <v>7.1229871096657918E-2</v>
      </c>
      <c r="K546" s="7">
        <f>IFERROR(Table1[[#This Row],[Conversions]]/Table1[[#This Row],[Clicks]],0)</f>
        <v>0.11056105610561057</v>
      </c>
      <c r="L546" s="6">
        <f>IF(Table1[[#This Row],[Conversions]]=0,0,Table1[[#This Row],[Ad Spend]]/Table1[[#This Row],[Conversions]])</f>
        <v>2.809689054726368</v>
      </c>
      <c r="M546" s="8">
        <f>IF(Table1[[#This Row],[Ad Spend]]=0,0,Table1[[#This Row],[Revenue]]/Table1[[#This Row],[Ad Spend]])</f>
        <v>40.517709241740782</v>
      </c>
      <c r="N546">
        <f>YEAR(Table1[[#This Row],[Date]])</f>
        <v>2024</v>
      </c>
      <c r="O546" t="str">
        <f>TEXT(Table1[[#This Row],[Date]],"mmm")</f>
        <v>Aug</v>
      </c>
      <c r="P546">
        <f>MONTH(Table1[[#This Row],[Date]])</f>
        <v>8</v>
      </c>
    </row>
    <row r="547" spans="1:16" x14ac:dyDescent="0.25">
      <c r="A547" t="s">
        <v>566</v>
      </c>
      <c r="B547" t="s">
        <v>41</v>
      </c>
      <c r="C547" t="s">
        <v>17</v>
      </c>
      <c r="D547" s="1">
        <v>45471</v>
      </c>
      <c r="E547">
        <v>30615</v>
      </c>
      <c r="F547">
        <v>1217</v>
      </c>
      <c r="G547">
        <v>64</v>
      </c>
      <c r="H547" s="4">
        <v>3876.12</v>
      </c>
      <c r="I547" s="4">
        <v>7104.55</v>
      </c>
      <c r="J547" s="7">
        <f>Table1[[#This Row],[Clicks]]/Table1[[#This Row],[Impressions]]</f>
        <v>3.9751755675322555E-2</v>
      </c>
      <c r="K547" s="7">
        <f>IFERROR(Table1[[#This Row],[Conversions]]/Table1[[#This Row],[Clicks]],0)</f>
        <v>5.2588331963845519E-2</v>
      </c>
      <c r="L547" s="6">
        <f>IF(Table1[[#This Row],[Conversions]]=0,0,Table1[[#This Row],[Ad Spend]]/Table1[[#This Row],[Conversions]])</f>
        <v>60.564374999999998</v>
      </c>
      <c r="M547" s="8">
        <f>IF(Table1[[#This Row],[Ad Spend]]=0,0,Table1[[#This Row],[Revenue]]/Table1[[#This Row],[Ad Spend]])</f>
        <v>1.832902490118985</v>
      </c>
      <c r="N547">
        <f>YEAR(Table1[[#This Row],[Date]])</f>
        <v>2024</v>
      </c>
      <c r="O547" t="str">
        <f>TEXT(Table1[[#This Row],[Date]],"mmm")</f>
        <v>Jun</v>
      </c>
      <c r="P547">
        <f>MONTH(Table1[[#This Row],[Date]])</f>
        <v>6</v>
      </c>
    </row>
    <row r="548" spans="1:16" x14ac:dyDescent="0.25">
      <c r="A548" t="s">
        <v>567</v>
      </c>
      <c r="B548" t="s">
        <v>9</v>
      </c>
      <c r="C548" t="s">
        <v>19</v>
      </c>
      <c r="D548" s="1">
        <v>45598</v>
      </c>
      <c r="E548">
        <v>147535</v>
      </c>
      <c r="F548">
        <v>5695</v>
      </c>
      <c r="G548">
        <v>253</v>
      </c>
      <c r="H548" s="4">
        <v>3603.91</v>
      </c>
      <c r="I548" s="4">
        <v>25032.39</v>
      </c>
      <c r="J548" s="7">
        <f>Table1[[#This Row],[Clicks]]/Table1[[#This Row],[Impressions]]</f>
        <v>3.8601009929847156E-2</v>
      </c>
      <c r="K548" s="7">
        <f>IFERROR(Table1[[#This Row],[Conversions]]/Table1[[#This Row],[Clicks]],0)</f>
        <v>4.4424934152765584E-2</v>
      </c>
      <c r="L548" s="6">
        <f>IF(Table1[[#This Row],[Conversions]]=0,0,Table1[[#This Row],[Ad Spend]]/Table1[[#This Row],[Conversions]])</f>
        <v>14.244703557312253</v>
      </c>
      <c r="M548" s="8">
        <f>IF(Table1[[#This Row],[Ad Spend]]=0,0,Table1[[#This Row],[Revenue]]/Table1[[#This Row],[Ad Spend]])</f>
        <v>6.9458976500523049</v>
      </c>
      <c r="N548">
        <f>YEAR(Table1[[#This Row],[Date]])</f>
        <v>2024</v>
      </c>
      <c r="O548" t="str">
        <f>TEXT(Table1[[#This Row],[Date]],"mmm")</f>
        <v>Nov</v>
      </c>
      <c r="P548">
        <f>MONTH(Table1[[#This Row],[Date]])</f>
        <v>11</v>
      </c>
    </row>
    <row r="549" spans="1:16" x14ac:dyDescent="0.25">
      <c r="A549" t="s">
        <v>568</v>
      </c>
      <c r="B549" t="s">
        <v>9</v>
      </c>
      <c r="C549" t="s">
        <v>12</v>
      </c>
      <c r="D549" s="1">
        <v>45295</v>
      </c>
      <c r="E549">
        <v>103311</v>
      </c>
      <c r="F549">
        <v>5766</v>
      </c>
      <c r="G549">
        <v>630</v>
      </c>
      <c r="H549" s="4">
        <v>1716.33</v>
      </c>
      <c r="I549" s="4">
        <v>35423</v>
      </c>
      <c r="J549" s="7">
        <f>Table1[[#This Row],[Clicks]]/Table1[[#This Row],[Impressions]]</f>
        <v>5.5812062607079597E-2</v>
      </c>
      <c r="K549" s="7">
        <f>IFERROR(Table1[[#This Row],[Conversions]]/Table1[[#This Row],[Clicks]],0)</f>
        <v>0.10926118626430802</v>
      </c>
      <c r="L549" s="6">
        <f>IF(Table1[[#This Row],[Conversions]]=0,0,Table1[[#This Row],[Ad Spend]]/Table1[[#This Row],[Conversions]])</f>
        <v>2.7243333333333331</v>
      </c>
      <c r="M549" s="8">
        <f>IF(Table1[[#This Row],[Ad Spend]]=0,0,Table1[[#This Row],[Revenue]]/Table1[[#This Row],[Ad Spend]])</f>
        <v>20.638804891833157</v>
      </c>
      <c r="N549">
        <f>YEAR(Table1[[#This Row],[Date]])</f>
        <v>2024</v>
      </c>
      <c r="O549" t="str">
        <f>TEXT(Table1[[#This Row],[Date]],"mmm")</f>
        <v>Jan</v>
      </c>
      <c r="P549">
        <f>MONTH(Table1[[#This Row],[Date]])</f>
        <v>1</v>
      </c>
    </row>
    <row r="550" spans="1:16" x14ac:dyDescent="0.25">
      <c r="A550" t="s">
        <v>569</v>
      </c>
      <c r="B550" t="s">
        <v>16</v>
      </c>
      <c r="C550" t="s">
        <v>17</v>
      </c>
      <c r="D550" s="1">
        <v>45625</v>
      </c>
      <c r="E550">
        <v>71488</v>
      </c>
      <c r="F550">
        <v>2022</v>
      </c>
      <c r="G550">
        <v>181</v>
      </c>
      <c r="H550" s="4">
        <v>2910.42</v>
      </c>
      <c r="I550" s="4">
        <v>14695.04</v>
      </c>
      <c r="J550" s="7">
        <f>Table1[[#This Row],[Clicks]]/Table1[[#This Row],[Impressions]]</f>
        <v>2.828446732318711E-2</v>
      </c>
      <c r="K550" s="7">
        <f>IFERROR(Table1[[#This Row],[Conversions]]/Table1[[#This Row],[Clicks]],0)</f>
        <v>8.9515331355093972E-2</v>
      </c>
      <c r="L550" s="6">
        <f>IF(Table1[[#This Row],[Conversions]]=0,0,Table1[[#This Row],[Ad Spend]]/Table1[[#This Row],[Conversions]])</f>
        <v>16.079668508287295</v>
      </c>
      <c r="M550" s="8">
        <f>IF(Table1[[#This Row],[Ad Spend]]=0,0,Table1[[#This Row],[Revenue]]/Table1[[#This Row],[Ad Spend]])</f>
        <v>5.0491131864129581</v>
      </c>
      <c r="N550">
        <f>YEAR(Table1[[#This Row],[Date]])</f>
        <v>2024</v>
      </c>
      <c r="O550" t="str">
        <f>TEXT(Table1[[#This Row],[Date]],"mmm")</f>
        <v>Nov</v>
      </c>
      <c r="P550">
        <f>MONTH(Table1[[#This Row],[Date]])</f>
        <v>11</v>
      </c>
    </row>
    <row r="551" spans="1:16" x14ac:dyDescent="0.25">
      <c r="A551" t="s">
        <v>570</v>
      </c>
      <c r="B551" t="s">
        <v>21</v>
      </c>
      <c r="C551" t="s">
        <v>37</v>
      </c>
      <c r="D551" s="1">
        <v>45503</v>
      </c>
      <c r="E551">
        <v>149730</v>
      </c>
      <c r="F551">
        <v>9712</v>
      </c>
      <c r="G551">
        <v>803</v>
      </c>
      <c r="H551" s="4">
        <v>1977.02</v>
      </c>
      <c r="I551" s="4">
        <v>60619.38</v>
      </c>
      <c r="J551" s="7">
        <f>Table1[[#This Row],[Clicks]]/Table1[[#This Row],[Impressions]]</f>
        <v>6.4863420824150142E-2</v>
      </c>
      <c r="K551" s="7">
        <f>IFERROR(Table1[[#This Row],[Conversions]]/Table1[[#This Row],[Clicks]],0)</f>
        <v>8.2681219110378915E-2</v>
      </c>
      <c r="L551" s="6">
        <f>IF(Table1[[#This Row],[Conversions]]=0,0,Table1[[#This Row],[Ad Spend]]/Table1[[#This Row],[Conversions]])</f>
        <v>2.4620423412204233</v>
      </c>
      <c r="M551" s="8">
        <f>IF(Table1[[#This Row],[Ad Spend]]=0,0,Table1[[#This Row],[Revenue]]/Table1[[#This Row],[Ad Spend]])</f>
        <v>30.66199633792273</v>
      </c>
      <c r="N551">
        <f>YEAR(Table1[[#This Row],[Date]])</f>
        <v>2024</v>
      </c>
      <c r="O551" t="str">
        <f>TEXT(Table1[[#This Row],[Date]],"mmm")</f>
        <v>Jul</v>
      </c>
      <c r="P551">
        <f>MONTH(Table1[[#This Row],[Date]])</f>
        <v>7</v>
      </c>
    </row>
    <row r="552" spans="1:16" x14ac:dyDescent="0.25">
      <c r="A552" t="s">
        <v>571</v>
      </c>
      <c r="B552" t="s">
        <v>34</v>
      </c>
      <c r="C552" t="s">
        <v>19</v>
      </c>
      <c r="D552" s="1">
        <v>45587</v>
      </c>
      <c r="E552">
        <v>95270</v>
      </c>
      <c r="F552">
        <v>6115</v>
      </c>
      <c r="G552">
        <v>438</v>
      </c>
      <c r="H552" s="4">
        <v>862.73</v>
      </c>
      <c r="I552" s="4">
        <v>46595.78</v>
      </c>
      <c r="J552" s="7">
        <f>Table1[[#This Row],[Clicks]]/Table1[[#This Row],[Impressions]]</f>
        <v>6.4185997690773586E-2</v>
      </c>
      <c r="K552" s="7">
        <f>IFERROR(Table1[[#This Row],[Conversions]]/Table1[[#This Row],[Clicks]],0)</f>
        <v>7.162714636140638E-2</v>
      </c>
      <c r="L552" s="6">
        <f>IF(Table1[[#This Row],[Conversions]]=0,0,Table1[[#This Row],[Ad Spend]]/Table1[[#This Row],[Conversions]])</f>
        <v>1.9697031963470319</v>
      </c>
      <c r="M552" s="8">
        <f>IF(Table1[[#This Row],[Ad Spend]]=0,0,Table1[[#This Row],[Revenue]]/Table1[[#This Row],[Ad Spend]])</f>
        <v>54.009690169577965</v>
      </c>
      <c r="N552">
        <f>YEAR(Table1[[#This Row],[Date]])</f>
        <v>2024</v>
      </c>
      <c r="O552" t="str">
        <f>TEXT(Table1[[#This Row],[Date]],"mmm")</f>
        <v>Oct</v>
      </c>
      <c r="P552">
        <f>MONTH(Table1[[#This Row],[Date]])</f>
        <v>10</v>
      </c>
    </row>
    <row r="553" spans="1:16" x14ac:dyDescent="0.25">
      <c r="A553" t="s">
        <v>572</v>
      </c>
      <c r="B553" t="s">
        <v>9</v>
      </c>
      <c r="C553" t="s">
        <v>37</v>
      </c>
      <c r="D553" s="1">
        <v>45520</v>
      </c>
      <c r="E553">
        <v>47413</v>
      </c>
      <c r="F553">
        <v>806</v>
      </c>
      <c r="G553">
        <v>69</v>
      </c>
      <c r="H553" s="4">
        <v>3973.19</v>
      </c>
      <c r="I553" s="4">
        <v>6905.89</v>
      </c>
      <c r="J553" s="7">
        <f>Table1[[#This Row],[Clicks]]/Table1[[#This Row],[Impressions]]</f>
        <v>1.6999557083500306E-2</v>
      </c>
      <c r="K553" s="7">
        <f>IFERROR(Table1[[#This Row],[Conversions]]/Table1[[#This Row],[Clicks]],0)</f>
        <v>8.5607940446650127E-2</v>
      </c>
      <c r="L553" s="6">
        <f>IF(Table1[[#This Row],[Conversions]]=0,0,Table1[[#This Row],[Ad Spend]]/Table1[[#This Row],[Conversions]])</f>
        <v>57.582463768115943</v>
      </c>
      <c r="M553" s="8">
        <f>IF(Table1[[#This Row],[Ad Spend]]=0,0,Table1[[#This Row],[Revenue]]/Table1[[#This Row],[Ad Spend]])</f>
        <v>1.7381222644776615</v>
      </c>
      <c r="N553">
        <f>YEAR(Table1[[#This Row],[Date]])</f>
        <v>2024</v>
      </c>
      <c r="O553" t="str">
        <f>TEXT(Table1[[#This Row],[Date]],"mmm")</f>
        <v>Aug</v>
      </c>
      <c r="P553">
        <f>MONTH(Table1[[#This Row],[Date]])</f>
        <v>8</v>
      </c>
    </row>
    <row r="554" spans="1:16" x14ac:dyDescent="0.25">
      <c r="A554" t="s">
        <v>573</v>
      </c>
      <c r="B554" t="s">
        <v>31</v>
      </c>
      <c r="C554" t="s">
        <v>37</v>
      </c>
      <c r="D554" s="1">
        <v>45491</v>
      </c>
      <c r="E554">
        <v>6386</v>
      </c>
      <c r="F554">
        <v>423</v>
      </c>
      <c r="G554">
        <v>53</v>
      </c>
      <c r="H554" s="4">
        <v>2464.0100000000002</v>
      </c>
      <c r="I554" s="4">
        <v>4241.3</v>
      </c>
      <c r="J554" s="7">
        <f>Table1[[#This Row],[Clicks]]/Table1[[#This Row],[Impressions]]</f>
        <v>6.6238647040400875E-2</v>
      </c>
      <c r="K554" s="7">
        <f>IFERROR(Table1[[#This Row],[Conversions]]/Table1[[#This Row],[Clicks]],0)</f>
        <v>0.12529550827423167</v>
      </c>
      <c r="L554" s="6">
        <f>IF(Table1[[#This Row],[Conversions]]=0,0,Table1[[#This Row],[Ad Spend]]/Table1[[#This Row],[Conversions]])</f>
        <v>46.490754716981137</v>
      </c>
      <c r="M554" s="8">
        <f>IF(Table1[[#This Row],[Ad Spend]]=0,0,Table1[[#This Row],[Revenue]]/Table1[[#This Row],[Ad Spend]])</f>
        <v>1.7212998323870439</v>
      </c>
      <c r="N554">
        <f>YEAR(Table1[[#This Row],[Date]])</f>
        <v>2024</v>
      </c>
      <c r="O554" t="str">
        <f>TEXT(Table1[[#This Row],[Date]],"mmm")</f>
        <v>Jul</v>
      </c>
      <c r="P554">
        <f>MONTH(Table1[[#This Row],[Date]])</f>
        <v>7</v>
      </c>
    </row>
    <row r="555" spans="1:16" x14ac:dyDescent="0.25">
      <c r="A555" t="s">
        <v>574</v>
      </c>
      <c r="B555" t="s">
        <v>9</v>
      </c>
      <c r="C555" t="s">
        <v>10</v>
      </c>
      <c r="D555" s="1">
        <v>45426</v>
      </c>
      <c r="E555">
        <v>63135</v>
      </c>
      <c r="F555">
        <v>2270</v>
      </c>
      <c r="G555">
        <v>225</v>
      </c>
      <c r="H555" s="4">
        <v>3677.57</v>
      </c>
      <c r="I555" s="4">
        <v>25440.41</v>
      </c>
      <c r="J555" s="7">
        <f>Table1[[#This Row],[Clicks]]/Table1[[#This Row],[Impressions]]</f>
        <v>3.5954700245505664E-2</v>
      </c>
      <c r="K555" s="7">
        <f>IFERROR(Table1[[#This Row],[Conversions]]/Table1[[#This Row],[Clicks]],0)</f>
        <v>9.9118942731277526E-2</v>
      </c>
      <c r="L555" s="6">
        <f>IF(Table1[[#This Row],[Conversions]]=0,0,Table1[[#This Row],[Ad Spend]]/Table1[[#This Row],[Conversions]])</f>
        <v>16.344755555555555</v>
      </c>
      <c r="M555" s="8">
        <f>IF(Table1[[#This Row],[Ad Spend]]=0,0,Table1[[#This Row],[Revenue]]/Table1[[#This Row],[Ad Spend]])</f>
        <v>6.9177228441606822</v>
      </c>
      <c r="N555">
        <f>YEAR(Table1[[#This Row],[Date]])</f>
        <v>2024</v>
      </c>
      <c r="O555" t="str">
        <f>TEXT(Table1[[#This Row],[Date]],"mmm")</f>
        <v>May</v>
      </c>
      <c r="P555">
        <f>MONTH(Table1[[#This Row],[Date]])</f>
        <v>5</v>
      </c>
    </row>
    <row r="556" spans="1:16" x14ac:dyDescent="0.25">
      <c r="A556" t="s">
        <v>575</v>
      </c>
      <c r="B556" t="s">
        <v>21</v>
      </c>
      <c r="C556" t="s">
        <v>12</v>
      </c>
      <c r="D556" s="1">
        <v>45627</v>
      </c>
      <c r="E556">
        <v>141578</v>
      </c>
      <c r="F556">
        <v>4254</v>
      </c>
      <c r="G556">
        <v>617</v>
      </c>
      <c r="H556" s="4">
        <v>475.82</v>
      </c>
      <c r="I556" s="4">
        <v>60071.64</v>
      </c>
      <c r="J556" s="7">
        <f>Table1[[#This Row],[Clicks]]/Table1[[#This Row],[Impressions]]</f>
        <v>3.0047041206967183E-2</v>
      </c>
      <c r="K556" s="7">
        <f>IFERROR(Table1[[#This Row],[Conversions]]/Table1[[#This Row],[Clicks]],0)</f>
        <v>0.14503996238834038</v>
      </c>
      <c r="L556" s="6">
        <f>IF(Table1[[#This Row],[Conversions]]=0,0,Table1[[#This Row],[Ad Spend]]/Table1[[#This Row],[Conversions]])</f>
        <v>0.77118314424635326</v>
      </c>
      <c r="M556" s="8">
        <f>IF(Table1[[#This Row],[Ad Spend]]=0,0,Table1[[#This Row],[Revenue]]/Table1[[#This Row],[Ad Spend]])</f>
        <v>126.24866546172923</v>
      </c>
      <c r="N556">
        <f>YEAR(Table1[[#This Row],[Date]])</f>
        <v>2024</v>
      </c>
      <c r="O556" t="str">
        <f>TEXT(Table1[[#This Row],[Date]],"mmm")</f>
        <v>Dec</v>
      </c>
      <c r="P556">
        <f>MONTH(Table1[[#This Row],[Date]])</f>
        <v>12</v>
      </c>
    </row>
    <row r="557" spans="1:16" x14ac:dyDescent="0.25">
      <c r="A557" t="s">
        <v>576</v>
      </c>
      <c r="B557" t="s">
        <v>16</v>
      </c>
      <c r="C557" t="s">
        <v>17</v>
      </c>
      <c r="D557" s="1">
        <v>45516</v>
      </c>
      <c r="E557">
        <v>7807</v>
      </c>
      <c r="F557">
        <v>188</v>
      </c>
      <c r="G557">
        <v>19</v>
      </c>
      <c r="H557" s="4">
        <v>4058.77</v>
      </c>
      <c r="I557" s="4">
        <v>923.41</v>
      </c>
      <c r="J557" s="7">
        <f>Table1[[#This Row],[Clicks]]/Table1[[#This Row],[Impressions]]</f>
        <v>2.4080952990905596E-2</v>
      </c>
      <c r="K557" s="7">
        <f>IFERROR(Table1[[#This Row],[Conversions]]/Table1[[#This Row],[Clicks]],0)</f>
        <v>0.10106382978723404</v>
      </c>
      <c r="L557" s="6">
        <f>IF(Table1[[#This Row],[Conversions]]=0,0,Table1[[#This Row],[Ad Spend]]/Table1[[#This Row],[Conversions]])</f>
        <v>213.61947368421053</v>
      </c>
      <c r="M557" s="8">
        <f>IF(Table1[[#This Row],[Ad Spend]]=0,0,Table1[[#This Row],[Revenue]]/Table1[[#This Row],[Ad Spend]])</f>
        <v>0.22750981208592749</v>
      </c>
      <c r="N557">
        <f>YEAR(Table1[[#This Row],[Date]])</f>
        <v>2024</v>
      </c>
      <c r="O557" t="str">
        <f>TEXT(Table1[[#This Row],[Date]],"mmm")</f>
        <v>Aug</v>
      </c>
      <c r="P557">
        <f>MONTH(Table1[[#This Row],[Date]])</f>
        <v>8</v>
      </c>
    </row>
    <row r="558" spans="1:16" x14ac:dyDescent="0.25">
      <c r="A558" t="s">
        <v>577</v>
      </c>
      <c r="B558" t="s">
        <v>31</v>
      </c>
      <c r="C558" t="s">
        <v>12</v>
      </c>
      <c r="D558" s="1">
        <v>45553</v>
      </c>
      <c r="E558">
        <v>140217</v>
      </c>
      <c r="F558">
        <v>8257</v>
      </c>
      <c r="G558">
        <v>825</v>
      </c>
      <c r="H558" s="4">
        <v>3435.32</v>
      </c>
      <c r="I558" s="4">
        <v>46178.55</v>
      </c>
      <c r="J558" s="7">
        <f>Table1[[#This Row],[Clicks]]/Table1[[#This Row],[Impressions]]</f>
        <v>5.8887296119586069E-2</v>
      </c>
      <c r="K558" s="7">
        <f>IFERROR(Table1[[#This Row],[Conversions]]/Table1[[#This Row],[Clicks]],0)</f>
        <v>9.9915223446772436E-2</v>
      </c>
      <c r="L558" s="6">
        <f>IF(Table1[[#This Row],[Conversions]]=0,0,Table1[[#This Row],[Ad Spend]]/Table1[[#This Row],[Conversions]])</f>
        <v>4.1640242424242428</v>
      </c>
      <c r="M558" s="8">
        <f>IF(Table1[[#This Row],[Ad Spend]]=0,0,Table1[[#This Row],[Revenue]]/Table1[[#This Row],[Ad Spend]])</f>
        <v>13.44228485264837</v>
      </c>
      <c r="N558">
        <f>YEAR(Table1[[#This Row],[Date]])</f>
        <v>2024</v>
      </c>
      <c r="O558" t="str">
        <f>TEXT(Table1[[#This Row],[Date]],"mmm")</f>
        <v>Sept</v>
      </c>
      <c r="P558">
        <f>MONTH(Table1[[#This Row],[Date]])</f>
        <v>9</v>
      </c>
    </row>
    <row r="559" spans="1:16" x14ac:dyDescent="0.25">
      <c r="A559" t="s">
        <v>578</v>
      </c>
      <c r="B559" t="s">
        <v>31</v>
      </c>
      <c r="C559" t="s">
        <v>37</v>
      </c>
      <c r="D559" s="1">
        <v>45336</v>
      </c>
      <c r="E559">
        <v>77335</v>
      </c>
      <c r="F559">
        <v>4994</v>
      </c>
      <c r="G559">
        <v>329</v>
      </c>
      <c r="H559" s="4">
        <v>2096.69</v>
      </c>
      <c r="I559" s="4">
        <v>25862.04</v>
      </c>
      <c r="J559" s="7">
        <f>Table1[[#This Row],[Clicks]]/Table1[[#This Row],[Impressions]]</f>
        <v>6.4576194478567273E-2</v>
      </c>
      <c r="K559" s="7">
        <f>IFERROR(Table1[[#This Row],[Conversions]]/Table1[[#This Row],[Clicks]],0)</f>
        <v>6.5879054865839004E-2</v>
      </c>
      <c r="L559" s="6">
        <f>IF(Table1[[#This Row],[Conversions]]=0,0,Table1[[#This Row],[Ad Spend]]/Table1[[#This Row],[Conversions]])</f>
        <v>6.3729179331306991</v>
      </c>
      <c r="M559" s="8">
        <f>IF(Table1[[#This Row],[Ad Spend]]=0,0,Table1[[#This Row],[Revenue]]/Table1[[#This Row],[Ad Spend]])</f>
        <v>12.334698977912806</v>
      </c>
      <c r="N559">
        <f>YEAR(Table1[[#This Row],[Date]])</f>
        <v>2024</v>
      </c>
      <c r="O559" t="str">
        <f>TEXT(Table1[[#This Row],[Date]],"mmm")</f>
        <v>Feb</v>
      </c>
      <c r="P559">
        <f>MONTH(Table1[[#This Row],[Date]])</f>
        <v>2</v>
      </c>
    </row>
    <row r="560" spans="1:16" x14ac:dyDescent="0.25">
      <c r="A560" t="s">
        <v>579</v>
      </c>
      <c r="B560" t="s">
        <v>31</v>
      </c>
      <c r="C560" t="s">
        <v>10</v>
      </c>
      <c r="D560" s="1">
        <v>45338</v>
      </c>
      <c r="E560">
        <v>149072</v>
      </c>
      <c r="F560">
        <v>4459</v>
      </c>
      <c r="G560">
        <v>570</v>
      </c>
      <c r="H560" s="4">
        <v>4592.04</v>
      </c>
      <c r="I560" s="4">
        <v>31241.43</v>
      </c>
      <c r="J560" s="7">
        <f>Table1[[#This Row],[Clicks]]/Table1[[#This Row],[Impressions]]</f>
        <v>2.9911720510894066E-2</v>
      </c>
      <c r="K560" s="7">
        <f>IFERROR(Table1[[#This Row],[Conversions]]/Table1[[#This Row],[Clicks]],0)</f>
        <v>0.12783135232114823</v>
      </c>
      <c r="L560" s="6">
        <f>IF(Table1[[#This Row],[Conversions]]=0,0,Table1[[#This Row],[Ad Spend]]/Table1[[#This Row],[Conversions]])</f>
        <v>8.0562105263157893</v>
      </c>
      <c r="M560" s="8">
        <f>IF(Table1[[#This Row],[Ad Spend]]=0,0,Table1[[#This Row],[Revenue]]/Table1[[#This Row],[Ad Spend]])</f>
        <v>6.8033880366895758</v>
      </c>
      <c r="N560">
        <f>YEAR(Table1[[#This Row],[Date]])</f>
        <v>2024</v>
      </c>
      <c r="O560" t="str">
        <f>TEXT(Table1[[#This Row],[Date]],"mmm")</f>
        <v>Feb</v>
      </c>
      <c r="P560">
        <f>MONTH(Table1[[#This Row],[Date]])</f>
        <v>2</v>
      </c>
    </row>
    <row r="561" spans="1:16" x14ac:dyDescent="0.25">
      <c r="A561" t="s">
        <v>580</v>
      </c>
      <c r="B561" t="s">
        <v>34</v>
      </c>
      <c r="C561" t="s">
        <v>37</v>
      </c>
      <c r="D561" s="1">
        <v>45602</v>
      </c>
      <c r="E561">
        <v>55993</v>
      </c>
      <c r="F561">
        <v>2342</v>
      </c>
      <c r="G561">
        <v>169</v>
      </c>
      <c r="H561" s="4">
        <v>222.33</v>
      </c>
      <c r="I561" s="4">
        <v>6338.09</v>
      </c>
      <c r="J561" s="7">
        <f>Table1[[#This Row],[Clicks]]/Table1[[#This Row],[Impressions]]</f>
        <v>4.1826656903541516E-2</v>
      </c>
      <c r="K561" s="7">
        <f>IFERROR(Table1[[#This Row],[Conversions]]/Table1[[#This Row],[Clicks]],0)</f>
        <v>7.2160546541417597E-2</v>
      </c>
      <c r="L561" s="6">
        <f>IF(Table1[[#This Row],[Conversions]]=0,0,Table1[[#This Row],[Ad Spend]]/Table1[[#This Row],[Conversions]])</f>
        <v>1.3155621301775149</v>
      </c>
      <c r="M561" s="8">
        <f>IF(Table1[[#This Row],[Ad Spend]]=0,0,Table1[[#This Row],[Revenue]]/Table1[[#This Row],[Ad Spend]])</f>
        <v>28.507578824270229</v>
      </c>
      <c r="N561">
        <f>YEAR(Table1[[#This Row],[Date]])</f>
        <v>2024</v>
      </c>
      <c r="O561" t="str">
        <f>TEXT(Table1[[#This Row],[Date]],"mmm")</f>
        <v>Nov</v>
      </c>
      <c r="P561">
        <f>MONTH(Table1[[#This Row],[Date]])</f>
        <v>11</v>
      </c>
    </row>
    <row r="562" spans="1:16" x14ac:dyDescent="0.25">
      <c r="A562" t="s">
        <v>581</v>
      </c>
      <c r="B562" t="s">
        <v>9</v>
      </c>
      <c r="C562" t="s">
        <v>12</v>
      </c>
      <c r="D562" s="1">
        <v>45329</v>
      </c>
      <c r="E562">
        <v>136902</v>
      </c>
      <c r="F562">
        <v>4188</v>
      </c>
      <c r="G562">
        <v>599</v>
      </c>
      <c r="H562" s="4">
        <v>4054.12</v>
      </c>
      <c r="I562" s="4">
        <v>69286.89</v>
      </c>
      <c r="J562" s="7">
        <f>Table1[[#This Row],[Clicks]]/Table1[[#This Row],[Impressions]]</f>
        <v>3.059122584038217E-2</v>
      </c>
      <c r="K562" s="7">
        <f>IFERROR(Table1[[#This Row],[Conversions]]/Table1[[#This Row],[Clicks]],0)</f>
        <v>0.14302769818529132</v>
      </c>
      <c r="L562" s="6">
        <f>IF(Table1[[#This Row],[Conversions]]=0,0,Table1[[#This Row],[Ad Spend]]/Table1[[#This Row],[Conversions]])</f>
        <v>6.7681469115191986</v>
      </c>
      <c r="M562" s="8">
        <f>IF(Table1[[#This Row],[Ad Spend]]=0,0,Table1[[#This Row],[Revenue]]/Table1[[#This Row],[Ad Spend]])</f>
        <v>17.090488194725367</v>
      </c>
      <c r="N562">
        <f>YEAR(Table1[[#This Row],[Date]])</f>
        <v>2024</v>
      </c>
      <c r="O562" t="str">
        <f>TEXT(Table1[[#This Row],[Date]],"mmm")</f>
        <v>Feb</v>
      </c>
      <c r="P562">
        <f>MONTH(Table1[[#This Row],[Date]])</f>
        <v>2</v>
      </c>
    </row>
    <row r="563" spans="1:16" x14ac:dyDescent="0.25">
      <c r="A563" t="s">
        <v>582</v>
      </c>
      <c r="B563" t="s">
        <v>34</v>
      </c>
      <c r="C563" t="s">
        <v>17</v>
      </c>
      <c r="D563" s="1">
        <v>45485</v>
      </c>
      <c r="E563">
        <v>131780</v>
      </c>
      <c r="F563">
        <v>8420</v>
      </c>
      <c r="G563">
        <v>997</v>
      </c>
      <c r="H563" s="4">
        <v>4813.95</v>
      </c>
      <c r="I563" s="4">
        <v>65687.19</v>
      </c>
      <c r="J563" s="7">
        <f>Table1[[#This Row],[Clicks]]/Table1[[#This Row],[Impressions]]</f>
        <v>6.3894369403551379E-2</v>
      </c>
      <c r="K563" s="7">
        <f>IFERROR(Table1[[#This Row],[Conversions]]/Table1[[#This Row],[Clicks]],0)</f>
        <v>0.11840855106888361</v>
      </c>
      <c r="L563" s="6">
        <f>IF(Table1[[#This Row],[Conversions]]=0,0,Table1[[#This Row],[Ad Spend]]/Table1[[#This Row],[Conversions]])</f>
        <v>4.8284353059177532</v>
      </c>
      <c r="M563" s="8">
        <f>IF(Table1[[#This Row],[Ad Spend]]=0,0,Table1[[#This Row],[Revenue]]/Table1[[#This Row],[Ad Spend]])</f>
        <v>13.645174960271712</v>
      </c>
      <c r="N563">
        <f>YEAR(Table1[[#This Row],[Date]])</f>
        <v>2024</v>
      </c>
      <c r="O563" t="str">
        <f>TEXT(Table1[[#This Row],[Date]],"mmm")</f>
        <v>Jul</v>
      </c>
      <c r="P563">
        <f>MONTH(Table1[[#This Row],[Date]])</f>
        <v>7</v>
      </c>
    </row>
    <row r="564" spans="1:16" x14ac:dyDescent="0.25">
      <c r="A564" t="s">
        <v>583</v>
      </c>
      <c r="B564" t="s">
        <v>41</v>
      </c>
      <c r="C564" t="s">
        <v>12</v>
      </c>
      <c r="D564" s="1">
        <v>45306</v>
      </c>
      <c r="E564">
        <v>131345</v>
      </c>
      <c r="F564">
        <v>2382</v>
      </c>
      <c r="G564">
        <v>68</v>
      </c>
      <c r="H564" s="4">
        <v>3241.58</v>
      </c>
      <c r="I564" s="4">
        <v>8120.55</v>
      </c>
      <c r="J564" s="7">
        <f>Table1[[#This Row],[Clicks]]/Table1[[#This Row],[Impressions]]</f>
        <v>1.8135444820891546E-2</v>
      </c>
      <c r="K564" s="7">
        <f>IFERROR(Table1[[#This Row],[Conversions]]/Table1[[#This Row],[Clicks]],0)</f>
        <v>2.8547439126784216E-2</v>
      </c>
      <c r="L564" s="6">
        <f>IF(Table1[[#This Row],[Conversions]]=0,0,Table1[[#This Row],[Ad Spend]]/Table1[[#This Row],[Conversions]])</f>
        <v>47.67029411764706</v>
      </c>
      <c r="M564" s="8">
        <f>IF(Table1[[#This Row],[Ad Spend]]=0,0,Table1[[#This Row],[Revenue]]/Table1[[#This Row],[Ad Spend]])</f>
        <v>2.5051209595320802</v>
      </c>
      <c r="N564">
        <f>YEAR(Table1[[#This Row],[Date]])</f>
        <v>2024</v>
      </c>
      <c r="O564" t="str">
        <f>TEXT(Table1[[#This Row],[Date]],"mmm")</f>
        <v>Jan</v>
      </c>
      <c r="P564">
        <f>MONTH(Table1[[#This Row],[Date]])</f>
        <v>1</v>
      </c>
    </row>
    <row r="565" spans="1:16" x14ac:dyDescent="0.25">
      <c r="A565" t="s">
        <v>584</v>
      </c>
      <c r="B565" t="s">
        <v>14</v>
      </c>
      <c r="C565" t="s">
        <v>19</v>
      </c>
      <c r="D565" s="1">
        <v>45503</v>
      </c>
      <c r="E565">
        <v>97562</v>
      </c>
      <c r="F565">
        <v>4503</v>
      </c>
      <c r="G565">
        <v>95</v>
      </c>
      <c r="H565" s="4">
        <v>4194.45</v>
      </c>
      <c r="I565" s="4">
        <v>4258.45</v>
      </c>
      <c r="J565" s="7">
        <f>Table1[[#This Row],[Clicks]]/Table1[[#This Row],[Impressions]]</f>
        <v>4.6155265369713615E-2</v>
      </c>
      <c r="K565" s="7">
        <f>IFERROR(Table1[[#This Row],[Conversions]]/Table1[[#This Row],[Clicks]],0)</f>
        <v>2.1097046413502109E-2</v>
      </c>
      <c r="L565" s="6">
        <f>IF(Table1[[#This Row],[Conversions]]=0,0,Table1[[#This Row],[Ad Spend]]/Table1[[#This Row],[Conversions]])</f>
        <v>44.152105263157893</v>
      </c>
      <c r="M565" s="8">
        <f>IF(Table1[[#This Row],[Ad Spend]]=0,0,Table1[[#This Row],[Revenue]]/Table1[[#This Row],[Ad Spend]])</f>
        <v>1.0152582579360823</v>
      </c>
      <c r="N565">
        <f>YEAR(Table1[[#This Row],[Date]])</f>
        <v>2024</v>
      </c>
      <c r="O565" t="str">
        <f>TEXT(Table1[[#This Row],[Date]],"mmm")</f>
        <v>Jul</v>
      </c>
      <c r="P565">
        <f>MONTH(Table1[[#This Row],[Date]])</f>
        <v>7</v>
      </c>
    </row>
    <row r="566" spans="1:16" x14ac:dyDescent="0.25">
      <c r="A566" t="s">
        <v>585</v>
      </c>
      <c r="B566" t="s">
        <v>9</v>
      </c>
      <c r="C566" t="s">
        <v>17</v>
      </c>
      <c r="D566" s="1">
        <v>45636</v>
      </c>
      <c r="E566">
        <v>94651</v>
      </c>
      <c r="F566">
        <v>1450</v>
      </c>
      <c r="G566">
        <v>204</v>
      </c>
      <c r="H566" s="4">
        <v>2487.4699999999998</v>
      </c>
      <c r="I566" s="4">
        <v>11292.17</v>
      </c>
      <c r="J566" s="7">
        <f>Table1[[#This Row],[Clicks]]/Table1[[#This Row],[Impressions]]</f>
        <v>1.5319436667335791E-2</v>
      </c>
      <c r="K566" s="7">
        <f>IFERROR(Table1[[#This Row],[Conversions]]/Table1[[#This Row],[Clicks]],0)</f>
        <v>0.1406896551724138</v>
      </c>
      <c r="L566" s="6">
        <f>IF(Table1[[#This Row],[Conversions]]=0,0,Table1[[#This Row],[Ad Spend]]/Table1[[#This Row],[Conversions]])</f>
        <v>12.193480392156863</v>
      </c>
      <c r="M566" s="8">
        <f>IF(Table1[[#This Row],[Ad Spend]]=0,0,Table1[[#This Row],[Revenue]]/Table1[[#This Row],[Ad Spend]])</f>
        <v>4.5396205783386332</v>
      </c>
      <c r="N566">
        <f>YEAR(Table1[[#This Row],[Date]])</f>
        <v>2024</v>
      </c>
      <c r="O566" t="str">
        <f>TEXT(Table1[[#This Row],[Date]],"mmm")</f>
        <v>Dec</v>
      </c>
      <c r="P566">
        <f>MONTH(Table1[[#This Row],[Date]])</f>
        <v>12</v>
      </c>
    </row>
    <row r="567" spans="1:16" x14ac:dyDescent="0.25">
      <c r="A567" t="s">
        <v>586</v>
      </c>
      <c r="B567" t="s">
        <v>34</v>
      </c>
      <c r="C567" t="s">
        <v>37</v>
      </c>
      <c r="D567" s="1">
        <v>45674</v>
      </c>
      <c r="E567">
        <v>54851</v>
      </c>
      <c r="F567">
        <v>2464</v>
      </c>
      <c r="G567">
        <v>113</v>
      </c>
      <c r="H567" s="4">
        <v>3730.06</v>
      </c>
      <c r="I567" s="4">
        <v>12121.99</v>
      </c>
      <c r="J567" s="7">
        <f>Table1[[#This Row],[Clicks]]/Table1[[#This Row],[Impressions]]</f>
        <v>4.4921696960857599E-2</v>
      </c>
      <c r="K567" s="7">
        <f>IFERROR(Table1[[#This Row],[Conversions]]/Table1[[#This Row],[Clicks]],0)</f>
        <v>4.5860389610389608E-2</v>
      </c>
      <c r="L567" s="6">
        <f>IF(Table1[[#This Row],[Conversions]]=0,0,Table1[[#This Row],[Ad Spend]]/Table1[[#This Row],[Conversions]])</f>
        <v>33.009380530973452</v>
      </c>
      <c r="M567" s="8">
        <f>IF(Table1[[#This Row],[Ad Spend]]=0,0,Table1[[#This Row],[Revenue]]/Table1[[#This Row],[Ad Spend]])</f>
        <v>3.2498109949973997</v>
      </c>
      <c r="N567">
        <f>YEAR(Table1[[#This Row],[Date]])</f>
        <v>2025</v>
      </c>
      <c r="O567" t="str">
        <f>TEXT(Table1[[#This Row],[Date]],"mmm")</f>
        <v>Jan</v>
      </c>
      <c r="P567">
        <f>MONTH(Table1[[#This Row],[Date]])</f>
        <v>1</v>
      </c>
    </row>
    <row r="568" spans="1:16" x14ac:dyDescent="0.25">
      <c r="A568" t="s">
        <v>587</v>
      </c>
      <c r="B568" t="s">
        <v>14</v>
      </c>
      <c r="C568" t="s">
        <v>37</v>
      </c>
      <c r="D568" s="1">
        <v>45395</v>
      </c>
      <c r="E568">
        <v>70456</v>
      </c>
      <c r="F568">
        <v>4829</v>
      </c>
      <c r="G568">
        <v>320</v>
      </c>
      <c r="H568" s="4">
        <v>3938.9</v>
      </c>
      <c r="I568" s="4">
        <v>10236.11</v>
      </c>
      <c r="J568" s="7">
        <f>Table1[[#This Row],[Clicks]]/Table1[[#This Row],[Impressions]]</f>
        <v>6.8539230157829006E-2</v>
      </c>
      <c r="K568" s="7">
        <f>IFERROR(Table1[[#This Row],[Conversions]]/Table1[[#This Row],[Clicks]],0)</f>
        <v>6.6266307724166487E-2</v>
      </c>
      <c r="L568" s="6">
        <f>IF(Table1[[#This Row],[Conversions]]=0,0,Table1[[#This Row],[Ad Spend]]/Table1[[#This Row],[Conversions]])</f>
        <v>12.3090625</v>
      </c>
      <c r="M568" s="8">
        <f>IF(Table1[[#This Row],[Ad Spend]]=0,0,Table1[[#This Row],[Revenue]]/Table1[[#This Row],[Ad Spend]])</f>
        <v>2.598722993729214</v>
      </c>
      <c r="N568">
        <f>YEAR(Table1[[#This Row],[Date]])</f>
        <v>2024</v>
      </c>
      <c r="O568" t="str">
        <f>TEXT(Table1[[#This Row],[Date]],"mmm")</f>
        <v>Apr</v>
      </c>
      <c r="P568">
        <f>MONTH(Table1[[#This Row],[Date]])</f>
        <v>4</v>
      </c>
    </row>
    <row r="569" spans="1:16" x14ac:dyDescent="0.25">
      <c r="A569" t="s">
        <v>588</v>
      </c>
      <c r="B569" t="s">
        <v>9</v>
      </c>
      <c r="C569" t="s">
        <v>17</v>
      </c>
      <c r="D569" s="1">
        <v>45606</v>
      </c>
      <c r="E569">
        <v>6736</v>
      </c>
      <c r="F569">
        <v>427</v>
      </c>
      <c r="G569">
        <v>38</v>
      </c>
      <c r="H569" s="4">
        <v>402.86</v>
      </c>
      <c r="I569" s="4">
        <v>2592.71</v>
      </c>
      <c r="J569" s="7">
        <f>Table1[[#This Row],[Clicks]]/Table1[[#This Row],[Impressions]]</f>
        <v>6.3390736342042758E-2</v>
      </c>
      <c r="K569" s="7">
        <f>IFERROR(Table1[[#This Row],[Conversions]]/Table1[[#This Row],[Clicks]],0)</f>
        <v>8.899297423887588E-2</v>
      </c>
      <c r="L569" s="6">
        <f>IF(Table1[[#This Row],[Conversions]]=0,0,Table1[[#This Row],[Ad Spend]]/Table1[[#This Row],[Conversions]])</f>
        <v>10.601578947368422</v>
      </c>
      <c r="M569" s="8">
        <f>IF(Table1[[#This Row],[Ad Spend]]=0,0,Table1[[#This Row],[Revenue]]/Table1[[#This Row],[Ad Spend]])</f>
        <v>6.4357593208558805</v>
      </c>
      <c r="N569">
        <f>YEAR(Table1[[#This Row],[Date]])</f>
        <v>2024</v>
      </c>
      <c r="O569" t="str">
        <f>TEXT(Table1[[#This Row],[Date]],"mmm")</f>
        <v>Nov</v>
      </c>
      <c r="P569">
        <f>MONTH(Table1[[#This Row],[Date]])</f>
        <v>11</v>
      </c>
    </row>
    <row r="570" spans="1:16" x14ac:dyDescent="0.25">
      <c r="A570" t="s">
        <v>589</v>
      </c>
      <c r="B570" t="s">
        <v>47</v>
      </c>
      <c r="C570" t="s">
        <v>17</v>
      </c>
      <c r="D570" s="1">
        <v>45586</v>
      </c>
      <c r="E570">
        <v>77019</v>
      </c>
      <c r="F570">
        <v>3416</v>
      </c>
      <c r="G570">
        <v>505</v>
      </c>
      <c r="H570" s="4">
        <v>4596.83</v>
      </c>
      <c r="I570" s="4">
        <v>24253.46</v>
      </c>
      <c r="J570" s="7">
        <f>Table1[[#This Row],[Clicks]]/Table1[[#This Row],[Impressions]]</f>
        <v>4.4352692192835531E-2</v>
      </c>
      <c r="K570" s="7">
        <f>IFERROR(Table1[[#This Row],[Conversions]]/Table1[[#This Row],[Clicks]],0)</f>
        <v>0.14783372365339578</v>
      </c>
      <c r="L570" s="6">
        <f>IF(Table1[[#This Row],[Conversions]]=0,0,Table1[[#This Row],[Ad Spend]]/Table1[[#This Row],[Conversions]])</f>
        <v>9.1026336633663369</v>
      </c>
      <c r="M570" s="8">
        <f>IF(Table1[[#This Row],[Ad Spend]]=0,0,Table1[[#This Row],[Revenue]]/Table1[[#This Row],[Ad Spend]])</f>
        <v>5.2761272442095963</v>
      </c>
      <c r="N570">
        <f>YEAR(Table1[[#This Row],[Date]])</f>
        <v>2024</v>
      </c>
      <c r="O570" t="str">
        <f>TEXT(Table1[[#This Row],[Date]],"mmm")</f>
        <v>Oct</v>
      </c>
      <c r="P570">
        <f>MONTH(Table1[[#This Row],[Date]])</f>
        <v>10</v>
      </c>
    </row>
    <row r="571" spans="1:16" x14ac:dyDescent="0.25">
      <c r="A571" t="s">
        <v>590</v>
      </c>
      <c r="B571" t="s">
        <v>14</v>
      </c>
      <c r="C571" t="s">
        <v>12</v>
      </c>
      <c r="D571" s="1">
        <v>45357</v>
      </c>
      <c r="E571">
        <v>19194</v>
      </c>
      <c r="F571">
        <v>898</v>
      </c>
      <c r="G571">
        <v>67</v>
      </c>
      <c r="H571" s="4">
        <v>4710.34</v>
      </c>
      <c r="I571" s="4">
        <v>1558.17</v>
      </c>
      <c r="J571" s="7">
        <f>Table1[[#This Row],[Clicks]]/Table1[[#This Row],[Impressions]]</f>
        <v>4.678545378764197E-2</v>
      </c>
      <c r="K571" s="7">
        <f>IFERROR(Table1[[#This Row],[Conversions]]/Table1[[#This Row],[Clicks]],0)</f>
        <v>7.4610244988864149E-2</v>
      </c>
      <c r="L571" s="6">
        <f>IF(Table1[[#This Row],[Conversions]]=0,0,Table1[[#This Row],[Ad Spend]]/Table1[[#This Row],[Conversions]])</f>
        <v>70.303582089552236</v>
      </c>
      <c r="M571" s="8">
        <f>IF(Table1[[#This Row],[Ad Spend]]=0,0,Table1[[#This Row],[Revenue]]/Table1[[#This Row],[Ad Spend]])</f>
        <v>0.3307977768059206</v>
      </c>
      <c r="N571">
        <f>YEAR(Table1[[#This Row],[Date]])</f>
        <v>2024</v>
      </c>
      <c r="O571" t="str">
        <f>TEXT(Table1[[#This Row],[Date]],"mmm")</f>
        <v>Mar</v>
      </c>
      <c r="P571">
        <f>MONTH(Table1[[#This Row],[Date]])</f>
        <v>3</v>
      </c>
    </row>
    <row r="572" spans="1:16" x14ac:dyDescent="0.25">
      <c r="A572" t="s">
        <v>591</v>
      </c>
      <c r="B572" t="s">
        <v>47</v>
      </c>
      <c r="C572" t="s">
        <v>17</v>
      </c>
      <c r="D572" s="1">
        <v>45643</v>
      </c>
      <c r="E572">
        <v>50822</v>
      </c>
      <c r="F572">
        <v>2134</v>
      </c>
      <c r="G572">
        <v>76</v>
      </c>
      <c r="H572" s="4">
        <v>2687.38</v>
      </c>
      <c r="I572" s="4">
        <v>3918.95</v>
      </c>
      <c r="J572" s="7">
        <f>Table1[[#This Row],[Clicks]]/Table1[[#This Row],[Impressions]]</f>
        <v>4.1989689504545277E-2</v>
      </c>
      <c r="K572" s="7">
        <f>IFERROR(Table1[[#This Row],[Conversions]]/Table1[[#This Row],[Clicks]],0)</f>
        <v>3.5613870665417061E-2</v>
      </c>
      <c r="L572" s="6">
        <f>IF(Table1[[#This Row],[Conversions]]=0,0,Table1[[#This Row],[Ad Spend]]/Table1[[#This Row],[Conversions]])</f>
        <v>35.360263157894735</v>
      </c>
      <c r="M572" s="8">
        <f>IF(Table1[[#This Row],[Ad Spend]]=0,0,Table1[[#This Row],[Revenue]]/Table1[[#This Row],[Ad Spend]])</f>
        <v>1.4582790673444022</v>
      </c>
      <c r="N572">
        <f>YEAR(Table1[[#This Row],[Date]])</f>
        <v>2024</v>
      </c>
      <c r="O572" t="str">
        <f>TEXT(Table1[[#This Row],[Date]],"mmm")</f>
        <v>Dec</v>
      </c>
      <c r="P572">
        <f>MONTH(Table1[[#This Row],[Date]])</f>
        <v>12</v>
      </c>
    </row>
    <row r="573" spans="1:16" x14ac:dyDescent="0.25">
      <c r="A573" t="s">
        <v>592</v>
      </c>
      <c r="B573" t="s">
        <v>31</v>
      </c>
      <c r="C573" t="s">
        <v>10</v>
      </c>
      <c r="D573" s="1">
        <v>45637</v>
      </c>
      <c r="E573">
        <v>60247</v>
      </c>
      <c r="F573">
        <v>2202</v>
      </c>
      <c r="G573">
        <v>72</v>
      </c>
      <c r="H573" s="4">
        <v>1935.69</v>
      </c>
      <c r="I573" s="4">
        <v>7645.26</v>
      </c>
      <c r="J573" s="7">
        <f>Table1[[#This Row],[Clicks]]/Table1[[#This Row],[Impressions]]</f>
        <v>3.6549537736318818E-2</v>
      </c>
      <c r="K573" s="7">
        <f>IFERROR(Table1[[#This Row],[Conversions]]/Table1[[#This Row],[Clicks]],0)</f>
        <v>3.2697547683923703E-2</v>
      </c>
      <c r="L573" s="6">
        <f>IF(Table1[[#This Row],[Conversions]]=0,0,Table1[[#This Row],[Ad Spend]]/Table1[[#This Row],[Conversions]])</f>
        <v>26.884583333333335</v>
      </c>
      <c r="M573" s="8">
        <f>IF(Table1[[#This Row],[Ad Spend]]=0,0,Table1[[#This Row],[Revenue]]/Table1[[#This Row],[Ad Spend]])</f>
        <v>3.949630364366195</v>
      </c>
      <c r="N573">
        <f>YEAR(Table1[[#This Row],[Date]])</f>
        <v>2024</v>
      </c>
      <c r="O573" t="str">
        <f>TEXT(Table1[[#This Row],[Date]],"mmm")</f>
        <v>Dec</v>
      </c>
      <c r="P573">
        <f>MONTH(Table1[[#This Row],[Date]])</f>
        <v>12</v>
      </c>
    </row>
    <row r="574" spans="1:16" x14ac:dyDescent="0.25">
      <c r="A574" t="s">
        <v>593</v>
      </c>
      <c r="B574" t="s">
        <v>16</v>
      </c>
      <c r="C574" t="s">
        <v>12</v>
      </c>
      <c r="D574" s="1">
        <v>45426</v>
      </c>
      <c r="E574">
        <v>67164</v>
      </c>
      <c r="F574">
        <v>1938</v>
      </c>
      <c r="G574">
        <v>280</v>
      </c>
      <c r="H574" s="4">
        <v>1846.86</v>
      </c>
      <c r="I574" s="4">
        <v>10749.58</v>
      </c>
      <c r="J574" s="7">
        <f>Table1[[#This Row],[Clicks]]/Table1[[#This Row],[Impressions]]</f>
        <v>2.8854743612649635E-2</v>
      </c>
      <c r="K574" s="7">
        <f>IFERROR(Table1[[#This Row],[Conversions]]/Table1[[#This Row],[Clicks]],0)</f>
        <v>0.14447884416924664</v>
      </c>
      <c r="L574" s="6">
        <f>IF(Table1[[#This Row],[Conversions]]=0,0,Table1[[#This Row],[Ad Spend]]/Table1[[#This Row],[Conversions]])</f>
        <v>6.5959285714285709</v>
      </c>
      <c r="M574" s="8">
        <f>IF(Table1[[#This Row],[Ad Spend]]=0,0,Table1[[#This Row],[Revenue]]/Table1[[#This Row],[Ad Spend]])</f>
        <v>5.8204628396305083</v>
      </c>
      <c r="N574">
        <f>YEAR(Table1[[#This Row],[Date]])</f>
        <v>2024</v>
      </c>
      <c r="O574" t="str">
        <f>TEXT(Table1[[#This Row],[Date]],"mmm")</f>
        <v>May</v>
      </c>
      <c r="P574">
        <f>MONTH(Table1[[#This Row],[Date]])</f>
        <v>5</v>
      </c>
    </row>
    <row r="575" spans="1:16" x14ac:dyDescent="0.25">
      <c r="A575" t="s">
        <v>594</v>
      </c>
      <c r="B575" t="s">
        <v>21</v>
      </c>
      <c r="C575" t="s">
        <v>37</v>
      </c>
      <c r="D575" s="1">
        <v>45506</v>
      </c>
      <c r="E575">
        <v>102598</v>
      </c>
      <c r="F575">
        <v>3647</v>
      </c>
      <c r="G575">
        <v>262</v>
      </c>
      <c r="H575" s="4">
        <v>2363.5</v>
      </c>
      <c r="I575" s="4">
        <v>20210.93</v>
      </c>
      <c r="J575" s="7">
        <f>Table1[[#This Row],[Clicks]]/Table1[[#This Row],[Impressions]]</f>
        <v>3.554650188112829E-2</v>
      </c>
      <c r="K575" s="7">
        <f>IFERROR(Table1[[#This Row],[Conversions]]/Table1[[#This Row],[Clicks]],0)</f>
        <v>7.1839868384973957E-2</v>
      </c>
      <c r="L575" s="6">
        <f>IF(Table1[[#This Row],[Conversions]]=0,0,Table1[[#This Row],[Ad Spend]]/Table1[[#This Row],[Conversions]])</f>
        <v>9.020992366412214</v>
      </c>
      <c r="M575" s="8">
        <f>IF(Table1[[#This Row],[Ad Spend]]=0,0,Table1[[#This Row],[Revenue]]/Table1[[#This Row],[Ad Spend]])</f>
        <v>8.551271419504971</v>
      </c>
      <c r="N575">
        <f>YEAR(Table1[[#This Row],[Date]])</f>
        <v>2024</v>
      </c>
      <c r="O575" t="str">
        <f>TEXT(Table1[[#This Row],[Date]],"mmm")</f>
        <v>Aug</v>
      </c>
      <c r="P575">
        <f>MONTH(Table1[[#This Row],[Date]])</f>
        <v>8</v>
      </c>
    </row>
    <row r="576" spans="1:16" x14ac:dyDescent="0.25">
      <c r="A576" t="s">
        <v>595</v>
      </c>
      <c r="B576" t="s">
        <v>14</v>
      </c>
      <c r="C576" t="s">
        <v>10</v>
      </c>
      <c r="D576" s="1">
        <v>45661</v>
      </c>
      <c r="E576">
        <v>75765</v>
      </c>
      <c r="F576">
        <v>5022</v>
      </c>
      <c r="G576">
        <v>462</v>
      </c>
      <c r="H576" s="4">
        <v>4310.28</v>
      </c>
      <c r="I576" s="4">
        <v>18298.12</v>
      </c>
      <c r="J576" s="7">
        <f>Table1[[#This Row],[Clicks]]/Table1[[#This Row],[Impressions]]</f>
        <v>6.6283904177390621E-2</v>
      </c>
      <c r="K576" s="7">
        <f>IFERROR(Table1[[#This Row],[Conversions]]/Table1[[#This Row],[Clicks]],0)</f>
        <v>9.199522102747909E-2</v>
      </c>
      <c r="L576" s="6">
        <f>IF(Table1[[#This Row],[Conversions]]=0,0,Table1[[#This Row],[Ad Spend]]/Table1[[#This Row],[Conversions]])</f>
        <v>9.329610389610389</v>
      </c>
      <c r="M576" s="8">
        <f>IF(Table1[[#This Row],[Ad Spend]]=0,0,Table1[[#This Row],[Revenue]]/Table1[[#This Row],[Ad Spend]])</f>
        <v>4.2452276882244311</v>
      </c>
      <c r="N576">
        <f>YEAR(Table1[[#This Row],[Date]])</f>
        <v>2025</v>
      </c>
      <c r="O576" t="str">
        <f>TEXT(Table1[[#This Row],[Date]],"mmm")</f>
        <v>Jan</v>
      </c>
      <c r="P576">
        <f>MONTH(Table1[[#This Row],[Date]])</f>
        <v>1</v>
      </c>
    </row>
    <row r="577" spans="1:16" x14ac:dyDescent="0.25">
      <c r="A577" t="s">
        <v>596</v>
      </c>
      <c r="B577" t="s">
        <v>16</v>
      </c>
      <c r="C577" t="s">
        <v>17</v>
      </c>
      <c r="D577" s="1">
        <v>45704</v>
      </c>
      <c r="E577">
        <v>7553</v>
      </c>
      <c r="F577">
        <v>168</v>
      </c>
      <c r="G577">
        <v>14</v>
      </c>
      <c r="H577" s="4">
        <v>4978.7</v>
      </c>
      <c r="I577" s="4">
        <v>1469.15</v>
      </c>
      <c r="J577" s="7">
        <f>Table1[[#This Row],[Clicks]]/Table1[[#This Row],[Impressions]]</f>
        <v>2.2242817423540315E-2</v>
      </c>
      <c r="K577" s="7">
        <f>IFERROR(Table1[[#This Row],[Conversions]]/Table1[[#This Row],[Clicks]],0)</f>
        <v>8.3333333333333329E-2</v>
      </c>
      <c r="L577" s="6">
        <f>IF(Table1[[#This Row],[Conversions]]=0,0,Table1[[#This Row],[Ad Spend]]/Table1[[#This Row],[Conversions]])</f>
        <v>355.62142857142857</v>
      </c>
      <c r="M577" s="8">
        <f>IF(Table1[[#This Row],[Ad Spend]]=0,0,Table1[[#This Row],[Revenue]]/Table1[[#This Row],[Ad Spend]])</f>
        <v>0.29508707092212827</v>
      </c>
      <c r="N577">
        <f>YEAR(Table1[[#This Row],[Date]])</f>
        <v>2025</v>
      </c>
      <c r="O577" t="str">
        <f>TEXT(Table1[[#This Row],[Date]],"mmm")</f>
        <v>Feb</v>
      </c>
      <c r="P577">
        <f>MONTH(Table1[[#This Row],[Date]])</f>
        <v>2</v>
      </c>
    </row>
    <row r="578" spans="1:16" x14ac:dyDescent="0.25">
      <c r="A578" t="s">
        <v>597</v>
      </c>
      <c r="B578" t="s">
        <v>47</v>
      </c>
      <c r="C578" t="s">
        <v>17</v>
      </c>
      <c r="D578" s="1">
        <v>45445</v>
      </c>
      <c r="E578">
        <v>70791</v>
      </c>
      <c r="F578">
        <v>3493</v>
      </c>
      <c r="G578">
        <v>327</v>
      </c>
      <c r="H578" s="4">
        <v>2112.33</v>
      </c>
      <c r="I578" s="4">
        <v>29120.76</v>
      </c>
      <c r="J578" s="7">
        <f>Table1[[#This Row],[Clicks]]/Table1[[#This Row],[Impressions]]</f>
        <v>4.934243053495501E-2</v>
      </c>
      <c r="K578" s="7">
        <f>IFERROR(Table1[[#This Row],[Conversions]]/Table1[[#This Row],[Clicks]],0)</f>
        <v>9.3615803034640704E-2</v>
      </c>
      <c r="L578" s="6">
        <f>IF(Table1[[#This Row],[Conversions]]=0,0,Table1[[#This Row],[Ad Spend]]/Table1[[#This Row],[Conversions]])</f>
        <v>6.4597247706422012</v>
      </c>
      <c r="M578" s="8">
        <f>IF(Table1[[#This Row],[Ad Spend]]=0,0,Table1[[#This Row],[Revenue]]/Table1[[#This Row],[Ad Spend]])</f>
        <v>13.786084560651034</v>
      </c>
      <c r="N578">
        <f>YEAR(Table1[[#This Row],[Date]])</f>
        <v>2024</v>
      </c>
      <c r="O578" t="str">
        <f>TEXT(Table1[[#This Row],[Date]],"mmm")</f>
        <v>Jun</v>
      </c>
      <c r="P578">
        <f>MONTH(Table1[[#This Row],[Date]])</f>
        <v>6</v>
      </c>
    </row>
    <row r="579" spans="1:16" x14ac:dyDescent="0.25">
      <c r="A579" t="s">
        <v>598</v>
      </c>
      <c r="B579" t="s">
        <v>31</v>
      </c>
      <c r="C579" t="s">
        <v>37</v>
      </c>
      <c r="D579" s="1">
        <v>45708</v>
      </c>
      <c r="E579">
        <v>71660</v>
      </c>
      <c r="F579">
        <v>3107</v>
      </c>
      <c r="G579">
        <v>316</v>
      </c>
      <c r="H579" s="4">
        <v>2359.3000000000002</v>
      </c>
      <c r="I579" s="4">
        <v>16895.150000000001</v>
      </c>
      <c r="J579" s="7">
        <f>Table1[[#This Row],[Clicks]]/Table1[[#This Row],[Impressions]]</f>
        <v>4.3357521629919064E-2</v>
      </c>
      <c r="K579" s="7">
        <f>IFERROR(Table1[[#This Row],[Conversions]]/Table1[[#This Row],[Clicks]],0)</f>
        <v>0.10170582555519794</v>
      </c>
      <c r="L579" s="6">
        <f>IF(Table1[[#This Row],[Conversions]]=0,0,Table1[[#This Row],[Ad Spend]]/Table1[[#This Row],[Conversions]])</f>
        <v>7.4661392405063296</v>
      </c>
      <c r="M579" s="8">
        <f>IF(Table1[[#This Row],[Ad Spend]]=0,0,Table1[[#This Row],[Revenue]]/Table1[[#This Row],[Ad Spend]])</f>
        <v>7.1610859153138646</v>
      </c>
      <c r="N579">
        <f>YEAR(Table1[[#This Row],[Date]])</f>
        <v>2025</v>
      </c>
      <c r="O579" t="str">
        <f>TEXT(Table1[[#This Row],[Date]],"mmm")</f>
        <v>Feb</v>
      </c>
      <c r="P579">
        <f>MONTH(Table1[[#This Row],[Date]])</f>
        <v>2</v>
      </c>
    </row>
    <row r="580" spans="1:16" x14ac:dyDescent="0.25">
      <c r="A580" t="s">
        <v>599</v>
      </c>
      <c r="B580" t="s">
        <v>47</v>
      </c>
      <c r="C580" t="s">
        <v>19</v>
      </c>
      <c r="D580" s="1">
        <v>45578</v>
      </c>
      <c r="E580">
        <v>72558</v>
      </c>
      <c r="F580">
        <v>2473</v>
      </c>
      <c r="G580">
        <v>181</v>
      </c>
      <c r="H580" s="4">
        <v>1885.23</v>
      </c>
      <c r="I580" s="4">
        <v>15920.5</v>
      </c>
      <c r="J580" s="7">
        <f>Table1[[#This Row],[Clicks]]/Table1[[#This Row],[Impressions]]</f>
        <v>3.4083078364894291E-2</v>
      </c>
      <c r="K580" s="7">
        <f>IFERROR(Table1[[#This Row],[Conversions]]/Table1[[#This Row],[Clicks]],0)</f>
        <v>7.3190456934896883E-2</v>
      </c>
      <c r="L580" s="6">
        <f>IF(Table1[[#This Row],[Conversions]]=0,0,Table1[[#This Row],[Ad Spend]]/Table1[[#This Row],[Conversions]])</f>
        <v>10.415635359116022</v>
      </c>
      <c r="M580" s="8">
        <f>IF(Table1[[#This Row],[Ad Spend]]=0,0,Table1[[#This Row],[Revenue]]/Table1[[#This Row],[Ad Spend]])</f>
        <v>8.4448581870647086</v>
      </c>
      <c r="N580">
        <f>YEAR(Table1[[#This Row],[Date]])</f>
        <v>2024</v>
      </c>
      <c r="O580" t="str">
        <f>TEXT(Table1[[#This Row],[Date]],"mmm")</f>
        <v>Oct</v>
      </c>
      <c r="P580">
        <f>MONTH(Table1[[#This Row],[Date]])</f>
        <v>10</v>
      </c>
    </row>
    <row r="581" spans="1:16" x14ac:dyDescent="0.25">
      <c r="A581" t="s">
        <v>600</v>
      </c>
      <c r="B581" t="s">
        <v>14</v>
      </c>
      <c r="C581" t="s">
        <v>12</v>
      </c>
      <c r="D581" s="1">
        <v>45586</v>
      </c>
      <c r="E581">
        <v>146148</v>
      </c>
      <c r="F581">
        <v>3247</v>
      </c>
      <c r="G581">
        <v>394</v>
      </c>
      <c r="H581" s="4">
        <v>1904.52</v>
      </c>
      <c r="I581" s="4">
        <v>34403.800000000003</v>
      </c>
      <c r="J581" s="7">
        <f>Table1[[#This Row],[Clicks]]/Table1[[#This Row],[Impressions]]</f>
        <v>2.221720447765279E-2</v>
      </c>
      <c r="K581" s="7">
        <f>IFERROR(Table1[[#This Row],[Conversions]]/Table1[[#This Row],[Clicks]],0)</f>
        <v>0.12134277794887588</v>
      </c>
      <c r="L581" s="6">
        <f>IF(Table1[[#This Row],[Conversions]]=0,0,Table1[[#This Row],[Ad Spend]]/Table1[[#This Row],[Conversions]])</f>
        <v>4.8338071065989849</v>
      </c>
      <c r="M581" s="8">
        <f>IF(Table1[[#This Row],[Ad Spend]]=0,0,Table1[[#This Row],[Revenue]]/Table1[[#This Row],[Ad Spend]])</f>
        <v>18.06428916472392</v>
      </c>
      <c r="N581">
        <f>YEAR(Table1[[#This Row],[Date]])</f>
        <v>2024</v>
      </c>
      <c r="O581" t="str">
        <f>TEXT(Table1[[#This Row],[Date]],"mmm")</f>
        <v>Oct</v>
      </c>
      <c r="P581">
        <f>MONTH(Table1[[#This Row],[Date]])</f>
        <v>10</v>
      </c>
    </row>
    <row r="582" spans="1:16" x14ac:dyDescent="0.25">
      <c r="A582" t="s">
        <v>601</v>
      </c>
      <c r="B582" t="s">
        <v>41</v>
      </c>
      <c r="C582" t="s">
        <v>17</v>
      </c>
      <c r="D582" s="1">
        <v>45332</v>
      </c>
      <c r="E582">
        <v>104895</v>
      </c>
      <c r="F582">
        <v>5554</v>
      </c>
      <c r="G582">
        <v>445</v>
      </c>
      <c r="H582" s="4">
        <v>4791.6499999999996</v>
      </c>
      <c r="I582" s="4">
        <v>47537.47</v>
      </c>
      <c r="J582" s="7">
        <f>Table1[[#This Row],[Clicks]]/Table1[[#This Row],[Impressions]]</f>
        <v>5.2948186281519614E-2</v>
      </c>
      <c r="K582" s="7">
        <f>IFERROR(Table1[[#This Row],[Conversions]]/Table1[[#This Row],[Clicks]],0)</f>
        <v>8.0122434281598848E-2</v>
      </c>
      <c r="L582" s="6">
        <f>IF(Table1[[#This Row],[Conversions]]=0,0,Table1[[#This Row],[Ad Spend]]/Table1[[#This Row],[Conversions]])</f>
        <v>10.767752808988764</v>
      </c>
      <c r="M582" s="8">
        <f>IF(Table1[[#This Row],[Ad Spend]]=0,0,Table1[[#This Row],[Revenue]]/Table1[[#This Row],[Ad Spend]])</f>
        <v>9.9208978118184774</v>
      </c>
      <c r="N582">
        <f>YEAR(Table1[[#This Row],[Date]])</f>
        <v>2024</v>
      </c>
      <c r="O582" t="str">
        <f>TEXT(Table1[[#This Row],[Date]],"mmm")</f>
        <v>Feb</v>
      </c>
      <c r="P582">
        <f>MONTH(Table1[[#This Row],[Date]])</f>
        <v>2</v>
      </c>
    </row>
    <row r="583" spans="1:16" x14ac:dyDescent="0.25">
      <c r="A583" t="s">
        <v>602</v>
      </c>
      <c r="B583" t="s">
        <v>47</v>
      </c>
      <c r="C583" t="s">
        <v>17</v>
      </c>
      <c r="D583" s="1">
        <v>45615</v>
      </c>
      <c r="E583">
        <v>111108</v>
      </c>
      <c r="F583">
        <v>7713</v>
      </c>
      <c r="G583">
        <v>225</v>
      </c>
      <c r="H583" s="4">
        <v>977.6</v>
      </c>
      <c r="I583" s="4">
        <v>9634.9</v>
      </c>
      <c r="J583" s="7">
        <f>Table1[[#This Row],[Clicks]]/Table1[[#This Row],[Impressions]]</f>
        <v>6.9418943730424454E-2</v>
      </c>
      <c r="K583" s="7">
        <f>IFERROR(Table1[[#This Row],[Conversions]]/Table1[[#This Row],[Clicks]],0)</f>
        <v>2.9171528588098017E-2</v>
      </c>
      <c r="L583" s="6">
        <f>IF(Table1[[#This Row],[Conversions]]=0,0,Table1[[#This Row],[Ad Spend]]/Table1[[#This Row],[Conversions]])</f>
        <v>4.3448888888888888</v>
      </c>
      <c r="M583" s="8">
        <f>IF(Table1[[#This Row],[Ad Spend]]=0,0,Table1[[#This Row],[Revenue]]/Table1[[#This Row],[Ad Spend]])</f>
        <v>9.8556669394435339</v>
      </c>
      <c r="N583">
        <f>YEAR(Table1[[#This Row],[Date]])</f>
        <v>2024</v>
      </c>
      <c r="O583" t="str">
        <f>TEXT(Table1[[#This Row],[Date]],"mmm")</f>
        <v>Nov</v>
      </c>
      <c r="P583">
        <f>MONTH(Table1[[#This Row],[Date]])</f>
        <v>11</v>
      </c>
    </row>
    <row r="584" spans="1:16" x14ac:dyDescent="0.25">
      <c r="A584" t="s">
        <v>603</v>
      </c>
      <c r="B584" t="s">
        <v>47</v>
      </c>
      <c r="C584" t="s">
        <v>19</v>
      </c>
      <c r="D584" s="1">
        <v>45655</v>
      </c>
      <c r="E584">
        <v>75116</v>
      </c>
      <c r="F584">
        <v>3934</v>
      </c>
      <c r="G584">
        <v>280</v>
      </c>
      <c r="H584" s="4">
        <v>4460.92</v>
      </c>
      <c r="I584" s="4">
        <v>27467.27</v>
      </c>
      <c r="J584" s="7">
        <f>Table1[[#This Row],[Clicks]]/Table1[[#This Row],[Impressions]]</f>
        <v>5.237233079503701E-2</v>
      </c>
      <c r="K584" s="7">
        <f>IFERROR(Table1[[#This Row],[Conversions]]/Table1[[#This Row],[Clicks]],0)</f>
        <v>7.1174377224199295E-2</v>
      </c>
      <c r="L584" s="6">
        <f>IF(Table1[[#This Row],[Conversions]]=0,0,Table1[[#This Row],[Ad Spend]]/Table1[[#This Row],[Conversions]])</f>
        <v>15.931857142857144</v>
      </c>
      <c r="M584" s="8">
        <f>IF(Table1[[#This Row],[Ad Spend]]=0,0,Table1[[#This Row],[Revenue]]/Table1[[#This Row],[Ad Spend]])</f>
        <v>6.1573105996072561</v>
      </c>
      <c r="N584">
        <f>YEAR(Table1[[#This Row],[Date]])</f>
        <v>2024</v>
      </c>
      <c r="O584" t="str">
        <f>TEXT(Table1[[#This Row],[Date]],"mmm")</f>
        <v>Dec</v>
      </c>
      <c r="P584">
        <f>MONTH(Table1[[#This Row],[Date]])</f>
        <v>12</v>
      </c>
    </row>
    <row r="585" spans="1:16" x14ac:dyDescent="0.25">
      <c r="A585" t="s">
        <v>604</v>
      </c>
      <c r="B585" t="s">
        <v>47</v>
      </c>
      <c r="C585" t="s">
        <v>12</v>
      </c>
      <c r="D585" s="1">
        <v>45558</v>
      </c>
      <c r="E585">
        <v>123040</v>
      </c>
      <c r="F585">
        <v>4796</v>
      </c>
      <c r="G585">
        <v>210</v>
      </c>
      <c r="H585" s="4">
        <v>310.89</v>
      </c>
      <c r="I585" s="4">
        <v>19483.22</v>
      </c>
      <c r="J585" s="7">
        <f>Table1[[#This Row],[Clicks]]/Table1[[#This Row],[Impressions]]</f>
        <v>3.8979193758127438E-2</v>
      </c>
      <c r="K585" s="7">
        <f>IFERROR(Table1[[#This Row],[Conversions]]/Table1[[#This Row],[Clicks]],0)</f>
        <v>4.3786488740617184E-2</v>
      </c>
      <c r="L585" s="6">
        <f>IF(Table1[[#This Row],[Conversions]]=0,0,Table1[[#This Row],[Ad Spend]]/Table1[[#This Row],[Conversions]])</f>
        <v>1.4804285714285714</v>
      </c>
      <c r="M585" s="8">
        <f>IF(Table1[[#This Row],[Ad Spend]]=0,0,Table1[[#This Row],[Revenue]]/Table1[[#This Row],[Ad Spend]])</f>
        <v>62.669175592653353</v>
      </c>
      <c r="N585">
        <f>YEAR(Table1[[#This Row],[Date]])</f>
        <v>2024</v>
      </c>
      <c r="O585" t="str">
        <f>TEXT(Table1[[#This Row],[Date]],"mmm")</f>
        <v>Sept</v>
      </c>
      <c r="P585">
        <f>MONTH(Table1[[#This Row],[Date]])</f>
        <v>9</v>
      </c>
    </row>
    <row r="586" spans="1:16" x14ac:dyDescent="0.25">
      <c r="A586" t="s">
        <v>605</v>
      </c>
      <c r="B586" t="s">
        <v>34</v>
      </c>
      <c r="C586" t="s">
        <v>10</v>
      </c>
      <c r="D586" s="1">
        <v>45399</v>
      </c>
      <c r="E586">
        <v>48754</v>
      </c>
      <c r="F586">
        <v>1842</v>
      </c>
      <c r="G586">
        <v>59</v>
      </c>
      <c r="H586" s="4">
        <v>4696.6099999999997</v>
      </c>
      <c r="I586" s="4">
        <v>3971.8</v>
      </c>
      <c r="J586" s="7">
        <f>Table1[[#This Row],[Clicks]]/Table1[[#This Row],[Impressions]]</f>
        <v>3.7781515362842022E-2</v>
      </c>
      <c r="K586" s="7">
        <f>IFERROR(Table1[[#This Row],[Conversions]]/Table1[[#This Row],[Clicks]],0)</f>
        <v>3.2030401737242128E-2</v>
      </c>
      <c r="L586" s="6">
        <f>IF(Table1[[#This Row],[Conversions]]=0,0,Table1[[#This Row],[Ad Spend]]/Table1[[#This Row],[Conversions]])</f>
        <v>79.603559322033888</v>
      </c>
      <c r="M586" s="8">
        <f>IF(Table1[[#This Row],[Ad Spend]]=0,0,Table1[[#This Row],[Revenue]]/Table1[[#This Row],[Ad Spend]])</f>
        <v>0.84567379450284363</v>
      </c>
      <c r="N586">
        <f>YEAR(Table1[[#This Row],[Date]])</f>
        <v>2024</v>
      </c>
      <c r="O586" t="str">
        <f>TEXT(Table1[[#This Row],[Date]],"mmm")</f>
        <v>Apr</v>
      </c>
      <c r="P586">
        <f>MONTH(Table1[[#This Row],[Date]])</f>
        <v>4</v>
      </c>
    </row>
    <row r="587" spans="1:16" x14ac:dyDescent="0.25">
      <c r="A587" t="s">
        <v>606</v>
      </c>
      <c r="B587" t="s">
        <v>31</v>
      </c>
      <c r="C587" t="s">
        <v>10</v>
      </c>
      <c r="D587" s="1">
        <v>45686</v>
      </c>
      <c r="E587">
        <v>109074</v>
      </c>
      <c r="F587">
        <v>5091</v>
      </c>
      <c r="G587">
        <v>761</v>
      </c>
      <c r="H587" s="4">
        <v>698.86</v>
      </c>
      <c r="I587" s="4">
        <v>62257.58</v>
      </c>
      <c r="J587" s="7">
        <f>Table1[[#This Row],[Clicks]]/Table1[[#This Row],[Impressions]]</f>
        <v>4.6674734583860497E-2</v>
      </c>
      <c r="K587" s="7">
        <f>IFERROR(Table1[[#This Row],[Conversions]]/Table1[[#This Row],[Clicks]],0)</f>
        <v>0.14947947358082891</v>
      </c>
      <c r="L587" s="6">
        <f>IF(Table1[[#This Row],[Conversions]]=0,0,Table1[[#This Row],[Ad Spend]]/Table1[[#This Row],[Conversions]])</f>
        <v>0.91834428383705657</v>
      </c>
      <c r="M587" s="8">
        <f>IF(Table1[[#This Row],[Ad Spend]]=0,0,Table1[[#This Row],[Revenue]]/Table1[[#This Row],[Ad Spend]])</f>
        <v>89.084480439573014</v>
      </c>
      <c r="N587">
        <f>YEAR(Table1[[#This Row],[Date]])</f>
        <v>2025</v>
      </c>
      <c r="O587" t="str">
        <f>TEXT(Table1[[#This Row],[Date]],"mmm")</f>
        <v>Jan</v>
      </c>
      <c r="P587">
        <f>MONTH(Table1[[#This Row],[Date]])</f>
        <v>1</v>
      </c>
    </row>
    <row r="588" spans="1:16" x14ac:dyDescent="0.25">
      <c r="A588" t="s">
        <v>607</v>
      </c>
      <c r="B588" t="s">
        <v>9</v>
      </c>
      <c r="C588" t="s">
        <v>17</v>
      </c>
      <c r="D588" s="1">
        <v>45450</v>
      </c>
      <c r="E588">
        <v>65124</v>
      </c>
      <c r="F588">
        <v>1779</v>
      </c>
      <c r="G588">
        <v>101</v>
      </c>
      <c r="H588" s="4">
        <v>3207.11</v>
      </c>
      <c r="I588" s="4">
        <v>3345.9</v>
      </c>
      <c r="J588" s="7">
        <f>Table1[[#This Row],[Clicks]]/Table1[[#This Row],[Impressions]]</f>
        <v>2.7317118113138014E-2</v>
      </c>
      <c r="K588" s="7">
        <f>IFERROR(Table1[[#This Row],[Conversions]]/Table1[[#This Row],[Clicks]],0)</f>
        <v>5.6773468240584601E-2</v>
      </c>
      <c r="L588" s="6">
        <f>IF(Table1[[#This Row],[Conversions]]=0,0,Table1[[#This Row],[Ad Spend]]/Table1[[#This Row],[Conversions]])</f>
        <v>31.753564356435646</v>
      </c>
      <c r="M588" s="8">
        <f>IF(Table1[[#This Row],[Ad Spend]]=0,0,Table1[[#This Row],[Revenue]]/Table1[[#This Row],[Ad Spend]])</f>
        <v>1.043275721755724</v>
      </c>
      <c r="N588">
        <f>YEAR(Table1[[#This Row],[Date]])</f>
        <v>2024</v>
      </c>
      <c r="O588" t="str">
        <f>TEXT(Table1[[#This Row],[Date]],"mmm")</f>
        <v>Jun</v>
      </c>
      <c r="P588">
        <f>MONTH(Table1[[#This Row],[Date]])</f>
        <v>6</v>
      </c>
    </row>
    <row r="589" spans="1:16" x14ac:dyDescent="0.25">
      <c r="A589" t="s">
        <v>608</v>
      </c>
      <c r="B589" t="s">
        <v>16</v>
      </c>
      <c r="C589" t="s">
        <v>10</v>
      </c>
      <c r="D589" s="1">
        <v>45309</v>
      </c>
      <c r="E589">
        <v>98543</v>
      </c>
      <c r="F589">
        <v>6920</v>
      </c>
      <c r="G589">
        <v>430</v>
      </c>
      <c r="H589" s="4">
        <v>2485.54</v>
      </c>
      <c r="I589" s="4">
        <v>50524.21</v>
      </c>
      <c r="J589" s="7">
        <f>Table1[[#This Row],[Clicks]]/Table1[[#This Row],[Impressions]]</f>
        <v>7.0223151314654522E-2</v>
      </c>
      <c r="K589" s="7">
        <f>IFERROR(Table1[[#This Row],[Conversions]]/Table1[[#This Row],[Clicks]],0)</f>
        <v>6.2138728323699419E-2</v>
      </c>
      <c r="L589" s="6">
        <f>IF(Table1[[#This Row],[Conversions]]=0,0,Table1[[#This Row],[Ad Spend]]/Table1[[#This Row],[Conversions]])</f>
        <v>5.7803255813953491</v>
      </c>
      <c r="M589" s="8">
        <f>IF(Table1[[#This Row],[Ad Spend]]=0,0,Table1[[#This Row],[Revenue]]/Table1[[#This Row],[Ad Spend]])</f>
        <v>20.327256853641462</v>
      </c>
      <c r="N589">
        <f>YEAR(Table1[[#This Row],[Date]])</f>
        <v>2024</v>
      </c>
      <c r="O589" t="str">
        <f>TEXT(Table1[[#This Row],[Date]],"mmm")</f>
        <v>Jan</v>
      </c>
      <c r="P589">
        <f>MONTH(Table1[[#This Row],[Date]])</f>
        <v>1</v>
      </c>
    </row>
    <row r="590" spans="1:16" x14ac:dyDescent="0.25">
      <c r="A590" t="s">
        <v>609</v>
      </c>
      <c r="B590" t="s">
        <v>34</v>
      </c>
      <c r="C590" t="s">
        <v>12</v>
      </c>
      <c r="D590" s="1">
        <v>45519</v>
      </c>
      <c r="E590">
        <v>40419</v>
      </c>
      <c r="F590">
        <v>3147</v>
      </c>
      <c r="G590">
        <v>348</v>
      </c>
      <c r="H590" s="4">
        <v>1049.78</v>
      </c>
      <c r="I590" s="4">
        <v>27755.93</v>
      </c>
      <c r="J590" s="7">
        <f>Table1[[#This Row],[Clicks]]/Table1[[#This Row],[Impressions]]</f>
        <v>7.7859422548801308E-2</v>
      </c>
      <c r="K590" s="7">
        <f>IFERROR(Table1[[#This Row],[Conversions]]/Table1[[#This Row],[Clicks]],0)</f>
        <v>0.11058150619637751</v>
      </c>
      <c r="L590" s="6">
        <f>IF(Table1[[#This Row],[Conversions]]=0,0,Table1[[#This Row],[Ad Spend]]/Table1[[#This Row],[Conversions]])</f>
        <v>3.0166091954022987</v>
      </c>
      <c r="M590" s="8">
        <f>IF(Table1[[#This Row],[Ad Spend]]=0,0,Table1[[#This Row],[Revenue]]/Table1[[#This Row],[Ad Spend]])</f>
        <v>26.439758806607099</v>
      </c>
      <c r="N590">
        <f>YEAR(Table1[[#This Row],[Date]])</f>
        <v>2024</v>
      </c>
      <c r="O590" t="str">
        <f>TEXT(Table1[[#This Row],[Date]],"mmm")</f>
        <v>Aug</v>
      </c>
      <c r="P590">
        <f>MONTH(Table1[[#This Row],[Date]])</f>
        <v>8</v>
      </c>
    </row>
    <row r="591" spans="1:16" x14ac:dyDescent="0.25">
      <c r="A591" t="s">
        <v>610</v>
      </c>
      <c r="B591" t="s">
        <v>21</v>
      </c>
      <c r="C591" t="s">
        <v>12</v>
      </c>
      <c r="D591" s="1">
        <v>45619</v>
      </c>
      <c r="E591">
        <v>144928</v>
      </c>
      <c r="F591">
        <v>4590</v>
      </c>
      <c r="G591">
        <v>298</v>
      </c>
      <c r="H591" s="4">
        <v>2790.41</v>
      </c>
      <c r="I591" s="4">
        <v>29940.29</v>
      </c>
      <c r="J591" s="7">
        <f>Table1[[#This Row],[Clicks]]/Table1[[#This Row],[Impressions]]</f>
        <v>3.1670898653124308E-2</v>
      </c>
      <c r="K591" s="7">
        <f>IFERROR(Table1[[#This Row],[Conversions]]/Table1[[#This Row],[Clicks]],0)</f>
        <v>6.4923747276688454E-2</v>
      </c>
      <c r="L591" s="6">
        <f>IF(Table1[[#This Row],[Conversions]]=0,0,Table1[[#This Row],[Ad Spend]]/Table1[[#This Row],[Conversions]])</f>
        <v>9.3637919463087247</v>
      </c>
      <c r="M591" s="8">
        <f>IF(Table1[[#This Row],[Ad Spend]]=0,0,Table1[[#This Row],[Revenue]]/Table1[[#This Row],[Ad Spend]])</f>
        <v>10.729709970936172</v>
      </c>
      <c r="N591">
        <f>YEAR(Table1[[#This Row],[Date]])</f>
        <v>2024</v>
      </c>
      <c r="O591" t="str">
        <f>TEXT(Table1[[#This Row],[Date]],"mmm")</f>
        <v>Nov</v>
      </c>
      <c r="P591">
        <f>MONTH(Table1[[#This Row],[Date]])</f>
        <v>11</v>
      </c>
    </row>
    <row r="592" spans="1:16" x14ac:dyDescent="0.25">
      <c r="A592" t="s">
        <v>611</v>
      </c>
      <c r="B592" t="s">
        <v>41</v>
      </c>
      <c r="C592" t="s">
        <v>19</v>
      </c>
      <c r="D592" s="1">
        <v>45479</v>
      </c>
      <c r="E592">
        <v>113056</v>
      </c>
      <c r="F592">
        <v>3186</v>
      </c>
      <c r="G592">
        <v>189</v>
      </c>
      <c r="H592" s="4">
        <v>200.44</v>
      </c>
      <c r="I592" s="4">
        <v>19190.68</v>
      </c>
      <c r="J592" s="7">
        <f>Table1[[#This Row],[Clicks]]/Table1[[#This Row],[Impressions]]</f>
        <v>2.8180724596660062E-2</v>
      </c>
      <c r="K592" s="7">
        <f>IFERROR(Table1[[#This Row],[Conversions]]/Table1[[#This Row],[Clicks]],0)</f>
        <v>5.9322033898305086E-2</v>
      </c>
      <c r="L592" s="6">
        <f>IF(Table1[[#This Row],[Conversions]]=0,0,Table1[[#This Row],[Ad Spend]]/Table1[[#This Row],[Conversions]])</f>
        <v>1.0605291005291004</v>
      </c>
      <c r="M592" s="8">
        <f>IF(Table1[[#This Row],[Ad Spend]]=0,0,Table1[[#This Row],[Revenue]]/Table1[[#This Row],[Ad Spend]])</f>
        <v>95.742765914987032</v>
      </c>
      <c r="N592">
        <f>YEAR(Table1[[#This Row],[Date]])</f>
        <v>2024</v>
      </c>
      <c r="O592" t="str">
        <f>TEXT(Table1[[#This Row],[Date]],"mmm")</f>
        <v>Jul</v>
      </c>
      <c r="P592">
        <f>MONTH(Table1[[#This Row],[Date]])</f>
        <v>7</v>
      </c>
    </row>
    <row r="593" spans="1:16" x14ac:dyDescent="0.25">
      <c r="A593" t="s">
        <v>612</v>
      </c>
      <c r="B593" t="s">
        <v>16</v>
      </c>
      <c r="C593" t="s">
        <v>19</v>
      </c>
      <c r="D593" s="1">
        <v>45438</v>
      </c>
      <c r="E593">
        <v>127997</v>
      </c>
      <c r="F593">
        <v>6074</v>
      </c>
      <c r="G593">
        <v>664</v>
      </c>
      <c r="H593" s="4">
        <v>2561.27</v>
      </c>
      <c r="I593" s="4">
        <v>63443.39</v>
      </c>
      <c r="J593" s="7">
        <f>Table1[[#This Row],[Clicks]]/Table1[[#This Row],[Impressions]]</f>
        <v>4.745423720868458E-2</v>
      </c>
      <c r="K593" s="7">
        <f>IFERROR(Table1[[#This Row],[Conversions]]/Table1[[#This Row],[Clicks]],0)</f>
        <v>0.10931840632202831</v>
      </c>
      <c r="L593" s="6">
        <f>IF(Table1[[#This Row],[Conversions]]=0,0,Table1[[#This Row],[Ad Spend]]/Table1[[#This Row],[Conversions]])</f>
        <v>3.8573343373493976</v>
      </c>
      <c r="M593" s="8">
        <f>IF(Table1[[#This Row],[Ad Spend]]=0,0,Table1[[#This Row],[Revenue]]/Table1[[#This Row],[Ad Spend]])</f>
        <v>24.770285834761662</v>
      </c>
      <c r="N593">
        <f>YEAR(Table1[[#This Row],[Date]])</f>
        <v>2024</v>
      </c>
      <c r="O593" t="str">
        <f>TEXT(Table1[[#This Row],[Date]],"mmm")</f>
        <v>May</v>
      </c>
      <c r="P593">
        <f>MONTH(Table1[[#This Row],[Date]])</f>
        <v>5</v>
      </c>
    </row>
    <row r="594" spans="1:16" x14ac:dyDescent="0.25">
      <c r="A594" t="s">
        <v>613</v>
      </c>
      <c r="B594" t="s">
        <v>34</v>
      </c>
      <c r="C594" t="s">
        <v>10</v>
      </c>
      <c r="D594" s="1">
        <v>45684</v>
      </c>
      <c r="E594">
        <v>117836</v>
      </c>
      <c r="F594">
        <v>7760</v>
      </c>
      <c r="G594">
        <v>757</v>
      </c>
      <c r="H594" s="4">
        <v>4024.48</v>
      </c>
      <c r="I594" s="4">
        <v>56639.66</v>
      </c>
      <c r="J594" s="7">
        <f>Table1[[#This Row],[Clicks]]/Table1[[#This Row],[Impressions]]</f>
        <v>6.5854238093621648E-2</v>
      </c>
      <c r="K594" s="7">
        <f>IFERROR(Table1[[#This Row],[Conversions]]/Table1[[#This Row],[Clicks]],0)</f>
        <v>9.7551546391752578E-2</v>
      </c>
      <c r="L594" s="6">
        <f>IF(Table1[[#This Row],[Conversions]]=0,0,Table1[[#This Row],[Ad Spend]]/Table1[[#This Row],[Conversions]])</f>
        <v>5.3163540290620874</v>
      </c>
      <c r="M594" s="8">
        <f>IF(Table1[[#This Row],[Ad Spend]]=0,0,Table1[[#This Row],[Revenue]]/Table1[[#This Row],[Ad Spend]])</f>
        <v>14.073783445314675</v>
      </c>
      <c r="N594">
        <f>YEAR(Table1[[#This Row],[Date]])</f>
        <v>2025</v>
      </c>
      <c r="O594" t="str">
        <f>TEXT(Table1[[#This Row],[Date]],"mmm")</f>
        <v>Jan</v>
      </c>
      <c r="P594">
        <f>MONTH(Table1[[#This Row],[Date]])</f>
        <v>1</v>
      </c>
    </row>
    <row r="595" spans="1:16" x14ac:dyDescent="0.25">
      <c r="A595" t="s">
        <v>614</v>
      </c>
      <c r="B595" t="s">
        <v>14</v>
      </c>
      <c r="C595" t="s">
        <v>17</v>
      </c>
      <c r="D595" s="1">
        <v>45579</v>
      </c>
      <c r="E595">
        <v>119584</v>
      </c>
      <c r="F595">
        <v>4500</v>
      </c>
      <c r="G595">
        <v>185</v>
      </c>
      <c r="H595" s="4">
        <v>3738.17</v>
      </c>
      <c r="I595" s="4">
        <v>10909.88</v>
      </c>
      <c r="J595" s="7">
        <f>Table1[[#This Row],[Clicks]]/Table1[[#This Row],[Impressions]]</f>
        <v>3.763045223441263E-2</v>
      </c>
      <c r="K595" s="7">
        <f>IFERROR(Table1[[#This Row],[Conversions]]/Table1[[#This Row],[Clicks]],0)</f>
        <v>4.1111111111111112E-2</v>
      </c>
      <c r="L595" s="6">
        <f>IF(Table1[[#This Row],[Conversions]]=0,0,Table1[[#This Row],[Ad Spend]]/Table1[[#This Row],[Conversions]])</f>
        <v>20.206324324324324</v>
      </c>
      <c r="M595" s="8">
        <f>IF(Table1[[#This Row],[Ad Spend]]=0,0,Table1[[#This Row],[Revenue]]/Table1[[#This Row],[Ad Spend]])</f>
        <v>2.9185082540387408</v>
      </c>
      <c r="N595">
        <f>YEAR(Table1[[#This Row],[Date]])</f>
        <v>2024</v>
      </c>
      <c r="O595" t="str">
        <f>TEXT(Table1[[#This Row],[Date]],"mmm")</f>
        <v>Oct</v>
      </c>
      <c r="P595">
        <f>MONTH(Table1[[#This Row],[Date]])</f>
        <v>10</v>
      </c>
    </row>
    <row r="596" spans="1:16" x14ac:dyDescent="0.25">
      <c r="A596" t="s">
        <v>615</v>
      </c>
      <c r="B596" t="s">
        <v>21</v>
      </c>
      <c r="C596" t="s">
        <v>37</v>
      </c>
      <c r="D596" s="1">
        <v>45426</v>
      </c>
      <c r="E596">
        <v>25764</v>
      </c>
      <c r="F596">
        <v>1019</v>
      </c>
      <c r="G596">
        <v>52</v>
      </c>
      <c r="H596" s="4">
        <v>3869.78</v>
      </c>
      <c r="I596" s="4">
        <v>5771.76</v>
      </c>
      <c r="J596" s="7">
        <f>Table1[[#This Row],[Clicks]]/Table1[[#This Row],[Impressions]]</f>
        <v>3.9551311908088804E-2</v>
      </c>
      <c r="K596" s="7">
        <f>IFERROR(Table1[[#This Row],[Conversions]]/Table1[[#This Row],[Clicks]],0)</f>
        <v>5.1030421982335622E-2</v>
      </c>
      <c r="L596" s="6">
        <f>IF(Table1[[#This Row],[Conversions]]=0,0,Table1[[#This Row],[Ad Spend]]/Table1[[#This Row],[Conversions]])</f>
        <v>74.418846153846161</v>
      </c>
      <c r="M596" s="8">
        <f>IF(Table1[[#This Row],[Ad Spend]]=0,0,Table1[[#This Row],[Revenue]]/Table1[[#This Row],[Ad Spend]])</f>
        <v>1.4914956405790509</v>
      </c>
      <c r="N596">
        <f>YEAR(Table1[[#This Row],[Date]])</f>
        <v>2024</v>
      </c>
      <c r="O596" t="str">
        <f>TEXT(Table1[[#This Row],[Date]],"mmm")</f>
        <v>May</v>
      </c>
      <c r="P596">
        <f>MONTH(Table1[[#This Row],[Date]])</f>
        <v>5</v>
      </c>
    </row>
    <row r="597" spans="1:16" x14ac:dyDescent="0.25">
      <c r="A597" t="s">
        <v>616</v>
      </c>
      <c r="B597" t="s">
        <v>34</v>
      </c>
      <c r="C597" t="s">
        <v>19</v>
      </c>
      <c r="D597" s="1">
        <v>45624</v>
      </c>
      <c r="E597">
        <v>144445</v>
      </c>
      <c r="F597">
        <v>9622</v>
      </c>
      <c r="G597">
        <v>708</v>
      </c>
      <c r="H597" s="4">
        <v>4296.71</v>
      </c>
      <c r="I597" s="4">
        <v>27074.43</v>
      </c>
      <c r="J597" s="7">
        <f>Table1[[#This Row],[Clicks]]/Table1[[#This Row],[Impressions]]</f>
        <v>6.6613589947730964E-2</v>
      </c>
      <c r="K597" s="7">
        <f>IFERROR(Table1[[#This Row],[Conversions]]/Table1[[#This Row],[Clicks]],0)</f>
        <v>7.3581376013302849E-2</v>
      </c>
      <c r="L597" s="6">
        <f>IF(Table1[[#This Row],[Conversions]]=0,0,Table1[[#This Row],[Ad Spend]]/Table1[[#This Row],[Conversions]])</f>
        <v>6.0687994350282484</v>
      </c>
      <c r="M597" s="8">
        <f>IF(Table1[[#This Row],[Ad Spend]]=0,0,Table1[[#This Row],[Revenue]]/Table1[[#This Row],[Ad Spend]])</f>
        <v>6.3012002206339268</v>
      </c>
      <c r="N597">
        <f>YEAR(Table1[[#This Row],[Date]])</f>
        <v>2024</v>
      </c>
      <c r="O597" t="str">
        <f>TEXT(Table1[[#This Row],[Date]],"mmm")</f>
        <v>Nov</v>
      </c>
      <c r="P597">
        <f>MONTH(Table1[[#This Row],[Date]])</f>
        <v>11</v>
      </c>
    </row>
    <row r="598" spans="1:16" x14ac:dyDescent="0.25">
      <c r="A598" t="s">
        <v>617</v>
      </c>
      <c r="B598" t="s">
        <v>34</v>
      </c>
      <c r="C598" t="s">
        <v>10</v>
      </c>
      <c r="D598" s="1">
        <v>45618</v>
      </c>
      <c r="E598">
        <v>124365</v>
      </c>
      <c r="F598">
        <v>6621</v>
      </c>
      <c r="G598">
        <v>366</v>
      </c>
      <c r="H598" s="4">
        <v>3189.22</v>
      </c>
      <c r="I598" s="4">
        <v>14193.09</v>
      </c>
      <c r="J598" s="7">
        <f>Table1[[#This Row],[Clicks]]/Table1[[#This Row],[Impressions]]</f>
        <v>5.3238451332770477E-2</v>
      </c>
      <c r="K598" s="7">
        <f>IFERROR(Table1[[#This Row],[Conversions]]/Table1[[#This Row],[Clicks]],0)</f>
        <v>5.5278658812868149E-2</v>
      </c>
      <c r="L598" s="6">
        <f>IF(Table1[[#This Row],[Conversions]]=0,0,Table1[[#This Row],[Ad Spend]]/Table1[[#This Row],[Conversions]])</f>
        <v>8.7137158469945355</v>
      </c>
      <c r="M598" s="8">
        <f>IF(Table1[[#This Row],[Ad Spend]]=0,0,Table1[[#This Row],[Revenue]]/Table1[[#This Row],[Ad Spend]])</f>
        <v>4.4503326832266197</v>
      </c>
      <c r="N598">
        <f>YEAR(Table1[[#This Row],[Date]])</f>
        <v>2024</v>
      </c>
      <c r="O598" t="str">
        <f>TEXT(Table1[[#This Row],[Date]],"mmm")</f>
        <v>Nov</v>
      </c>
      <c r="P598">
        <f>MONTH(Table1[[#This Row],[Date]])</f>
        <v>11</v>
      </c>
    </row>
    <row r="599" spans="1:16" x14ac:dyDescent="0.25">
      <c r="A599" t="s">
        <v>618</v>
      </c>
      <c r="B599" t="s">
        <v>31</v>
      </c>
      <c r="C599" t="s">
        <v>37</v>
      </c>
      <c r="D599" s="1">
        <v>45317</v>
      </c>
      <c r="E599">
        <v>145239</v>
      </c>
      <c r="F599">
        <v>1677</v>
      </c>
      <c r="G599">
        <v>245</v>
      </c>
      <c r="H599" s="4">
        <v>1554.15</v>
      </c>
      <c r="I599" s="4">
        <v>7963.46</v>
      </c>
      <c r="J599" s="7">
        <f>Table1[[#This Row],[Clicks]]/Table1[[#This Row],[Impressions]]</f>
        <v>1.1546485448123438E-2</v>
      </c>
      <c r="K599" s="7">
        <f>IFERROR(Table1[[#This Row],[Conversions]]/Table1[[#This Row],[Clicks]],0)</f>
        <v>0.14609421586165772</v>
      </c>
      <c r="L599" s="6">
        <f>IF(Table1[[#This Row],[Conversions]]=0,0,Table1[[#This Row],[Ad Spend]]/Table1[[#This Row],[Conversions]])</f>
        <v>6.3434693877551025</v>
      </c>
      <c r="M599" s="8">
        <f>IF(Table1[[#This Row],[Ad Spend]]=0,0,Table1[[#This Row],[Revenue]]/Table1[[#This Row],[Ad Spend]])</f>
        <v>5.1239970401827364</v>
      </c>
      <c r="N599">
        <f>YEAR(Table1[[#This Row],[Date]])</f>
        <v>2024</v>
      </c>
      <c r="O599" t="str">
        <f>TEXT(Table1[[#This Row],[Date]],"mmm")</f>
        <v>Jan</v>
      </c>
      <c r="P599">
        <f>MONTH(Table1[[#This Row],[Date]])</f>
        <v>1</v>
      </c>
    </row>
    <row r="600" spans="1:16" x14ac:dyDescent="0.25">
      <c r="A600" t="s">
        <v>619</v>
      </c>
      <c r="B600" t="s">
        <v>41</v>
      </c>
      <c r="C600" t="s">
        <v>10</v>
      </c>
      <c r="D600" s="1">
        <v>45411</v>
      </c>
      <c r="E600">
        <v>28644</v>
      </c>
      <c r="F600">
        <v>588</v>
      </c>
      <c r="G600">
        <v>49</v>
      </c>
      <c r="H600" s="4">
        <v>1841.18</v>
      </c>
      <c r="I600" s="4">
        <v>2506.73</v>
      </c>
      <c r="J600" s="7">
        <f>Table1[[#This Row],[Clicks]]/Table1[[#This Row],[Impressions]]</f>
        <v>2.0527859237536656E-2</v>
      </c>
      <c r="K600" s="7">
        <f>IFERROR(Table1[[#This Row],[Conversions]]/Table1[[#This Row],[Clicks]],0)</f>
        <v>8.3333333333333329E-2</v>
      </c>
      <c r="L600" s="6">
        <f>IF(Table1[[#This Row],[Conversions]]=0,0,Table1[[#This Row],[Ad Spend]]/Table1[[#This Row],[Conversions]])</f>
        <v>37.575102040816326</v>
      </c>
      <c r="M600" s="8">
        <f>IF(Table1[[#This Row],[Ad Spend]]=0,0,Table1[[#This Row],[Revenue]]/Table1[[#This Row],[Ad Spend]])</f>
        <v>1.361480137737755</v>
      </c>
      <c r="N600">
        <f>YEAR(Table1[[#This Row],[Date]])</f>
        <v>2024</v>
      </c>
      <c r="O600" t="str">
        <f>TEXT(Table1[[#This Row],[Date]],"mmm")</f>
        <v>Apr</v>
      </c>
      <c r="P600">
        <f>MONTH(Table1[[#This Row],[Date]])</f>
        <v>4</v>
      </c>
    </row>
    <row r="601" spans="1:16" x14ac:dyDescent="0.25">
      <c r="A601" t="s">
        <v>620</v>
      </c>
      <c r="B601" t="s">
        <v>41</v>
      </c>
      <c r="C601" t="s">
        <v>19</v>
      </c>
      <c r="D601" s="1">
        <v>45529</v>
      </c>
      <c r="E601">
        <v>13319</v>
      </c>
      <c r="F601">
        <v>441</v>
      </c>
      <c r="G601">
        <v>57</v>
      </c>
      <c r="H601" s="4">
        <v>4767.8900000000003</v>
      </c>
      <c r="I601" s="4">
        <v>1459.42</v>
      </c>
      <c r="J601" s="7">
        <f>Table1[[#This Row],[Clicks]]/Table1[[#This Row],[Impressions]]</f>
        <v>3.3110593888430059E-2</v>
      </c>
      <c r="K601" s="7">
        <f>IFERROR(Table1[[#This Row],[Conversions]]/Table1[[#This Row],[Clicks]],0)</f>
        <v>0.12925170068027211</v>
      </c>
      <c r="L601" s="6">
        <f>IF(Table1[[#This Row],[Conversions]]=0,0,Table1[[#This Row],[Ad Spend]]/Table1[[#This Row],[Conversions]])</f>
        <v>83.647192982456147</v>
      </c>
      <c r="M601" s="8">
        <f>IF(Table1[[#This Row],[Ad Spend]]=0,0,Table1[[#This Row],[Revenue]]/Table1[[#This Row],[Ad Spend]])</f>
        <v>0.30609347111615409</v>
      </c>
      <c r="N601">
        <f>YEAR(Table1[[#This Row],[Date]])</f>
        <v>2024</v>
      </c>
      <c r="O601" t="str">
        <f>TEXT(Table1[[#This Row],[Date]],"mmm")</f>
        <v>Aug</v>
      </c>
      <c r="P601">
        <f>MONTH(Table1[[#This Row],[Date]])</f>
        <v>8</v>
      </c>
    </row>
    <row r="602" spans="1:16" x14ac:dyDescent="0.25">
      <c r="A602" t="s">
        <v>621</v>
      </c>
      <c r="B602" t="s">
        <v>21</v>
      </c>
      <c r="C602" t="s">
        <v>10</v>
      </c>
      <c r="D602" s="1">
        <v>45570</v>
      </c>
      <c r="E602">
        <v>128246</v>
      </c>
      <c r="F602">
        <v>2912</v>
      </c>
      <c r="G602">
        <v>397</v>
      </c>
      <c r="H602" s="4">
        <v>1400.38</v>
      </c>
      <c r="I602" s="4">
        <v>23088.62</v>
      </c>
      <c r="J602" s="7">
        <f>Table1[[#This Row],[Clicks]]/Table1[[#This Row],[Impressions]]</f>
        <v>2.2706361212045601E-2</v>
      </c>
      <c r="K602" s="7">
        <f>IFERROR(Table1[[#This Row],[Conversions]]/Table1[[#This Row],[Clicks]],0)</f>
        <v>0.13633241758241757</v>
      </c>
      <c r="L602" s="6">
        <f>IF(Table1[[#This Row],[Conversions]]=0,0,Table1[[#This Row],[Ad Spend]]/Table1[[#This Row],[Conversions]])</f>
        <v>3.5274055415617132</v>
      </c>
      <c r="M602" s="8">
        <f>IF(Table1[[#This Row],[Ad Spend]]=0,0,Table1[[#This Row],[Revenue]]/Table1[[#This Row],[Ad Spend]])</f>
        <v>16.487396278153071</v>
      </c>
      <c r="N602">
        <f>YEAR(Table1[[#This Row],[Date]])</f>
        <v>2024</v>
      </c>
      <c r="O602" t="str">
        <f>TEXT(Table1[[#This Row],[Date]],"mmm")</f>
        <v>Oct</v>
      </c>
      <c r="P602">
        <f>MONTH(Table1[[#This Row],[Date]])</f>
        <v>10</v>
      </c>
    </row>
    <row r="603" spans="1:16" x14ac:dyDescent="0.25">
      <c r="A603" t="s">
        <v>622</v>
      </c>
      <c r="B603" t="s">
        <v>31</v>
      </c>
      <c r="C603" t="s">
        <v>10</v>
      </c>
      <c r="D603" s="1">
        <v>45685</v>
      </c>
      <c r="E603">
        <v>70263</v>
      </c>
      <c r="F603">
        <v>2595</v>
      </c>
      <c r="G603">
        <v>380</v>
      </c>
      <c r="H603" s="4">
        <v>1386.38</v>
      </c>
      <c r="I603" s="4">
        <v>45392.35</v>
      </c>
      <c r="J603" s="7">
        <f>Table1[[#This Row],[Clicks]]/Table1[[#This Row],[Impressions]]</f>
        <v>3.6932667264420821E-2</v>
      </c>
      <c r="K603" s="7">
        <f>IFERROR(Table1[[#This Row],[Conversions]]/Table1[[#This Row],[Clicks]],0)</f>
        <v>0.1464354527938343</v>
      </c>
      <c r="L603" s="6">
        <f>IF(Table1[[#This Row],[Conversions]]=0,0,Table1[[#This Row],[Ad Spend]]/Table1[[#This Row],[Conversions]])</f>
        <v>3.6483684210526319</v>
      </c>
      <c r="M603" s="8">
        <f>IF(Table1[[#This Row],[Ad Spend]]=0,0,Table1[[#This Row],[Revenue]]/Table1[[#This Row],[Ad Spend]])</f>
        <v>32.741636492159437</v>
      </c>
      <c r="N603">
        <f>YEAR(Table1[[#This Row],[Date]])</f>
        <v>2025</v>
      </c>
      <c r="O603" t="str">
        <f>TEXT(Table1[[#This Row],[Date]],"mmm")</f>
        <v>Jan</v>
      </c>
      <c r="P603">
        <f>MONTH(Table1[[#This Row],[Date]])</f>
        <v>1</v>
      </c>
    </row>
    <row r="604" spans="1:16" x14ac:dyDescent="0.25">
      <c r="A604" t="s">
        <v>623</v>
      </c>
      <c r="B604" t="s">
        <v>14</v>
      </c>
      <c r="C604" t="s">
        <v>17</v>
      </c>
      <c r="D604" s="1">
        <v>45668</v>
      </c>
      <c r="E604">
        <v>29631</v>
      </c>
      <c r="F604">
        <v>1377</v>
      </c>
      <c r="G604">
        <v>203</v>
      </c>
      <c r="H604" s="4">
        <v>2469.56</v>
      </c>
      <c r="I604" s="4">
        <v>17893.28</v>
      </c>
      <c r="J604" s="7">
        <f>Table1[[#This Row],[Clicks]]/Table1[[#This Row],[Impressions]]</f>
        <v>4.6471600688468159E-2</v>
      </c>
      <c r="K604" s="7">
        <f>IFERROR(Table1[[#This Row],[Conversions]]/Table1[[#This Row],[Clicks]],0)</f>
        <v>0.14742193173565724</v>
      </c>
      <c r="L604" s="6">
        <f>IF(Table1[[#This Row],[Conversions]]=0,0,Table1[[#This Row],[Ad Spend]]/Table1[[#This Row],[Conversions]])</f>
        <v>12.165320197044334</v>
      </c>
      <c r="M604" s="8">
        <f>IF(Table1[[#This Row],[Ad Spend]]=0,0,Table1[[#This Row],[Revenue]]/Table1[[#This Row],[Ad Spend]])</f>
        <v>7.2455336173245435</v>
      </c>
      <c r="N604">
        <f>YEAR(Table1[[#This Row],[Date]])</f>
        <v>2025</v>
      </c>
      <c r="O604" t="str">
        <f>TEXT(Table1[[#This Row],[Date]],"mmm")</f>
        <v>Jan</v>
      </c>
      <c r="P604">
        <f>MONTH(Table1[[#This Row],[Date]])</f>
        <v>1</v>
      </c>
    </row>
    <row r="605" spans="1:16" x14ac:dyDescent="0.25">
      <c r="A605" t="s">
        <v>624</v>
      </c>
      <c r="B605" t="s">
        <v>34</v>
      </c>
      <c r="C605" t="s">
        <v>19</v>
      </c>
      <c r="D605" s="1">
        <v>45373</v>
      </c>
      <c r="E605">
        <v>16058</v>
      </c>
      <c r="F605">
        <v>997</v>
      </c>
      <c r="G605">
        <v>91</v>
      </c>
      <c r="H605" s="4">
        <v>786.28</v>
      </c>
      <c r="I605" s="4">
        <v>6199.19</v>
      </c>
      <c r="J605" s="7">
        <f>Table1[[#This Row],[Clicks]]/Table1[[#This Row],[Impressions]]</f>
        <v>6.2087433055174994E-2</v>
      </c>
      <c r="K605" s="7">
        <f>IFERROR(Table1[[#This Row],[Conversions]]/Table1[[#This Row],[Clicks]],0)</f>
        <v>9.1273821464393182E-2</v>
      </c>
      <c r="L605" s="6">
        <f>IF(Table1[[#This Row],[Conversions]]=0,0,Table1[[#This Row],[Ad Spend]]/Table1[[#This Row],[Conversions]])</f>
        <v>8.6404395604395603</v>
      </c>
      <c r="M605" s="8">
        <f>IF(Table1[[#This Row],[Ad Spend]]=0,0,Table1[[#This Row],[Revenue]]/Table1[[#This Row],[Ad Spend]])</f>
        <v>7.8842015566973593</v>
      </c>
      <c r="N605">
        <f>YEAR(Table1[[#This Row],[Date]])</f>
        <v>2024</v>
      </c>
      <c r="O605" t="str">
        <f>TEXT(Table1[[#This Row],[Date]],"mmm")</f>
        <v>Mar</v>
      </c>
      <c r="P605">
        <f>MONTH(Table1[[#This Row],[Date]])</f>
        <v>3</v>
      </c>
    </row>
    <row r="606" spans="1:16" x14ac:dyDescent="0.25">
      <c r="A606" t="s">
        <v>625</v>
      </c>
      <c r="B606" t="s">
        <v>34</v>
      </c>
      <c r="C606" t="s">
        <v>37</v>
      </c>
      <c r="D606" s="1">
        <v>45476</v>
      </c>
      <c r="E606">
        <v>18654</v>
      </c>
      <c r="F606">
        <v>1314</v>
      </c>
      <c r="G606">
        <v>63</v>
      </c>
      <c r="H606" s="4">
        <v>742.06</v>
      </c>
      <c r="I606" s="4">
        <v>5247.33</v>
      </c>
      <c r="J606" s="7">
        <f>Table1[[#This Row],[Clicks]]/Table1[[#This Row],[Impressions]]</f>
        <v>7.0440656159536832E-2</v>
      </c>
      <c r="K606" s="7">
        <f>IFERROR(Table1[[#This Row],[Conversions]]/Table1[[#This Row],[Clicks]],0)</f>
        <v>4.7945205479452052E-2</v>
      </c>
      <c r="L606" s="6">
        <f>IF(Table1[[#This Row],[Conversions]]=0,0,Table1[[#This Row],[Ad Spend]]/Table1[[#This Row],[Conversions]])</f>
        <v>11.778730158730157</v>
      </c>
      <c r="M606" s="8">
        <f>IF(Table1[[#This Row],[Ad Spend]]=0,0,Table1[[#This Row],[Revenue]]/Table1[[#This Row],[Ad Spend]])</f>
        <v>7.0713015120071159</v>
      </c>
      <c r="N606">
        <f>YEAR(Table1[[#This Row],[Date]])</f>
        <v>2024</v>
      </c>
      <c r="O606" t="str">
        <f>TEXT(Table1[[#This Row],[Date]],"mmm")</f>
        <v>Jul</v>
      </c>
      <c r="P606">
        <f>MONTH(Table1[[#This Row],[Date]])</f>
        <v>7</v>
      </c>
    </row>
    <row r="607" spans="1:16" x14ac:dyDescent="0.25">
      <c r="A607" t="s">
        <v>626</v>
      </c>
      <c r="B607" t="s">
        <v>47</v>
      </c>
      <c r="C607" t="s">
        <v>10</v>
      </c>
      <c r="D607" s="1">
        <v>45377</v>
      </c>
      <c r="E607">
        <v>77377</v>
      </c>
      <c r="F607">
        <v>3940</v>
      </c>
      <c r="G607">
        <v>281</v>
      </c>
      <c r="H607" s="4">
        <v>1366.83</v>
      </c>
      <c r="I607" s="4">
        <v>32844.26</v>
      </c>
      <c r="J607" s="7">
        <f>Table1[[#This Row],[Clicks]]/Table1[[#This Row],[Impressions]]</f>
        <v>5.0919523889527897E-2</v>
      </c>
      <c r="K607" s="7">
        <f>IFERROR(Table1[[#This Row],[Conversions]]/Table1[[#This Row],[Clicks]],0)</f>
        <v>7.1319796954314715E-2</v>
      </c>
      <c r="L607" s="6">
        <f>IF(Table1[[#This Row],[Conversions]]=0,0,Table1[[#This Row],[Ad Spend]]/Table1[[#This Row],[Conversions]])</f>
        <v>4.8641637010676151</v>
      </c>
      <c r="M607" s="8">
        <f>IF(Table1[[#This Row],[Ad Spend]]=0,0,Table1[[#This Row],[Revenue]]/Table1[[#This Row],[Ad Spend]])</f>
        <v>24.029513545942073</v>
      </c>
      <c r="N607">
        <f>YEAR(Table1[[#This Row],[Date]])</f>
        <v>2024</v>
      </c>
      <c r="O607" t="str">
        <f>TEXT(Table1[[#This Row],[Date]],"mmm")</f>
        <v>Mar</v>
      </c>
      <c r="P607">
        <f>MONTH(Table1[[#This Row],[Date]])</f>
        <v>3</v>
      </c>
    </row>
    <row r="608" spans="1:16" x14ac:dyDescent="0.25">
      <c r="A608" t="s">
        <v>627</v>
      </c>
      <c r="B608" t="s">
        <v>41</v>
      </c>
      <c r="C608" t="s">
        <v>12</v>
      </c>
      <c r="D608" s="1">
        <v>45371</v>
      </c>
      <c r="E608">
        <v>102359</v>
      </c>
      <c r="F608">
        <v>6546</v>
      </c>
      <c r="G608">
        <v>342</v>
      </c>
      <c r="H608" s="4">
        <v>2599.61</v>
      </c>
      <c r="I608" s="4">
        <v>30299.31</v>
      </c>
      <c r="J608" s="7">
        <f>Table1[[#This Row],[Clicks]]/Table1[[#This Row],[Impressions]]</f>
        <v>6.3951386785724748E-2</v>
      </c>
      <c r="K608" s="7">
        <f>IFERROR(Table1[[#This Row],[Conversions]]/Table1[[#This Row],[Clicks]],0)</f>
        <v>5.2245646196150318E-2</v>
      </c>
      <c r="L608" s="6">
        <f>IF(Table1[[#This Row],[Conversions]]=0,0,Table1[[#This Row],[Ad Spend]]/Table1[[#This Row],[Conversions]])</f>
        <v>7.6011988304093574</v>
      </c>
      <c r="M608" s="8">
        <f>IF(Table1[[#This Row],[Ad Spend]]=0,0,Table1[[#This Row],[Revenue]]/Table1[[#This Row],[Ad Spend]])</f>
        <v>11.655329068591058</v>
      </c>
      <c r="N608">
        <f>YEAR(Table1[[#This Row],[Date]])</f>
        <v>2024</v>
      </c>
      <c r="O608" t="str">
        <f>TEXT(Table1[[#This Row],[Date]],"mmm")</f>
        <v>Mar</v>
      </c>
      <c r="P608">
        <f>MONTH(Table1[[#This Row],[Date]])</f>
        <v>3</v>
      </c>
    </row>
    <row r="609" spans="1:16" x14ac:dyDescent="0.25">
      <c r="A609" t="s">
        <v>628</v>
      </c>
      <c r="B609" t="s">
        <v>47</v>
      </c>
      <c r="C609" t="s">
        <v>10</v>
      </c>
      <c r="D609" s="1">
        <v>45322</v>
      </c>
      <c r="E609">
        <v>98196</v>
      </c>
      <c r="F609">
        <v>5412</v>
      </c>
      <c r="G609">
        <v>601</v>
      </c>
      <c r="H609" s="4">
        <v>3999.04</v>
      </c>
      <c r="I609" s="4">
        <v>19582.23</v>
      </c>
      <c r="J609" s="7">
        <f>Table1[[#This Row],[Clicks]]/Table1[[#This Row],[Impressions]]</f>
        <v>5.5114261273371622E-2</v>
      </c>
      <c r="K609" s="7">
        <f>IFERROR(Table1[[#This Row],[Conversions]]/Table1[[#This Row],[Clicks]],0)</f>
        <v>0.11104951958610496</v>
      </c>
      <c r="L609" s="6">
        <f>IF(Table1[[#This Row],[Conversions]]=0,0,Table1[[#This Row],[Ad Spend]]/Table1[[#This Row],[Conversions]])</f>
        <v>6.653976705490849</v>
      </c>
      <c r="M609" s="8">
        <f>IF(Table1[[#This Row],[Ad Spend]]=0,0,Table1[[#This Row],[Revenue]]/Table1[[#This Row],[Ad Spend]])</f>
        <v>4.8967327158518046</v>
      </c>
      <c r="N609">
        <f>YEAR(Table1[[#This Row],[Date]])</f>
        <v>2024</v>
      </c>
      <c r="O609" t="str">
        <f>TEXT(Table1[[#This Row],[Date]],"mmm")</f>
        <v>Jan</v>
      </c>
      <c r="P609">
        <f>MONTH(Table1[[#This Row],[Date]])</f>
        <v>1</v>
      </c>
    </row>
    <row r="610" spans="1:16" x14ac:dyDescent="0.25">
      <c r="A610" t="s">
        <v>629</v>
      </c>
      <c r="B610" t="s">
        <v>14</v>
      </c>
      <c r="C610" t="s">
        <v>19</v>
      </c>
      <c r="D610" s="1">
        <v>45577</v>
      </c>
      <c r="E610">
        <v>96047</v>
      </c>
      <c r="F610">
        <v>6376</v>
      </c>
      <c r="G610">
        <v>491</v>
      </c>
      <c r="H610" s="4">
        <v>1126.23</v>
      </c>
      <c r="I610" s="4">
        <v>43662.17</v>
      </c>
      <c r="J610" s="7">
        <f>Table1[[#This Row],[Clicks]]/Table1[[#This Row],[Impressions]]</f>
        <v>6.6384166085354052E-2</v>
      </c>
      <c r="K610" s="7">
        <f>IFERROR(Table1[[#This Row],[Conversions]]/Table1[[#This Row],[Clicks]],0)</f>
        <v>7.7007528230865749E-2</v>
      </c>
      <c r="L610" s="6">
        <f>IF(Table1[[#This Row],[Conversions]]=0,0,Table1[[#This Row],[Ad Spend]]/Table1[[#This Row],[Conversions]])</f>
        <v>2.2937474541751528</v>
      </c>
      <c r="M610" s="8">
        <f>IF(Table1[[#This Row],[Ad Spend]]=0,0,Table1[[#This Row],[Revenue]]/Table1[[#This Row],[Ad Spend]])</f>
        <v>38.768430959928253</v>
      </c>
      <c r="N610">
        <f>YEAR(Table1[[#This Row],[Date]])</f>
        <v>2024</v>
      </c>
      <c r="O610" t="str">
        <f>TEXT(Table1[[#This Row],[Date]],"mmm")</f>
        <v>Oct</v>
      </c>
      <c r="P610">
        <f>MONTH(Table1[[#This Row],[Date]])</f>
        <v>10</v>
      </c>
    </row>
    <row r="611" spans="1:16" x14ac:dyDescent="0.25">
      <c r="A611" t="s">
        <v>630</v>
      </c>
      <c r="B611" t="s">
        <v>47</v>
      </c>
      <c r="C611" t="s">
        <v>37</v>
      </c>
      <c r="D611" s="1">
        <v>45420</v>
      </c>
      <c r="E611">
        <v>15351</v>
      </c>
      <c r="F611">
        <v>675</v>
      </c>
      <c r="G611">
        <v>51</v>
      </c>
      <c r="H611" s="4">
        <v>1614.63</v>
      </c>
      <c r="I611" s="4">
        <v>4574.8900000000003</v>
      </c>
      <c r="J611" s="7">
        <f>Table1[[#This Row],[Clicks]]/Table1[[#This Row],[Impressions]]</f>
        <v>4.3971076802814146E-2</v>
      </c>
      <c r="K611" s="7">
        <f>IFERROR(Table1[[#This Row],[Conversions]]/Table1[[#This Row],[Clicks]],0)</f>
        <v>7.5555555555555556E-2</v>
      </c>
      <c r="L611" s="6">
        <f>IF(Table1[[#This Row],[Conversions]]=0,0,Table1[[#This Row],[Ad Spend]]/Table1[[#This Row],[Conversions]])</f>
        <v>31.659411764705883</v>
      </c>
      <c r="M611" s="8">
        <f>IF(Table1[[#This Row],[Ad Spend]]=0,0,Table1[[#This Row],[Revenue]]/Table1[[#This Row],[Ad Spend]])</f>
        <v>2.8333983637118103</v>
      </c>
      <c r="N611">
        <f>YEAR(Table1[[#This Row],[Date]])</f>
        <v>2024</v>
      </c>
      <c r="O611" t="str">
        <f>TEXT(Table1[[#This Row],[Date]],"mmm")</f>
        <v>May</v>
      </c>
      <c r="P611">
        <f>MONTH(Table1[[#This Row],[Date]])</f>
        <v>5</v>
      </c>
    </row>
    <row r="612" spans="1:16" x14ac:dyDescent="0.25">
      <c r="A612" t="s">
        <v>631</v>
      </c>
      <c r="B612" t="s">
        <v>14</v>
      </c>
      <c r="C612" t="s">
        <v>12</v>
      </c>
      <c r="D612" s="1">
        <v>45387</v>
      </c>
      <c r="E612">
        <v>147506</v>
      </c>
      <c r="F612">
        <v>5064</v>
      </c>
      <c r="G612">
        <v>583</v>
      </c>
      <c r="H612" s="4">
        <v>1521.56</v>
      </c>
      <c r="I612" s="4">
        <v>60127.68</v>
      </c>
      <c r="J612" s="7">
        <f>Table1[[#This Row],[Clicks]]/Table1[[#This Row],[Impressions]]</f>
        <v>3.4330806882431904E-2</v>
      </c>
      <c r="K612" s="7">
        <f>IFERROR(Table1[[#This Row],[Conversions]]/Table1[[#This Row],[Clicks]],0)</f>
        <v>0.11512638230647709</v>
      </c>
      <c r="L612" s="6">
        <f>IF(Table1[[#This Row],[Conversions]]=0,0,Table1[[#This Row],[Ad Spend]]/Table1[[#This Row],[Conversions]])</f>
        <v>2.6098799313893655</v>
      </c>
      <c r="M612" s="8">
        <f>IF(Table1[[#This Row],[Ad Spend]]=0,0,Table1[[#This Row],[Revenue]]/Table1[[#This Row],[Ad Spend]])</f>
        <v>39.517127158968428</v>
      </c>
      <c r="N612">
        <f>YEAR(Table1[[#This Row],[Date]])</f>
        <v>2024</v>
      </c>
      <c r="O612" t="str">
        <f>TEXT(Table1[[#This Row],[Date]],"mmm")</f>
        <v>Apr</v>
      </c>
      <c r="P612">
        <f>MONTH(Table1[[#This Row],[Date]])</f>
        <v>4</v>
      </c>
    </row>
    <row r="613" spans="1:16" x14ac:dyDescent="0.25">
      <c r="A613" t="s">
        <v>632</v>
      </c>
      <c r="B613" t="s">
        <v>16</v>
      </c>
      <c r="C613" t="s">
        <v>10</v>
      </c>
      <c r="D613" s="1">
        <v>45563</v>
      </c>
      <c r="E613">
        <v>45638</v>
      </c>
      <c r="F613">
        <v>1892</v>
      </c>
      <c r="G613">
        <v>239</v>
      </c>
      <c r="H613" s="4">
        <v>2799.71</v>
      </c>
      <c r="I613" s="4">
        <v>15632.49</v>
      </c>
      <c r="J613" s="7">
        <f>Table1[[#This Row],[Clicks]]/Table1[[#This Row],[Impressions]]</f>
        <v>4.1456680836145315E-2</v>
      </c>
      <c r="K613" s="7">
        <f>IFERROR(Table1[[#This Row],[Conversions]]/Table1[[#This Row],[Clicks]],0)</f>
        <v>0.1263213530655391</v>
      </c>
      <c r="L613" s="6">
        <f>IF(Table1[[#This Row],[Conversions]]=0,0,Table1[[#This Row],[Ad Spend]]/Table1[[#This Row],[Conversions]])</f>
        <v>11.714267782426779</v>
      </c>
      <c r="M613" s="8">
        <f>IF(Table1[[#This Row],[Ad Spend]]=0,0,Table1[[#This Row],[Revenue]]/Table1[[#This Row],[Ad Spend]])</f>
        <v>5.5836104453675555</v>
      </c>
      <c r="N613">
        <f>YEAR(Table1[[#This Row],[Date]])</f>
        <v>2024</v>
      </c>
      <c r="O613" t="str">
        <f>TEXT(Table1[[#This Row],[Date]],"mmm")</f>
        <v>Sept</v>
      </c>
      <c r="P613">
        <f>MONTH(Table1[[#This Row],[Date]])</f>
        <v>9</v>
      </c>
    </row>
    <row r="614" spans="1:16" x14ac:dyDescent="0.25">
      <c r="A614" t="s">
        <v>633</v>
      </c>
      <c r="B614" t="s">
        <v>21</v>
      </c>
      <c r="C614" t="s">
        <v>37</v>
      </c>
      <c r="D614" s="1">
        <v>45301</v>
      </c>
      <c r="E614">
        <v>100440</v>
      </c>
      <c r="F614">
        <v>6460</v>
      </c>
      <c r="G614">
        <v>329</v>
      </c>
      <c r="H614" s="4">
        <v>3660.82</v>
      </c>
      <c r="I614" s="4">
        <v>28237.72</v>
      </c>
      <c r="J614" s="7">
        <f>Table1[[#This Row],[Clicks]]/Table1[[#This Row],[Impressions]]</f>
        <v>6.4317005177220235E-2</v>
      </c>
      <c r="K614" s="7">
        <f>IFERROR(Table1[[#This Row],[Conversions]]/Table1[[#This Row],[Clicks]],0)</f>
        <v>5.0928792569659445E-2</v>
      </c>
      <c r="L614" s="6">
        <f>IF(Table1[[#This Row],[Conversions]]=0,0,Table1[[#This Row],[Ad Spend]]/Table1[[#This Row],[Conversions]])</f>
        <v>11.12711246200608</v>
      </c>
      <c r="M614" s="8">
        <f>IF(Table1[[#This Row],[Ad Spend]]=0,0,Table1[[#This Row],[Revenue]]/Table1[[#This Row],[Ad Spend]])</f>
        <v>7.7134958834359511</v>
      </c>
      <c r="N614">
        <f>YEAR(Table1[[#This Row],[Date]])</f>
        <v>2024</v>
      </c>
      <c r="O614" t="str">
        <f>TEXT(Table1[[#This Row],[Date]],"mmm")</f>
        <v>Jan</v>
      </c>
      <c r="P614">
        <f>MONTH(Table1[[#This Row],[Date]])</f>
        <v>1</v>
      </c>
    </row>
    <row r="615" spans="1:16" x14ac:dyDescent="0.25">
      <c r="A615" t="s">
        <v>634</v>
      </c>
      <c r="B615" t="s">
        <v>21</v>
      </c>
      <c r="C615" t="s">
        <v>37</v>
      </c>
      <c r="D615" s="1">
        <v>45560</v>
      </c>
      <c r="E615">
        <v>135429</v>
      </c>
      <c r="F615">
        <v>8613</v>
      </c>
      <c r="G615">
        <v>344</v>
      </c>
      <c r="H615" s="4">
        <v>1559.02</v>
      </c>
      <c r="I615" s="4">
        <v>20977.279999999999</v>
      </c>
      <c r="J615" s="7">
        <f>Table1[[#This Row],[Clicks]]/Table1[[#This Row],[Impressions]]</f>
        <v>6.3597900006645544E-2</v>
      </c>
      <c r="K615" s="7">
        <f>IFERROR(Table1[[#This Row],[Conversions]]/Table1[[#This Row],[Clicks]],0)</f>
        <v>3.9939626146522696E-2</v>
      </c>
      <c r="L615" s="6">
        <f>IF(Table1[[#This Row],[Conversions]]=0,0,Table1[[#This Row],[Ad Spend]]/Table1[[#This Row],[Conversions]])</f>
        <v>4.5320348837209306</v>
      </c>
      <c r="M615" s="8">
        <f>IF(Table1[[#This Row],[Ad Spend]]=0,0,Table1[[#This Row],[Revenue]]/Table1[[#This Row],[Ad Spend]])</f>
        <v>13.455427127297916</v>
      </c>
      <c r="N615">
        <f>YEAR(Table1[[#This Row],[Date]])</f>
        <v>2024</v>
      </c>
      <c r="O615" t="str">
        <f>TEXT(Table1[[#This Row],[Date]],"mmm")</f>
        <v>Sept</v>
      </c>
      <c r="P615">
        <f>MONTH(Table1[[#This Row],[Date]])</f>
        <v>9</v>
      </c>
    </row>
    <row r="616" spans="1:16" x14ac:dyDescent="0.25">
      <c r="A616" t="s">
        <v>635</v>
      </c>
      <c r="B616" t="s">
        <v>47</v>
      </c>
      <c r="C616" t="s">
        <v>10</v>
      </c>
      <c r="D616" s="1">
        <v>45341</v>
      </c>
      <c r="E616">
        <v>142153</v>
      </c>
      <c r="F616">
        <v>7977</v>
      </c>
      <c r="G616">
        <v>204</v>
      </c>
      <c r="H616" s="4">
        <v>4701.4399999999996</v>
      </c>
      <c r="I616" s="4">
        <v>7724.23</v>
      </c>
      <c r="J616" s="7">
        <f>Table1[[#This Row],[Clicks]]/Table1[[#This Row],[Impressions]]</f>
        <v>5.6115593761651178E-2</v>
      </c>
      <c r="K616" s="7">
        <f>IFERROR(Table1[[#This Row],[Conversions]]/Table1[[#This Row],[Clicks]],0)</f>
        <v>2.5573523881158331E-2</v>
      </c>
      <c r="L616" s="6">
        <f>IF(Table1[[#This Row],[Conversions]]=0,0,Table1[[#This Row],[Ad Spend]]/Table1[[#This Row],[Conversions]])</f>
        <v>23.046274509803919</v>
      </c>
      <c r="M616" s="8">
        <f>IF(Table1[[#This Row],[Ad Spend]]=0,0,Table1[[#This Row],[Revenue]]/Table1[[#This Row],[Ad Spend]])</f>
        <v>1.6429498196297305</v>
      </c>
      <c r="N616">
        <f>YEAR(Table1[[#This Row],[Date]])</f>
        <v>2024</v>
      </c>
      <c r="O616" t="str">
        <f>TEXT(Table1[[#This Row],[Date]],"mmm")</f>
        <v>Feb</v>
      </c>
      <c r="P616">
        <f>MONTH(Table1[[#This Row],[Date]])</f>
        <v>2</v>
      </c>
    </row>
    <row r="617" spans="1:16" x14ac:dyDescent="0.25">
      <c r="A617" t="s">
        <v>636</v>
      </c>
      <c r="B617" t="s">
        <v>31</v>
      </c>
      <c r="C617" t="s">
        <v>37</v>
      </c>
      <c r="D617" s="1">
        <v>45346</v>
      </c>
      <c r="E617">
        <v>132236</v>
      </c>
      <c r="F617">
        <v>3096</v>
      </c>
      <c r="G617">
        <v>74</v>
      </c>
      <c r="H617" s="4">
        <v>3280.41</v>
      </c>
      <c r="I617" s="4">
        <v>4355.63</v>
      </c>
      <c r="J617" s="7">
        <f>Table1[[#This Row],[Clicks]]/Table1[[#This Row],[Impressions]]</f>
        <v>2.3412686409147281E-2</v>
      </c>
      <c r="K617" s="7">
        <f>IFERROR(Table1[[#This Row],[Conversions]]/Table1[[#This Row],[Clicks]],0)</f>
        <v>2.3901808785529714E-2</v>
      </c>
      <c r="L617" s="6">
        <f>IF(Table1[[#This Row],[Conversions]]=0,0,Table1[[#This Row],[Ad Spend]]/Table1[[#This Row],[Conversions]])</f>
        <v>44.329864864864859</v>
      </c>
      <c r="M617" s="8">
        <f>IF(Table1[[#This Row],[Ad Spend]]=0,0,Table1[[#This Row],[Revenue]]/Table1[[#This Row],[Ad Spend]])</f>
        <v>1.3277700043592113</v>
      </c>
      <c r="N617">
        <f>YEAR(Table1[[#This Row],[Date]])</f>
        <v>2024</v>
      </c>
      <c r="O617" t="str">
        <f>TEXT(Table1[[#This Row],[Date]],"mmm")</f>
        <v>Feb</v>
      </c>
      <c r="P617">
        <f>MONTH(Table1[[#This Row],[Date]])</f>
        <v>2</v>
      </c>
    </row>
    <row r="618" spans="1:16" x14ac:dyDescent="0.25">
      <c r="A618" t="s">
        <v>637</v>
      </c>
      <c r="B618" t="s">
        <v>41</v>
      </c>
      <c r="C618" t="s">
        <v>12</v>
      </c>
      <c r="D618" s="1">
        <v>45611</v>
      </c>
      <c r="E618">
        <v>72092</v>
      </c>
      <c r="F618">
        <v>968</v>
      </c>
      <c r="G618">
        <v>47</v>
      </c>
      <c r="H618" s="4">
        <v>3645.66</v>
      </c>
      <c r="I618" s="4">
        <v>1001.5</v>
      </c>
      <c r="J618" s="7">
        <f>Table1[[#This Row],[Clicks]]/Table1[[#This Row],[Impressions]]</f>
        <v>1.342728735504633E-2</v>
      </c>
      <c r="K618" s="7">
        <f>IFERROR(Table1[[#This Row],[Conversions]]/Table1[[#This Row],[Clicks]],0)</f>
        <v>4.8553719008264461E-2</v>
      </c>
      <c r="L618" s="6">
        <f>IF(Table1[[#This Row],[Conversions]]=0,0,Table1[[#This Row],[Ad Spend]]/Table1[[#This Row],[Conversions]])</f>
        <v>77.567234042553181</v>
      </c>
      <c r="M618" s="8">
        <f>IF(Table1[[#This Row],[Ad Spend]]=0,0,Table1[[#This Row],[Revenue]]/Table1[[#This Row],[Ad Spend]])</f>
        <v>0.27471020336509716</v>
      </c>
      <c r="N618">
        <f>YEAR(Table1[[#This Row],[Date]])</f>
        <v>2024</v>
      </c>
      <c r="O618" t="str">
        <f>TEXT(Table1[[#This Row],[Date]],"mmm")</f>
        <v>Nov</v>
      </c>
      <c r="P618">
        <f>MONTH(Table1[[#This Row],[Date]])</f>
        <v>11</v>
      </c>
    </row>
    <row r="619" spans="1:16" x14ac:dyDescent="0.25">
      <c r="A619" t="s">
        <v>638</v>
      </c>
      <c r="B619" t="s">
        <v>14</v>
      </c>
      <c r="C619" t="s">
        <v>17</v>
      </c>
      <c r="D619" s="1">
        <v>45332</v>
      </c>
      <c r="E619">
        <v>127698</v>
      </c>
      <c r="F619">
        <v>8437</v>
      </c>
      <c r="G619">
        <v>235</v>
      </c>
      <c r="H619" s="4">
        <v>2878.5</v>
      </c>
      <c r="I619" s="4">
        <v>26748.73</v>
      </c>
      <c r="J619" s="7">
        <f>Table1[[#This Row],[Clicks]]/Table1[[#This Row],[Impressions]]</f>
        <v>6.6069946279503203E-2</v>
      </c>
      <c r="K619" s="7">
        <f>IFERROR(Table1[[#This Row],[Conversions]]/Table1[[#This Row],[Clicks]],0)</f>
        <v>2.7853502429773615E-2</v>
      </c>
      <c r="L619" s="6">
        <f>IF(Table1[[#This Row],[Conversions]]=0,0,Table1[[#This Row],[Ad Spend]]/Table1[[#This Row],[Conversions]])</f>
        <v>12.248936170212765</v>
      </c>
      <c r="M619" s="8">
        <f>IF(Table1[[#This Row],[Ad Spend]]=0,0,Table1[[#This Row],[Revenue]]/Table1[[#This Row],[Ad Spend]])</f>
        <v>9.2925933645996182</v>
      </c>
      <c r="N619">
        <f>YEAR(Table1[[#This Row],[Date]])</f>
        <v>2024</v>
      </c>
      <c r="O619" t="str">
        <f>TEXT(Table1[[#This Row],[Date]],"mmm")</f>
        <v>Feb</v>
      </c>
      <c r="P619">
        <f>MONTH(Table1[[#This Row],[Date]])</f>
        <v>2</v>
      </c>
    </row>
    <row r="620" spans="1:16" x14ac:dyDescent="0.25">
      <c r="A620" t="s">
        <v>639</v>
      </c>
      <c r="B620" t="s">
        <v>21</v>
      </c>
      <c r="C620" t="s">
        <v>19</v>
      </c>
      <c r="D620" s="1">
        <v>45698</v>
      </c>
      <c r="E620">
        <v>20283</v>
      </c>
      <c r="F620">
        <v>1372</v>
      </c>
      <c r="G620">
        <v>74</v>
      </c>
      <c r="H620" s="4">
        <v>395.14</v>
      </c>
      <c r="I620" s="4">
        <v>2000.87</v>
      </c>
      <c r="J620" s="7">
        <f>Table1[[#This Row],[Clicks]]/Table1[[#This Row],[Impressions]]</f>
        <v>6.7642853621259186E-2</v>
      </c>
      <c r="K620" s="7">
        <f>IFERROR(Table1[[#This Row],[Conversions]]/Table1[[#This Row],[Clicks]],0)</f>
        <v>5.393586005830904E-2</v>
      </c>
      <c r="L620" s="6">
        <f>IF(Table1[[#This Row],[Conversions]]=0,0,Table1[[#This Row],[Ad Spend]]/Table1[[#This Row],[Conversions]])</f>
        <v>5.3397297297297293</v>
      </c>
      <c r="M620" s="8">
        <f>IF(Table1[[#This Row],[Ad Spend]]=0,0,Table1[[#This Row],[Revenue]]/Table1[[#This Row],[Ad Spend]])</f>
        <v>5.063698942147087</v>
      </c>
      <c r="N620">
        <f>YEAR(Table1[[#This Row],[Date]])</f>
        <v>2025</v>
      </c>
      <c r="O620" t="str">
        <f>TEXT(Table1[[#This Row],[Date]],"mmm")</f>
        <v>Feb</v>
      </c>
      <c r="P620">
        <f>MONTH(Table1[[#This Row],[Date]])</f>
        <v>2</v>
      </c>
    </row>
    <row r="621" spans="1:16" x14ac:dyDescent="0.25">
      <c r="A621" t="s">
        <v>640</v>
      </c>
      <c r="B621" t="s">
        <v>34</v>
      </c>
      <c r="C621" t="s">
        <v>10</v>
      </c>
      <c r="D621" s="1">
        <v>45402</v>
      </c>
      <c r="E621">
        <v>141179</v>
      </c>
      <c r="F621">
        <v>2371</v>
      </c>
      <c r="G621">
        <v>270</v>
      </c>
      <c r="H621" s="4">
        <v>2751.97</v>
      </c>
      <c r="I621" s="4">
        <v>10515.43</v>
      </c>
      <c r="J621" s="7">
        <f>Table1[[#This Row],[Clicks]]/Table1[[#This Row],[Impressions]]</f>
        <v>1.6794282435773026E-2</v>
      </c>
      <c r="K621" s="7">
        <f>IFERROR(Table1[[#This Row],[Conversions]]/Table1[[#This Row],[Clicks]],0)</f>
        <v>0.11387600168705188</v>
      </c>
      <c r="L621" s="6">
        <f>IF(Table1[[#This Row],[Conversions]]=0,0,Table1[[#This Row],[Ad Spend]]/Table1[[#This Row],[Conversions]])</f>
        <v>10.192481481481481</v>
      </c>
      <c r="M621" s="8">
        <f>IF(Table1[[#This Row],[Ad Spend]]=0,0,Table1[[#This Row],[Revenue]]/Table1[[#This Row],[Ad Spend]])</f>
        <v>3.82105546208716</v>
      </c>
      <c r="N621">
        <f>YEAR(Table1[[#This Row],[Date]])</f>
        <v>2024</v>
      </c>
      <c r="O621" t="str">
        <f>TEXT(Table1[[#This Row],[Date]],"mmm")</f>
        <v>Apr</v>
      </c>
      <c r="P621">
        <f>MONTH(Table1[[#This Row],[Date]])</f>
        <v>4</v>
      </c>
    </row>
    <row r="622" spans="1:16" x14ac:dyDescent="0.25">
      <c r="A622" t="s">
        <v>641</v>
      </c>
      <c r="B622" t="s">
        <v>14</v>
      </c>
      <c r="C622" t="s">
        <v>12</v>
      </c>
      <c r="D622" s="1">
        <v>45612</v>
      </c>
      <c r="E622">
        <v>51897</v>
      </c>
      <c r="F622">
        <v>2547</v>
      </c>
      <c r="G622">
        <v>235</v>
      </c>
      <c r="H622" s="4">
        <v>3781.32</v>
      </c>
      <c r="I622" s="4">
        <v>22707.66</v>
      </c>
      <c r="J622" s="7">
        <f>Table1[[#This Row],[Clicks]]/Table1[[#This Row],[Impressions]]</f>
        <v>4.9077981386207295E-2</v>
      </c>
      <c r="K622" s="7">
        <f>IFERROR(Table1[[#This Row],[Conversions]]/Table1[[#This Row],[Clicks]],0)</f>
        <v>9.2265410286611699E-2</v>
      </c>
      <c r="L622" s="6">
        <f>IF(Table1[[#This Row],[Conversions]]=0,0,Table1[[#This Row],[Ad Spend]]/Table1[[#This Row],[Conversions]])</f>
        <v>16.090723404255321</v>
      </c>
      <c r="M622" s="8">
        <f>IF(Table1[[#This Row],[Ad Spend]]=0,0,Table1[[#This Row],[Revenue]]/Table1[[#This Row],[Ad Spend]])</f>
        <v>6.0052203992256672</v>
      </c>
      <c r="N622">
        <f>YEAR(Table1[[#This Row],[Date]])</f>
        <v>2024</v>
      </c>
      <c r="O622" t="str">
        <f>TEXT(Table1[[#This Row],[Date]],"mmm")</f>
        <v>Nov</v>
      </c>
      <c r="P622">
        <f>MONTH(Table1[[#This Row],[Date]])</f>
        <v>11</v>
      </c>
    </row>
    <row r="623" spans="1:16" x14ac:dyDescent="0.25">
      <c r="A623" t="s">
        <v>642</v>
      </c>
      <c r="B623" t="s">
        <v>47</v>
      </c>
      <c r="C623" t="s">
        <v>17</v>
      </c>
      <c r="D623" s="1">
        <v>45651</v>
      </c>
      <c r="E623">
        <v>116955</v>
      </c>
      <c r="F623">
        <v>8397</v>
      </c>
      <c r="G623">
        <v>350</v>
      </c>
      <c r="H623" s="4">
        <v>1065.9000000000001</v>
      </c>
      <c r="I623" s="4">
        <v>21054.5</v>
      </c>
      <c r="J623" s="7">
        <f>Table1[[#This Row],[Clicks]]/Table1[[#This Row],[Impressions]]</f>
        <v>7.1796844940361676E-2</v>
      </c>
      <c r="K623" s="7">
        <f>IFERROR(Table1[[#This Row],[Conversions]]/Table1[[#This Row],[Clicks]],0)</f>
        <v>4.1681552935572228E-2</v>
      </c>
      <c r="L623" s="6">
        <f>IF(Table1[[#This Row],[Conversions]]=0,0,Table1[[#This Row],[Ad Spend]]/Table1[[#This Row],[Conversions]])</f>
        <v>3.0454285714285718</v>
      </c>
      <c r="M623" s="8">
        <f>IF(Table1[[#This Row],[Ad Spend]]=0,0,Table1[[#This Row],[Revenue]]/Table1[[#This Row],[Ad Spend]])</f>
        <v>19.752791068580542</v>
      </c>
      <c r="N623">
        <f>YEAR(Table1[[#This Row],[Date]])</f>
        <v>2024</v>
      </c>
      <c r="O623" t="str">
        <f>TEXT(Table1[[#This Row],[Date]],"mmm")</f>
        <v>Dec</v>
      </c>
      <c r="P623">
        <f>MONTH(Table1[[#This Row],[Date]])</f>
        <v>12</v>
      </c>
    </row>
    <row r="624" spans="1:16" x14ac:dyDescent="0.25">
      <c r="A624" t="s">
        <v>643</v>
      </c>
      <c r="B624" t="s">
        <v>47</v>
      </c>
      <c r="C624" t="s">
        <v>37</v>
      </c>
      <c r="D624" s="1">
        <v>45565</v>
      </c>
      <c r="E624">
        <v>121132</v>
      </c>
      <c r="F624">
        <v>9126</v>
      </c>
      <c r="G624">
        <v>1253</v>
      </c>
      <c r="H624" s="4">
        <v>2840.39</v>
      </c>
      <c r="I624" s="4">
        <v>149965.34</v>
      </c>
      <c r="J624" s="7">
        <f>Table1[[#This Row],[Clicks]]/Table1[[#This Row],[Impressions]]</f>
        <v>7.533929927682198E-2</v>
      </c>
      <c r="K624" s="7">
        <f>IFERROR(Table1[[#This Row],[Conversions]]/Table1[[#This Row],[Clicks]],0)</f>
        <v>0.13730002191540652</v>
      </c>
      <c r="L624" s="6">
        <f>IF(Table1[[#This Row],[Conversions]]=0,0,Table1[[#This Row],[Ad Spend]]/Table1[[#This Row],[Conversions]])</f>
        <v>2.266871508379888</v>
      </c>
      <c r="M624" s="8">
        <f>IF(Table1[[#This Row],[Ad Spend]]=0,0,Table1[[#This Row],[Revenue]]/Table1[[#This Row],[Ad Spend]])</f>
        <v>52.797446829484684</v>
      </c>
      <c r="N624">
        <f>YEAR(Table1[[#This Row],[Date]])</f>
        <v>2024</v>
      </c>
      <c r="O624" t="str">
        <f>TEXT(Table1[[#This Row],[Date]],"mmm")</f>
        <v>Sept</v>
      </c>
      <c r="P624">
        <f>MONTH(Table1[[#This Row],[Date]])</f>
        <v>9</v>
      </c>
    </row>
    <row r="625" spans="1:16" x14ac:dyDescent="0.25">
      <c r="A625" t="s">
        <v>644</v>
      </c>
      <c r="B625" t="s">
        <v>47</v>
      </c>
      <c r="C625" t="s">
        <v>17</v>
      </c>
      <c r="D625" s="1">
        <v>45683</v>
      </c>
      <c r="E625">
        <v>117876</v>
      </c>
      <c r="F625">
        <v>7995</v>
      </c>
      <c r="G625">
        <v>496</v>
      </c>
      <c r="H625" s="4">
        <v>1355.47</v>
      </c>
      <c r="I625" s="4">
        <v>36983.06</v>
      </c>
      <c r="J625" s="7">
        <f>Table1[[#This Row],[Clicks]]/Table1[[#This Row],[Impressions]]</f>
        <v>6.7825511554514911E-2</v>
      </c>
      <c r="K625" s="7">
        <f>IFERROR(Table1[[#This Row],[Conversions]]/Table1[[#This Row],[Clicks]],0)</f>
        <v>6.2038774233896185E-2</v>
      </c>
      <c r="L625" s="6">
        <f>IF(Table1[[#This Row],[Conversions]]=0,0,Table1[[#This Row],[Ad Spend]]/Table1[[#This Row],[Conversions]])</f>
        <v>2.7328024193548388</v>
      </c>
      <c r="M625" s="8">
        <f>IF(Table1[[#This Row],[Ad Spend]]=0,0,Table1[[#This Row],[Revenue]]/Table1[[#This Row],[Ad Spend]])</f>
        <v>27.284307288246879</v>
      </c>
      <c r="N625">
        <f>YEAR(Table1[[#This Row],[Date]])</f>
        <v>2025</v>
      </c>
      <c r="O625" t="str">
        <f>TEXT(Table1[[#This Row],[Date]],"mmm")</f>
        <v>Jan</v>
      </c>
      <c r="P625">
        <f>MONTH(Table1[[#This Row],[Date]])</f>
        <v>1</v>
      </c>
    </row>
    <row r="626" spans="1:16" x14ac:dyDescent="0.25">
      <c r="A626" t="s">
        <v>645</v>
      </c>
      <c r="B626" t="s">
        <v>21</v>
      </c>
      <c r="C626" t="s">
        <v>12</v>
      </c>
      <c r="D626" s="1">
        <v>45673</v>
      </c>
      <c r="E626">
        <v>71607</v>
      </c>
      <c r="F626">
        <v>2520</v>
      </c>
      <c r="G626">
        <v>198</v>
      </c>
      <c r="H626" s="4">
        <v>4807.16</v>
      </c>
      <c r="I626" s="4">
        <v>3963.87</v>
      </c>
      <c r="J626" s="7">
        <f>Table1[[#This Row],[Clicks]]/Table1[[#This Row],[Impressions]]</f>
        <v>3.5192090158783357E-2</v>
      </c>
      <c r="K626" s="7">
        <f>IFERROR(Table1[[#This Row],[Conversions]]/Table1[[#This Row],[Clicks]],0)</f>
        <v>7.857142857142857E-2</v>
      </c>
      <c r="L626" s="6">
        <f>IF(Table1[[#This Row],[Conversions]]=0,0,Table1[[#This Row],[Ad Spend]]/Table1[[#This Row],[Conversions]])</f>
        <v>24.278585858585856</v>
      </c>
      <c r="M626" s="8">
        <f>IF(Table1[[#This Row],[Ad Spend]]=0,0,Table1[[#This Row],[Revenue]]/Table1[[#This Row],[Ad Spend]])</f>
        <v>0.82457625708318427</v>
      </c>
      <c r="N626">
        <f>YEAR(Table1[[#This Row],[Date]])</f>
        <v>2025</v>
      </c>
      <c r="O626" t="str">
        <f>TEXT(Table1[[#This Row],[Date]],"mmm")</f>
        <v>Jan</v>
      </c>
      <c r="P626">
        <f>MONTH(Table1[[#This Row],[Date]])</f>
        <v>1</v>
      </c>
    </row>
    <row r="627" spans="1:16" x14ac:dyDescent="0.25">
      <c r="A627" t="s">
        <v>646</v>
      </c>
      <c r="B627" t="s">
        <v>31</v>
      </c>
      <c r="C627" t="s">
        <v>19</v>
      </c>
      <c r="D627" s="1">
        <v>45597</v>
      </c>
      <c r="E627">
        <v>9273</v>
      </c>
      <c r="F627">
        <v>428</v>
      </c>
      <c r="G627">
        <v>63</v>
      </c>
      <c r="H627" s="4">
        <v>1648.84</v>
      </c>
      <c r="I627" s="4">
        <v>3152.1</v>
      </c>
      <c r="J627" s="7">
        <f>Table1[[#This Row],[Clicks]]/Table1[[#This Row],[Impressions]]</f>
        <v>4.6155505230238328E-2</v>
      </c>
      <c r="K627" s="7">
        <f>IFERROR(Table1[[#This Row],[Conversions]]/Table1[[#This Row],[Clicks]],0)</f>
        <v>0.14719626168224298</v>
      </c>
      <c r="L627" s="6">
        <f>IF(Table1[[#This Row],[Conversions]]=0,0,Table1[[#This Row],[Ad Spend]]/Table1[[#This Row],[Conversions]])</f>
        <v>26.17206349206349</v>
      </c>
      <c r="M627" s="8">
        <f>IF(Table1[[#This Row],[Ad Spend]]=0,0,Table1[[#This Row],[Revenue]]/Table1[[#This Row],[Ad Spend]])</f>
        <v>1.9117076247543727</v>
      </c>
      <c r="N627">
        <f>YEAR(Table1[[#This Row],[Date]])</f>
        <v>2024</v>
      </c>
      <c r="O627" t="str">
        <f>TEXT(Table1[[#This Row],[Date]],"mmm")</f>
        <v>Nov</v>
      </c>
      <c r="P627">
        <f>MONTH(Table1[[#This Row],[Date]])</f>
        <v>11</v>
      </c>
    </row>
    <row r="628" spans="1:16" x14ac:dyDescent="0.25">
      <c r="A628" t="s">
        <v>647</v>
      </c>
      <c r="B628" t="s">
        <v>14</v>
      </c>
      <c r="C628" t="s">
        <v>37</v>
      </c>
      <c r="D628" s="1">
        <v>45453</v>
      </c>
      <c r="E628">
        <v>10688</v>
      </c>
      <c r="F628">
        <v>684</v>
      </c>
      <c r="G628">
        <v>97</v>
      </c>
      <c r="H628" s="4">
        <v>4147.22</v>
      </c>
      <c r="I628" s="4">
        <v>10855.39</v>
      </c>
      <c r="J628" s="7">
        <f>Table1[[#This Row],[Clicks]]/Table1[[#This Row],[Impressions]]</f>
        <v>6.399700598802395E-2</v>
      </c>
      <c r="K628" s="7">
        <f>IFERROR(Table1[[#This Row],[Conversions]]/Table1[[#This Row],[Clicks]],0)</f>
        <v>0.14181286549707603</v>
      </c>
      <c r="L628" s="6">
        <f>IF(Table1[[#This Row],[Conversions]]=0,0,Table1[[#This Row],[Ad Spend]]/Table1[[#This Row],[Conversions]])</f>
        <v>42.754845360824746</v>
      </c>
      <c r="M628" s="8">
        <f>IF(Table1[[#This Row],[Ad Spend]]=0,0,Table1[[#This Row],[Revenue]]/Table1[[#This Row],[Ad Spend]])</f>
        <v>2.6175100428720923</v>
      </c>
      <c r="N628">
        <f>YEAR(Table1[[#This Row],[Date]])</f>
        <v>2024</v>
      </c>
      <c r="O628" t="str">
        <f>TEXT(Table1[[#This Row],[Date]],"mmm")</f>
        <v>Jun</v>
      </c>
      <c r="P628">
        <f>MONTH(Table1[[#This Row],[Date]])</f>
        <v>6</v>
      </c>
    </row>
    <row r="629" spans="1:16" x14ac:dyDescent="0.25">
      <c r="A629" t="s">
        <v>648</v>
      </c>
      <c r="B629" t="s">
        <v>16</v>
      </c>
      <c r="C629" t="s">
        <v>10</v>
      </c>
      <c r="D629" s="1">
        <v>45311</v>
      </c>
      <c r="E629">
        <v>125683</v>
      </c>
      <c r="F629">
        <v>4385</v>
      </c>
      <c r="G629">
        <v>166</v>
      </c>
      <c r="H629" s="4">
        <v>1962</v>
      </c>
      <c r="I629" s="4">
        <v>12983.78</v>
      </c>
      <c r="J629" s="7">
        <f>Table1[[#This Row],[Clicks]]/Table1[[#This Row],[Impressions]]</f>
        <v>3.4889364512304767E-2</v>
      </c>
      <c r="K629" s="7">
        <f>IFERROR(Table1[[#This Row],[Conversions]]/Table1[[#This Row],[Clicks]],0)</f>
        <v>3.7856328392246293E-2</v>
      </c>
      <c r="L629" s="6">
        <f>IF(Table1[[#This Row],[Conversions]]=0,0,Table1[[#This Row],[Ad Spend]]/Table1[[#This Row],[Conversions]])</f>
        <v>11.819277108433734</v>
      </c>
      <c r="M629" s="8">
        <f>IF(Table1[[#This Row],[Ad Spend]]=0,0,Table1[[#This Row],[Revenue]]/Table1[[#This Row],[Ad Spend]])</f>
        <v>6.6176248725790012</v>
      </c>
      <c r="N629">
        <f>YEAR(Table1[[#This Row],[Date]])</f>
        <v>2024</v>
      </c>
      <c r="O629" t="str">
        <f>TEXT(Table1[[#This Row],[Date]],"mmm")</f>
        <v>Jan</v>
      </c>
      <c r="P629">
        <f>MONTH(Table1[[#This Row],[Date]])</f>
        <v>1</v>
      </c>
    </row>
    <row r="630" spans="1:16" x14ac:dyDescent="0.25">
      <c r="A630" t="s">
        <v>649</v>
      </c>
      <c r="B630" t="s">
        <v>14</v>
      </c>
      <c r="C630" t="s">
        <v>19</v>
      </c>
      <c r="D630" s="1">
        <v>45707</v>
      </c>
      <c r="E630">
        <v>83722</v>
      </c>
      <c r="F630">
        <v>1375</v>
      </c>
      <c r="G630">
        <v>98</v>
      </c>
      <c r="H630" s="4">
        <v>4605.83</v>
      </c>
      <c r="I630" s="4">
        <v>9155.81</v>
      </c>
      <c r="J630" s="7">
        <f>Table1[[#This Row],[Clicks]]/Table1[[#This Row],[Impressions]]</f>
        <v>1.6423401256539499E-2</v>
      </c>
      <c r="K630" s="7">
        <f>IFERROR(Table1[[#This Row],[Conversions]]/Table1[[#This Row],[Clicks]],0)</f>
        <v>7.1272727272727279E-2</v>
      </c>
      <c r="L630" s="6">
        <f>IF(Table1[[#This Row],[Conversions]]=0,0,Table1[[#This Row],[Ad Spend]]/Table1[[#This Row],[Conversions]])</f>
        <v>46.998265306122448</v>
      </c>
      <c r="M630" s="8">
        <f>IF(Table1[[#This Row],[Ad Spend]]=0,0,Table1[[#This Row],[Revenue]]/Table1[[#This Row],[Ad Spend]])</f>
        <v>1.9878740639580705</v>
      </c>
      <c r="N630">
        <f>YEAR(Table1[[#This Row],[Date]])</f>
        <v>2025</v>
      </c>
      <c r="O630" t="str">
        <f>TEXT(Table1[[#This Row],[Date]],"mmm")</f>
        <v>Feb</v>
      </c>
      <c r="P630">
        <f>MONTH(Table1[[#This Row],[Date]])</f>
        <v>2</v>
      </c>
    </row>
    <row r="631" spans="1:16" x14ac:dyDescent="0.25">
      <c r="A631" t="s">
        <v>650</v>
      </c>
      <c r="B631" t="s">
        <v>47</v>
      </c>
      <c r="C631" t="s">
        <v>17</v>
      </c>
      <c r="D631" s="1">
        <v>45380</v>
      </c>
      <c r="E631">
        <v>132998</v>
      </c>
      <c r="F631">
        <v>9017</v>
      </c>
      <c r="G631">
        <v>988</v>
      </c>
      <c r="H631" s="4">
        <v>2965.92</v>
      </c>
      <c r="I631" s="4">
        <v>109436.38</v>
      </c>
      <c r="J631" s="7">
        <f>Table1[[#This Row],[Clicks]]/Table1[[#This Row],[Impressions]]</f>
        <v>6.7798012000180458E-2</v>
      </c>
      <c r="K631" s="7">
        <f>IFERROR(Table1[[#This Row],[Conversions]]/Table1[[#This Row],[Clicks]],0)</f>
        <v>0.10957081069091716</v>
      </c>
      <c r="L631" s="6">
        <f>IF(Table1[[#This Row],[Conversions]]=0,0,Table1[[#This Row],[Ad Spend]]/Table1[[#This Row],[Conversions]])</f>
        <v>3.0019433198380567</v>
      </c>
      <c r="M631" s="8">
        <f>IF(Table1[[#This Row],[Ad Spend]]=0,0,Table1[[#This Row],[Revenue]]/Table1[[#This Row],[Ad Spend]])</f>
        <v>36.897954091816366</v>
      </c>
      <c r="N631">
        <f>YEAR(Table1[[#This Row],[Date]])</f>
        <v>2024</v>
      </c>
      <c r="O631" t="str">
        <f>TEXT(Table1[[#This Row],[Date]],"mmm")</f>
        <v>Mar</v>
      </c>
      <c r="P631">
        <f>MONTH(Table1[[#This Row],[Date]])</f>
        <v>3</v>
      </c>
    </row>
    <row r="632" spans="1:16" x14ac:dyDescent="0.25">
      <c r="A632" t="s">
        <v>651</v>
      </c>
      <c r="B632" t="s">
        <v>34</v>
      </c>
      <c r="C632" t="s">
        <v>10</v>
      </c>
      <c r="D632" s="1">
        <v>45666</v>
      </c>
      <c r="E632">
        <v>105020</v>
      </c>
      <c r="F632">
        <v>1627</v>
      </c>
      <c r="G632">
        <v>44</v>
      </c>
      <c r="H632" s="4">
        <v>3900.33</v>
      </c>
      <c r="I632" s="4">
        <v>2410.89</v>
      </c>
      <c r="J632" s="7">
        <f>Table1[[#This Row],[Clicks]]/Table1[[#This Row],[Impressions]]</f>
        <v>1.5492287183393639E-2</v>
      </c>
      <c r="K632" s="7">
        <f>IFERROR(Table1[[#This Row],[Conversions]]/Table1[[#This Row],[Clicks]],0)</f>
        <v>2.7043638598647817E-2</v>
      </c>
      <c r="L632" s="6">
        <f>IF(Table1[[#This Row],[Conversions]]=0,0,Table1[[#This Row],[Ad Spend]]/Table1[[#This Row],[Conversions]])</f>
        <v>88.643863636363633</v>
      </c>
      <c r="M632" s="8">
        <f>IF(Table1[[#This Row],[Ad Spend]]=0,0,Table1[[#This Row],[Revenue]]/Table1[[#This Row],[Ad Spend]])</f>
        <v>0.61812462022444248</v>
      </c>
      <c r="N632">
        <f>YEAR(Table1[[#This Row],[Date]])</f>
        <v>2025</v>
      </c>
      <c r="O632" t="str">
        <f>TEXT(Table1[[#This Row],[Date]],"mmm")</f>
        <v>Jan</v>
      </c>
      <c r="P632">
        <f>MONTH(Table1[[#This Row],[Date]])</f>
        <v>1</v>
      </c>
    </row>
    <row r="633" spans="1:16" x14ac:dyDescent="0.25">
      <c r="A633" t="s">
        <v>652</v>
      </c>
      <c r="B633" t="s">
        <v>21</v>
      </c>
      <c r="C633" t="s">
        <v>17</v>
      </c>
      <c r="D633" s="1">
        <v>45353</v>
      </c>
      <c r="E633">
        <v>64432</v>
      </c>
      <c r="F633">
        <v>4016</v>
      </c>
      <c r="G633">
        <v>523</v>
      </c>
      <c r="H633" s="4">
        <v>4657.54</v>
      </c>
      <c r="I633" s="4">
        <v>43612.3</v>
      </c>
      <c r="J633" s="7">
        <f>Table1[[#This Row],[Clicks]]/Table1[[#This Row],[Impressions]]</f>
        <v>6.2329277377700519E-2</v>
      </c>
      <c r="K633" s="7">
        <f>IFERROR(Table1[[#This Row],[Conversions]]/Table1[[#This Row],[Clicks]],0)</f>
        <v>0.13022908366533864</v>
      </c>
      <c r="L633" s="6">
        <f>IF(Table1[[#This Row],[Conversions]]=0,0,Table1[[#This Row],[Ad Spend]]/Table1[[#This Row],[Conversions]])</f>
        <v>8.9054302103250471</v>
      </c>
      <c r="M633" s="8">
        <f>IF(Table1[[#This Row],[Ad Spend]]=0,0,Table1[[#This Row],[Revenue]]/Table1[[#This Row],[Ad Spend]])</f>
        <v>9.3638057858869708</v>
      </c>
      <c r="N633">
        <f>YEAR(Table1[[#This Row],[Date]])</f>
        <v>2024</v>
      </c>
      <c r="O633" t="str">
        <f>TEXT(Table1[[#This Row],[Date]],"mmm")</f>
        <v>Mar</v>
      </c>
      <c r="P633">
        <f>MONTH(Table1[[#This Row],[Date]])</f>
        <v>3</v>
      </c>
    </row>
    <row r="634" spans="1:16" x14ac:dyDescent="0.25">
      <c r="A634" t="s">
        <v>653</v>
      </c>
      <c r="B634" t="s">
        <v>21</v>
      </c>
      <c r="C634" t="s">
        <v>10</v>
      </c>
      <c r="D634" s="1">
        <v>45448</v>
      </c>
      <c r="E634">
        <v>142463</v>
      </c>
      <c r="F634">
        <v>1835</v>
      </c>
      <c r="G634">
        <v>165</v>
      </c>
      <c r="H634" s="4">
        <v>917.98</v>
      </c>
      <c r="I634" s="4">
        <v>11589.63</v>
      </c>
      <c r="J634" s="7">
        <f>Table1[[#This Row],[Clicks]]/Table1[[#This Row],[Impressions]]</f>
        <v>1.2880537402694034E-2</v>
      </c>
      <c r="K634" s="7">
        <f>IFERROR(Table1[[#This Row],[Conversions]]/Table1[[#This Row],[Clicks]],0)</f>
        <v>8.9918256130790186E-2</v>
      </c>
      <c r="L634" s="6">
        <f>IF(Table1[[#This Row],[Conversions]]=0,0,Table1[[#This Row],[Ad Spend]]/Table1[[#This Row],[Conversions]])</f>
        <v>5.5635151515151513</v>
      </c>
      <c r="M634" s="8">
        <f>IF(Table1[[#This Row],[Ad Spend]]=0,0,Table1[[#This Row],[Revenue]]/Table1[[#This Row],[Ad Spend]])</f>
        <v>12.625144338656614</v>
      </c>
      <c r="N634">
        <f>YEAR(Table1[[#This Row],[Date]])</f>
        <v>2024</v>
      </c>
      <c r="O634" t="str">
        <f>TEXT(Table1[[#This Row],[Date]],"mmm")</f>
        <v>Jun</v>
      </c>
      <c r="P634">
        <f>MONTH(Table1[[#This Row],[Date]])</f>
        <v>6</v>
      </c>
    </row>
    <row r="635" spans="1:16" x14ac:dyDescent="0.25">
      <c r="A635" t="s">
        <v>654</v>
      </c>
      <c r="B635" t="s">
        <v>14</v>
      </c>
      <c r="C635" t="s">
        <v>37</v>
      </c>
      <c r="D635" s="1">
        <v>45317</v>
      </c>
      <c r="E635">
        <v>107991</v>
      </c>
      <c r="F635">
        <v>8420</v>
      </c>
      <c r="G635">
        <v>992</v>
      </c>
      <c r="H635" s="4">
        <v>2961.22</v>
      </c>
      <c r="I635" s="4">
        <v>28776.23</v>
      </c>
      <c r="J635" s="7">
        <f>Table1[[#This Row],[Clicks]]/Table1[[#This Row],[Impressions]]</f>
        <v>7.7969460417997793E-2</v>
      </c>
      <c r="K635" s="7">
        <f>IFERROR(Table1[[#This Row],[Conversions]]/Table1[[#This Row],[Clicks]],0)</f>
        <v>0.1178147268408551</v>
      </c>
      <c r="L635" s="6">
        <f>IF(Table1[[#This Row],[Conversions]]=0,0,Table1[[#This Row],[Ad Spend]]/Table1[[#This Row],[Conversions]])</f>
        <v>2.9851008064516127</v>
      </c>
      <c r="M635" s="8">
        <f>IF(Table1[[#This Row],[Ad Spend]]=0,0,Table1[[#This Row],[Revenue]]/Table1[[#This Row],[Ad Spend]])</f>
        <v>9.717694058529931</v>
      </c>
      <c r="N635">
        <f>YEAR(Table1[[#This Row],[Date]])</f>
        <v>2024</v>
      </c>
      <c r="O635" t="str">
        <f>TEXT(Table1[[#This Row],[Date]],"mmm")</f>
        <v>Jan</v>
      </c>
      <c r="P635">
        <f>MONTH(Table1[[#This Row],[Date]])</f>
        <v>1</v>
      </c>
    </row>
    <row r="636" spans="1:16" x14ac:dyDescent="0.25">
      <c r="A636" t="s">
        <v>655</v>
      </c>
      <c r="B636" t="s">
        <v>21</v>
      </c>
      <c r="C636" t="s">
        <v>19</v>
      </c>
      <c r="D636" s="1">
        <v>45694</v>
      </c>
      <c r="E636">
        <v>108369</v>
      </c>
      <c r="F636">
        <v>2206</v>
      </c>
      <c r="G636">
        <v>140</v>
      </c>
      <c r="H636" s="4">
        <v>2484.1</v>
      </c>
      <c r="I636" s="4">
        <v>13234.41</v>
      </c>
      <c r="J636" s="7">
        <f>Table1[[#This Row],[Clicks]]/Table1[[#This Row],[Impressions]]</f>
        <v>2.0356374978084138E-2</v>
      </c>
      <c r="K636" s="7">
        <f>IFERROR(Table1[[#This Row],[Conversions]]/Table1[[#This Row],[Clicks]],0)</f>
        <v>6.3463281958295564E-2</v>
      </c>
      <c r="L636" s="6">
        <f>IF(Table1[[#This Row],[Conversions]]=0,0,Table1[[#This Row],[Ad Spend]]/Table1[[#This Row],[Conversions]])</f>
        <v>17.743571428571428</v>
      </c>
      <c r="M636" s="8">
        <f>IF(Table1[[#This Row],[Ad Spend]]=0,0,Table1[[#This Row],[Revenue]]/Table1[[#This Row],[Ad Spend]])</f>
        <v>5.3276478402640794</v>
      </c>
      <c r="N636">
        <f>YEAR(Table1[[#This Row],[Date]])</f>
        <v>2025</v>
      </c>
      <c r="O636" t="str">
        <f>TEXT(Table1[[#This Row],[Date]],"mmm")</f>
        <v>Feb</v>
      </c>
      <c r="P636">
        <f>MONTH(Table1[[#This Row],[Date]])</f>
        <v>2</v>
      </c>
    </row>
    <row r="637" spans="1:16" x14ac:dyDescent="0.25">
      <c r="A637" t="s">
        <v>656</v>
      </c>
      <c r="B637" t="s">
        <v>21</v>
      </c>
      <c r="C637" t="s">
        <v>19</v>
      </c>
      <c r="D637" s="1">
        <v>45335</v>
      </c>
      <c r="E637">
        <v>109471</v>
      </c>
      <c r="F637">
        <v>4940</v>
      </c>
      <c r="G637">
        <v>595</v>
      </c>
      <c r="H637" s="4">
        <v>825.8</v>
      </c>
      <c r="I637" s="4">
        <v>19924.810000000001</v>
      </c>
      <c r="J637" s="7">
        <f>Table1[[#This Row],[Clicks]]/Table1[[#This Row],[Impressions]]</f>
        <v>4.5126106457417943E-2</v>
      </c>
      <c r="K637" s="7">
        <f>IFERROR(Table1[[#This Row],[Conversions]]/Table1[[#This Row],[Clicks]],0)</f>
        <v>0.12044534412955465</v>
      </c>
      <c r="L637" s="6">
        <f>IF(Table1[[#This Row],[Conversions]]=0,0,Table1[[#This Row],[Ad Spend]]/Table1[[#This Row],[Conversions]])</f>
        <v>1.3878991596638655</v>
      </c>
      <c r="M637" s="8">
        <f>IF(Table1[[#This Row],[Ad Spend]]=0,0,Table1[[#This Row],[Revenue]]/Table1[[#This Row],[Ad Spend]])</f>
        <v>24.127888108500851</v>
      </c>
      <c r="N637">
        <f>YEAR(Table1[[#This Row],[Date]])</f>
        <v>2024</v>
      </c>
      <c r="O637" t="str">
        <f>TEXT(Table1[[#This Row],[Date]],"mmm")</f>
        <v>Feb</v>
      </c>
      <c r="P637">
        <f>MONTH(Table1[[#This Row],[Date]])</f>
        <v>2</v>
      </c>
    </row>
    <row r="638" spans="1:16" x14ac:dyDescent="0.25">
      <c r="A638" t="s">
        <v>657</v>
      </c>
      <c r="B638" t="s">
        <v>14</v>
      </c>
      <c r="C638" t="s">
        <v>17</v>
      </c>
      <c r="D638" s="1">
        <v>45494</v>
      </c>
      <c r="E638">
        <v>56406</v>
      </c>
      <c r="F638">
        <v>2779</v>
      </c>
      <c r="G638">
        <v>415</v>
      </c>
      <c r="H638" s="4">
        <v>2716.39</v>
      </c>
      <c r="I638" s="4">
        <v>18356.080000000002</v>
      </c>
      <c r="J638" s="7">
        <f>Table1[[#This Row],[Clicks]]/Table1[[#This Row],[Impressions]]</f>
        <v>4.9267808389178457E-2</v>
      </c>
      <c r="K638" s="7">
        <f>IFERROR(Table1[[#This Row],[Conversions]]/Table1[[#This Row],[Clicks]],0)</f>
        <v>0.1493342929111191</v>
      </c>
      <c r="L638" s="6">
        <f>IF(Table1[[#This Row],[Conversions]]=0,0,Table1[[#This Row],[Ad Spend]]/Table1[[#This Row],[Conversions]])</f>
        <v>6.5455180722891564</v>
      </c>
      <c r="M638" s="8">
        <f>IF(Table1[[#This Row],[Ad Spend]]=0,0,Table1[[#This Row],[Revenue]]/Table1[[#This Row],[Ad Spend]])</f>
        <v>6.757527453716146</v>
      </c>
      <c r="N638">
        <f>YEAR(Table1[[#This Row],[Date]])</f>
        <v>2024</v>
      </c>
      <c r="O638" t="str">
        <f>TEXT(Table1[[#This Row],[Date]],"mmm")</f>
        <v>Jul</v>
      </c>
      <c r="P638">
        <f>MONTH(Table1[[#This Row],[Date]])</f>
        <v>7</v>
      </c>
    </row>
    <row r="639" spans="1:16" x14ac:dyDescent="0.25">
      <c r="A639" t="s">
        <v>658</v>
      </c>
      <c r="B639" t="s">
        <v>34</v>
      </c>
      <c r="C639" t="s">
        <v>17</v>
      </c>
      <c r="D639" s="1">
        <v>45457</v>
      </c>
      <c r="E639">
        <v>28486</v>
      </c>
      <c r="F639">
        <v>509</v>
      </c>
      <c r="G639">
        <v>37</v>
      </c>
      <c r="H639" s="4">
        <v>1953.28</v>
      </c>
      <c r="I639" s="4">
        <v>1444.81</v>
      </c>
      <c r="J639" s="7">
        <f>Table1[[#This Row],[Clicks]]/Table1[[#This Row],[Impressions]]</f>
        <v>1.7868426595520608E-2</v>
      </c>
      <c r="K639" s="7">
        <f>IFERROR(Table1[[#This Row],[Conversions]]/Table1[[#This Row],[Clicks]],0)</f>
        <v>7.269155206286837E-2</v>
      </c>
      <c r="L639" s="6">
        <f>IF(Table1[[#This Row],[Conversions]]=0,0,Table1[[#This Row],[Ad Spend]]/Table1[[#This Row],[Conversions]])</f>
        <v>52.791351351351352</v>
      </c>
      <c r="M639" s="8">
        <f>IF(Table1[[#This Row],[Ad Spend]]=0,0,Table1[[#This Row],[Revenue]]/Table1[[#This Row],[Ad Spend]])</f>
        <v>0.73968401867627787</v>
      </c>
      <c r="N639">
        <f>YEAR(Table1[[#This Row],[Date]])</f>
        <v>2024</v>
      </c>
      <c r="O639" t="str">
        <f>TEXT(Table1[[#This Row],[Date]],"mmm")</f>
        <v>Jun</v>
      </c>
      <c r="P639">
        <f>MONTH(Table1[[#This Row],[Date]])</f>
        <v>6</v>
      </c>
    </row>
    <row r="640" spans="1:16" x14ac:dyDescent="0.25">
      <c r="A640" t="s">
        <v>659</v>
      </c>
      <c r="B640" t="s">
        <v>47</v>
      </c>
      <c r="C640" t="s">
        <v>12</v>
      </c>
      <c r="D640" s="1">
        <v>45627</v>
      </c>
      <c r="E640">
        <v>11345</v>
      </c>
      <c r="F640">
        <v>724</v>
      </c>
      <c r="G640">
        <v>30</v>
      </c>
      <c r="H640" s="4">
        <v>1878.64</v>
      </c>
      <c r="I640" s="4">
        <v>3064.75</v>
      </c>
      <c r="J640" s="7">
        <f>Table1[[#This Row],[Clicks]]/Table1[[#This Row],[Impressions]]</f>
        <v>6.3816659321286912E-2</v>
      </c>
      <c r="K640" s="7">
        <f>IFERROR(Table1[[#This Row],[Conversions]]/Table1[[#This Row],[Clicks]],0)</f>
        <v>4.1436464088397788E-2</v>
      </c>
      <c r="L640" s="6">
        <f>IF(Table1[[#This Row],[Conversions]]=0,0,Table1[[#This Row],[Ad Spend]]/Table1[[#This Row],[Conversions]])</f>
        <v>62.62133333333334</v>
      </c>
      <c r="M640" s="8">
        <f>IF(Table1[[#This Row],[Ad Spend]]=0,0,Table1[[#This Row],[Revenue]]/Table1[[#This Row],[Ad Spend]])</f>
        <v>1.6313663075416258</v>
      </c>
      <c r="N640">
        <f>YEAR(Table1[[#This Row],[Date]])</f>
        <v>2024</v>
      </c>
      <c r="O640" t="str">
        <f>TEXT(Table1[[#This Row],[Date]],"mmm")</f>
        <v>Dec</v>
      </c>
      <c r="P640">
        <f>MONTH(Table1[[#This Row],[Date]])</f>
        <v>12</v>
      </c>
    </row>
    <row r="641" spans="1:16" x14ac:dyDescent="0.25">
      <c r="A641" t="s">
        <v>660</v>
      </c>
      <c r="B641" t="s">
        <v>41</v>
      </c>
      <c r="C641" t="s">
        <v>12</v>
      </c>
      <c r="D641" s="1">
        <v>45366</v>
      </c>
      <c r="E641">
        <v>120464</v>
      </c>
      <c r="F641">
        <v>1583</v>
      </c>
      <c r="G641">
        <v>200</v>
      </c>
      <c r="H641" s="4">
        <v>1158.49</v>
      </c>
      <c r="I641" s="4">
        <v>11476.42</v>
      </c>
      <c r="J641" s="7">
        <f>Table1[[#This Row],[Clicks]]/Table1[[#This Row],[Impressions]]</f>
        <v>1.314085535927746E-2</v>
      </c>
      <c r="K641" s="7">
        <f>IFERROR(Table1[[#This Row],[Conversions]]/Table1[[#This Row],[Clicks]],0)</f>
        <v>0.12634238787113075</v>
      </c>
      <c r="L641" s="6">
        <f>IF(Table1[[#This Row],[Conversions]]=0,0,Table1[[#This Row],[Ad Spend]]/Table1[[#This Row],[Conversions]])</f>
        <v>5.7924499999999997</v>
      </c>
      <c r="M641" s="8">
        <f>IF(Table1[[#This Row],[Ad Spend]]=0,0,Table1[[#This Row],[Revenue]]/Table1[[#This Row],[Ad Spend]])</f>
        <v>9.9063608663000977</v>
      </c>
      <c r="N641">
        <f>YEAR(Table1[[#This Row],[Date]])</f>
        <v>2024</v>
      </c>
      <c r="O641" t="str">
        <f>TEXT(Table1[[#This Row],[Date]],"mmm")</f>
        <v>Mar</v>
      </c>
      <c r="P641">
        <f>MONTH(Table1[[#This Row],[Date]])</f>
        <v>3</v>
      </c>
    </row>
    <row r="642" spans="1:16" x14ac:dyDescent="0.25">
      <c r="A642" t="s">
        <v>661</v>
      </c>
      <c r="B642" t="s">
        <v>9</v>
      </c>
      <c r="C642" t="s">
        <v>10</v>
      </c>
      <c r="D642" s="1">
        <v>45670</v>
      </c>
      <c r="E642">
        <v>19296</v>
      </c>
      <c r="F642">
        <v>521</v>
      </c>
      <c r="G642">
        <v>52</v>
      </c>
      <c r="H642" s="4">
        <v>908.85</v>
      </c>
      <c r="I642" s="4">
        <v>5368.71</v>
      </c>
      <c r="J642" s="7">
        <f>Table1[[#This Row],[Clicks]]/Table1[[#This Row],[Impressions]]</f>
        <v>2.7000414593698174E-2</v>
      </c>
      <c r="K642" s="7">
        <f>IFERROR(Table1[[#This Row],[Conversions]]/Table1[[#This Row],[Clicks]],0)</f>
        <v>9.9808061420345484E-2</v>
      </c>
      <c r="L642" s="6">
        <f>IF(Table1[[#This Row],[Conversions]]=0,0,Table1[[#This Row],[Ad Spend]]/Table1[[#This Row],[Conversions]])</f>
        <v>17.477884615384617</v>
      </c>
      <c r="M642" s="8">
        <f>IF(Table1[[#This Row],[Ad Spend]]=0,0,Table1[[#This Row],[Revenue]]/Table1[[#This Row],[Ad Spend]])</f>
        <v>5.9071463937943554</v>
      </c>
      <c r="N642">
        <f>YEAR(Table1[[#This Row],[Date]])</f>
        <v>2025</v>
      </c>
      <c r="O642" t="str">
        <f>TEXT(Table1[[#This Row],[Date]],"mmm")</f>
        <v>Jan</v>
      </c>
      <c r="P642">
        <f>MONTH(Table1[[#This Row],[Date]])</f>
        <v>1</v>
      </c>
    </row>
    <row r="643" spans="1:16" x14ac:dyDescent="0.25">
      <c r="A643" t="s">
        <v>662</v>
      </c>
      <c r="B643" t="s">
        <v>34</v>
      </c>
      <c r="C643" t="s">
        <v>10</v>
      </c>
      <c r="D643" s="1">
        <v>45467</v>
      </c>
      <c r="E643">
        <v>34170</v>
      </c>
      <c r="F643">
        <v>1071</v>
      </c>
      <c r="G643">
        <v>87</v>
      </c>
      <c r="H643" s="4">
        <v>1793.01</v>
      </c>
      <c r="I643" s="4">
        <v>8178.11</v>
      </c>
      <c r="J643" s="7">
        <f>Table1[[#This Row],[Clicks]]/Table1[[#This Row],[Impressions]]</f>
        <v>3.134328358208955E-2</v>
      </c>
      <c r="K643" s="7">
        <f>IFERROR(Table1[[#This Row],[Conversions]]/Table1[[#This Row],[Clicks]],0)</f>
        <v>8.1232492997198882E-2</v>
      </c>
      <c r="L643" s="6">
        <f>IF(Table1[[#This Row],[Conversions]]=0,0,Table1[[#This Row],[Ad Spend]]/Table1[[#This Row],[Conversions]])</f>
        <v>20.609310344827588</v>
      </c>
      <c r="M643" s="8">
        <f>IF(Table1[[#This Row],[Ad Spend]]=0,0,Table1[[#This Row],[Revenue]]/Table1[[#This Row],[Ad Spend]])</f>
        <v>4.5611067422936848</v>
      </c>
      <c r="N643">
        <f>YEAR(Table1[[#This Row],[Date]])</f>
        <v>2024</v>
      </c>
      <c r="O643" t="str">
        <f>TEXT(Table1[[#This Row],[Date]],"mmm")</f>
        <v>Jun</v>
      </c>
      <c r="P643">
        <f>MONTH(Table1[[#This Row],[Date]])</f>
        <v>6</v>
      </c>
    </row>
    <row r="644" spans="1:16" x14ac:dyDescent="0.25">
      <c r="A644" t="s">
        <v>663</v>
      </c>
      <c r="B644" t="s">
        <v>14</v>
      </c>
      <c r="C644" t="s">
        <v>37</v>
      </c>
      <c r="D644" s="1">
        <v>45571</v>
      </c>
      <c r="E644">
        <v>142171</v>
      </c>
      <c r="F644">
        <v>8889</v>
      </c>
      <c r="G644">
        <v>811</v>
      </c>
      <c r="H644" s="4">
        <v>3190.6</v>
      </c>
      <c r="I644" s="4">
        <v>96695.7</v>
      </c>
      <c r="J644" s="7">
        <f>Table1[[#This Row],[Clicks]]/Table1[[#This Row],[Impressions]]</f>
        <v>6.2523299407052077E-2</v>
      </c>
      <c r="K644" s="7">
        <f>IFERROR(Table1[[#This Row],[Conversions]]/Table1[[#This Row],[Clicks]],0)</f>
        <v>9.1236359545505685E-2</v>
      </c>
      <c r="L644" s="6">
        <f>IF(Table1[[#This Row],[Conversions]]=0,0,Table1[[#This Row],[Ad Spend]]/Table1[[#This Row],[Conversions]])</f>
        <v>3.9341553637484585</v>
      </c>
      <c r="M644" s="8">
        <f>IF(Table1[[#This Row],[Ad Spend]]=0,0,Table1[[#This Row],[Revenue]]/Table1[[#This Row],[Ad Spend]])</f>
        <v>30.30643139221463</v>
      </c>
      <c r="N644">
        <f>YEAR(Table1[[#This Row],[Date]])</f>
        <v>2024</v>
      </c>
      <c r="O644" t="str">
        <f>TEXT(Table1[[#This Row],[Date]],"mmm")</f>
        <v>Oct</v>
      </c>
      <c r="P644">
        <f>MONTH(Table1[[#This Row],[Date]])</f>
        <v>10</v>
      </c>
    </row>
    <row r="645" spans="1:16" x14ac:dyDescent="0.25">
      <c r="A645" t="s">
        <v>664</v>
      </c>
      <c r="B645" t="s">
        <v>31</v>
      </c>
      <c r="C645" t="s">
        <v>17</v>
      </c>
      <c r="D645" s="1">
        <v>45590</v>
      </c>
      <c r="E645">
        <v>143097</v>
      </c>
      <c r="F645">
        <v>1866</v>
      </c>
      <c r="G645">
        <v>78</v>
      </c>
      <c r="H645" s="4">
        <v>1563.26</v>
      </c>
      <c r="I645" s="4">
        <v>7715.67</v>
      </c>
      <c r="J645" s="7">
        <f>Table1[[#This Row],[Clicks]]/Table1[[#This Row],[Impressions]]</f>
        <v>1.3040105662592507E-2</v>
      </c>
      <c r="K645" s="7">
        <f>IFERROR(Table1[[#This Row],[Conversions]]/Table1[[#This Row],[Clicks]],0)</f>
        <v>4.1800643086816719E-2</v>
      </c>
      <c r="L645" s="6">
        <f>IF(Table1[[#This Row],[Conversions]]=0,0,Table1[[#This Row],[Ad Spend]]/Table1[[#This Row],[Conversions]])</f>
        <v>20.04179487179487</v>
      </c>
      <c r="M645" s="8">
        <f>IF(Table1[[#This Row],[Ad Spend]]=0,0,Table1[[#This Row],[Revenue]]/Table1[[#This Row],[Ad Spend]])</f>
        <v>4.935628110487059</v>
      </c>
      <c r="N645">
        <f>YEAR(Table1[[#This Row],[Date]])</f>
        <v>2024</v>
      </c>
      <c r="O645" t="str">
        <f>TEXT(Table1[[#This Row],[Date]],"mmm")</f>
        <v>Oct</v>
      </c>
      <c r="P645">
        <f>MONTH(Table1[[#This Row],[Date]])</f>
        <v>10</v>
      </c>
    </row>
    <row r="646" spans="1:16" x14ac:dyDescent="0.25">
      <c r="A646" t="s">
        <v>665</v>
      </c>
      <c r="B646" t="s">
        <v>34</v>
      </c>
      <c r="C646" t="s">
        <v>10</v>
      </c>
      <c r="D646" s="1">
        <v>45530</v>
      </c>
      <c r="E646">
        <v>7184</v>
      </c>
      <c r="F646">
        <v>105</v>
      </c>
      <c r="G646">
        <v>11</v>
      </c>
      <c r="H646" s="4">
        <v>3382.31</v>
      </c>
      <c r="I646" s="4">
        <v>1224.1600000000001</v>
      </c>
      <c r="J646" s="7">
        <f>Table1[[#This Row],[Clicks]]/Table1[[#This Row],[Impressions]]</f>
        <v>1.4615812917594655E-2</v>
      </c>
      <c r="K646" s="7">
        <f>IFERROR(Table1[[#This Row],[Conversions]]/Table1[[#This Row],[Clicks]],0)</f>
        <v>0.10476190476190476</v>
      </c>
      <c r="L646" s="6">
        <f>IF(Table1[[#This Row],[Conversions]]=0,0,Table1[[#This Row],[Ad Spend]]/Table1[[#This Row],[Conversions]])</f>
        <v>307.48272727272729</v>
      </c>
      <c r="M646" s="8">
        <f>IF(Table1[[#This Row],[Ad Spend]]=0,0,Table1[[#This Row],[Revenue]]/Table1[[#This Row],[Ad Spend]])</f>
        <v>0.36193016015681595</v>
      </c>
      <c r="N646">
        <f>YEAR(Table1[[#This Row],[Date]])</f>
        <v>2024</v>
      </c>
      <c r="O646" t="str">
        <f>TEXT(Table1[[#This Row],[Date]],"mmm")</f>
        <v>Aug</v>
      </c>
      <c r="P646">
        <f>MONTH(Table1[[#This Row],[Date]])</f>
        <v>8</v>
      </c>
    </row>
    <row r="647" spans="1:16" x14ac:dyDescent="0.25">
      <c r="A647" t="s">
        <v>666</v>
      </c>
      <c r="B647" t="s">
        <v>47</v>
      </c>
      <c r="C647" t="s">
        <v>10</v>
      </c>
      <c r="D647" s="1">
        <v>45301</v>
      </c>
      <c r="E647">
        <v>81675</v>
      </c>
      <c r="F647">
        <v>5775</v>
      </c>
      <c r="G647">
        <v>603</v>
      </c>
      <c r="H647" s="4">
        <v>1309.6099999999999</v>
      </c>
      <c r="I647" s="4">
        <v>35016.28</v>
      </c>
      <c r="J647" s="7">
        <f>Table1[[#This Row],[Clicks]]/Table1[[#This Row],[Impressions]]</f>
        <v>7.0707070707070704E-2</v>
      </c>
      <c r="K647" s="7">
        <f>IFERROR(Table1[[#This Row],[Conversions]]/Table1[[#This Row],[Clicks]],0)</f>
        <v>0.10441558441558442</v>
      </c>
      <c r="L647" s="6">
        <f>IF(Table1[[#This Row],[Conversions]]=0,0,Table1[[#This Row],[Ad Spend]]/Table1[[#This Row],[Conversions]])</f>
        <v>2.1718242122719733</v>
      </c>
      <c r="M647" s="8">
        <f>IF(Table1[[#This Row],[Ad Spend]]=0,0,Table1[[#This Row],[Revenue]]/Table1[[#This Row],[Ad Spend]])</f>
        <v>26.737944884354885</v>
      </c>
      <c r="N647">
        <f>YEAR(Table1[[#This Row],[Date]])</f>
        <v>2024</v>
      </c>
      <c r="O647" t="str">
        <f>TEXT(Table1[[#This Row],[Date]],"mmm")</f>
        <v>Jan</v>
      </c>
      <c r="P647">
        <f>MONTH(Table1[[#This Row],[Date]])</f>
        <v>1</v>
      </c>
    </row>
    <row r="648" spans="1:16" x14ac:dyDescent="0.25">
      <c r="A648" t="s">
        <v>667</v>
      </c>
      <c r="B648" t="s">
        <v>9</v>
      </c>
      <c r="C648" t="s">
        <v>19</v>
      </c>
      <c r="D648" s="1">
        <v>45540</v>
      </c>
      <c r="E648">
        <v>144345</v>
      </c>
      <c r="F648">
        <v>2332</v>
      </c>
      <c r="G648">
        <v>106</v>
      </c>
      <c r="H648" s="4">
        <v>4840.6000000000004</v>
      </c>
      <c r="I648" s="4">
        <v>8063.29</v>
      </c>
      <c r="J648" s="7">
        <f>Table1[[#This Row],[Clicks]]/Table1[[#This Row],[Impressions]]</f>
        <v>1.6155737988846168E-2</v>
      </c>
      <c r="K648" s="7">
        <f>IFERROR(Table1[[#This Row],[Conversions]]/Table1[[#This Row],[Clicks]],0)</f>
        <v>4.5454545454545456E-2</v>
      </c>
      <c r="L648" s="6">
        <f>IF(Table1[[#This Row],[Conversions]]=0,0,Table1[[#This Row],[Ad Spend]]/Table1[[#This Row],[Conversions]])</f>
        <v>45.666037735849059</v>
      </c>
      <c r="M648" s="8">
        <f>IF(Table1[[#This Row],[Ad Spend]]=0,0,Table1[[#This Row],[Revenue]]/Table1[[#This Row],[Ad Spend]])</f>
        <v>1.6657625087799033</v>
      </c>
      <c r="N648">
        <f>YEAR(Table1[[#This Row],[Date]])</f>
        <v>2024</v>
      </c>
      <c r="O648" t="str">
        <f>TEXT(Table1[[#This Row],[Date]],"mmm")</f>
        <v>Sept</v>
      </c>
      <c r="P648">
        <f>MONTH(Table1[[#This Row],[Date]])</f>
        <v>9</v>
      </c>
    </row>
    <row r="649" spans="1:16" x14ac:dyDescent="0.25">
      <c r="A649" t="s">
        <v>668</v>
      </c>
      <c r="B649" t="s">
        <v>31</v>
      </c>
      <c r="C649" t="s">
        <v>10</v>
      </c>
      <c r="D649" s="1">
        <v>45418</v>
      </c>
      <c r="E649">
        <v>143783</v>
      </c>
      <c r="F649">
        <v>4506</v>
      </c>
      <c r="G649">
        <v>377</v>
      </c>
      <c r="H649" s="4">
        <v>3773.08</v>
      </c>
      <c r="I649" s="4">
        <v>8232.6299999999992</v>
      </c>
      <c r="J649" s="7">
        <f>Table1[[#This Row],[Clicks]]/Table1[[#This Row],[Impressions]]</f>
        <v>3.1338892636820763E-2</v>
      </c>
      <c r="K649" s="7">
        <f>IFERROR(Table1[[#This Row],[Conversions]]/Table1[[#This Row],[Clicks]],0)</f>
        <v>8.3666222814025748E-2</v>
      </c>
      <c r="L649" s="6">
        <f>IF(Table1[[#This Row],[Conversions]]=0,0,Table1[[#This Row],[Ad Spend]]/Table1[[#This Row],[Conversions]])</f>
        <v>10.008169761273209</v>
      </c>
      <c r="M649" s="8">
        <f>IF(Table1[[#This Row],[Ad Spend]]=0,0,Table1[[#This Row],[Revenue]]/Table1[[#This Row],[Ad Spend]])</f>
        <v>2.1819388934239399</v>
      </c>
      <c r="N649">
        <f>YEAR(Table1[[#This Row],[Date]])</f>
        <v>2024</v>
      </c>
      <c r="O649" t="str">
        <f>TEXT(Table1[[#This Row],[Date]],"mmm")</f>
        <v>May</v>
      </c>
      <c r="P649">
        <f>MONTH(Table1[[#This Row],[Date]])</f>
        <v>5</v>
      </c>
    </row>
    <row r="650" spans="1:16" x14ac:dyDescent="0.25">
      <c r="A650" t="s">
        <v>669</v>
      </c>
      <c r="B650" t="s">
        <v>47</v>
      </c>
      <c r="C650" t="s">
        <v>19</v>
      </c>
      <c r="D650" s="1">
        <v>45612</v>
      </c>
      <c r="E650">
        <v>84253</v>
      </c>
      <c r="F650">
        <v>2235</v>
      </c>
      <c r="G650">
        <v>328</v>
      </c>
      <c r="H650" s="4">
        <v>2606.0100000000002</v>
      </c>
      <c r="I650" s="4">
        <v>33190.089999999997</v>
      </c>
      <c r="J650" s="7">
        <f>Table1[[#This Row],[Clicks]]/Table1[[#This Row],[Impressions]]</f>
        <v>2.65272453206414E-2</v>
      </c>
      <c r="K650" s="7">
        <f>IFERROR(Table1[[#This Row],[Conversions]]/Table1[[#This Row],[Clicks]],0)</f>
        <v>0.14675615212527965</v>
      </c>
      <c r="L650" s="6">
        <f>IF(Table1[[#This Row],[Conversions]]=0,0,Table1[[#This Row],[Ad Spend]]/Table1[[#This Row],[Conversions]])</f>
        <v>7.9451524390243913</v>
      </c>
      <c r="M650" s="8">
        <f>IF(Table1[[#This Row],[Ad Spend]]=0,0,Table1[[#This Row],[Revenue]]/Table1[[#This Row],[Ad Spend]])</f>
        <v>12.735979524253549</v>
      </c>
      <c r="N650">
        <f>YEAR(Table1[[#This Row],[Date]])</f>
        <v>2024</v>
      </c>
      <c r="O650" t="str">
        <f>TEXT(Table1[[#This Row],[Date]],"mmm")</f>
        <v>Nov</v>
      </c>
      <c r="P650">
        <f>MONTH(Table1[[#This Row],[Date]])</f>
        <v>11</v>
      </c>
    </row>
    <row r="651" spans="1:16" x14ac:dyDescent="0.25">
      <c r="A651" t="s">
        <v>670</v>
      </c>
      <c r="B651" t="s">
        <v>34</v>
      </c>
      <c r="C651" t="s">
        <v>17</v>
      </c>
      <c r="D651" s="1">
        <v>45709</v>
      </c>
      <c r="E651">
        <v>12724</v>
      </c>
      <c r="F651">
        <v>968</v>
      </c>
      <c r="G651">
        <v>138</v>
      </c>
      <c r="H651" s="4">
        <v>1282.8</v>
      </c>
      <c r="I651" s="4">
        <v>7476.65</v>
      </c>
      <c r="J651" s="7">
        <f>Table1[[#This Row],[Clicks]]/Table1[[#This Row],[Impressions]]</f>
        <v>7.6076705438541337E-2</v>
      </c>
      <c r="K651" s="7">
        <f>IFERROR(Table1[[#This Row],[Conversions]]/Table1[[#This Row],[Clicks]],0)</f>
        <v>0.14256198347107438</v>
      </c>
      <c r="L651" s="6">
        <f>IF(Table1[[#This Row],[Conversions]]=0,0,Table1[[#This Row],[Ad Spend]]/Table1[[#This Row],[Conversions]])</f>
        <v>9.2956521739130427</v>
      </c>
      <c r="M651" s="8">
        <f>IF(Table1[[#This Row],[Ad Spend]]=0,0,Table1[[#This Row],[Revenue]]/Table1[[#This Row],[Ad Spend]])</f>
        <v>5.8283832241970686</v>
      </c>
      <c r="N651">
        <f>YEAR(Table1[[#This Row],[Date]])</f>
        <v>2025</v>
      </c>
      <c r="O651" t="str">
        <f>TEXT(Table1[[#This Row],[Date]],"mmm")</f>
        <v>Feb</v>
      </c>
      <c r="P651">
        <f>MONTH(Table1[[#This Row],[Date]])</f>
        <v>2</v>
      </c>
    </row>
    <row r="652" spans="1:16" x14ac:dyDescent="0.25">
      <c r="A652" t="s">
        <v>671</v>
      </c>
      <c r="B652" t="s">
        <v>21</v>
      </c>
      <c r="C652" t="s">
        <v>37</v>
      </c>
      <c r="D652" s="1">
        <v>45336</v>
      </c>
      <c r="E652">
        <v>105193</v>
      </c>
      <c r="F652">
        <v>4886</v>
      </c>
      <c r="G652">
        <v>528</v>
      </c>
      <c r="H652" s="4">
        <v>4388.97</v>
      </c>
      <c r="I652" s="4">
        <v>46808.43</v>
      </c>
      <c r="J652" s="7">
        <f>Table1[[#This Row],[Clicks]]/Table1[[#This Row],[Impressions]]</f>
        <v>4.6447957563716218E-2</v>
      </c>
      <c r="K652" s="7">
        <f>IFERROR(Table1[[#This Row],[Conversions]]/Table1[[#This Row],[Clicks]],0)</f>
        <v>0.10806385591485879</v>
      </c>
      <c r="L652" s="6">
        <f>IF(Table1[[#This Row],[Conversions]]=0,0,Table1[[#This Row],[Ad Spend]]/Table1[[#This Row],[Conversions]])</f>
        <v>8.3124431818181819</v>
      </c>
      <c r="M652" s="8">
        <f>IF(Table1[[#This Row],[Ad Spend]]=0,0,Table1[[#This Row],[Revenue]]/Table1[[#This Row],[Ad Spend]])</f>
        <v>10.665014798460685</v>
      </c>
      <c r="N652">
        <f>YEAR(Table1[[#This Row],[Date]])</f>
        <v>2024</v>
      </c>
      <c r="O652" t="str">
        <f>TEXT(Table1[[#This Row],[Date]],"mmm")</f>
        <v>Feb</v>
      </c>
      <c r="P652">
        <f>MONTH(Table1[[#This Row],[Date]])</f>
        <v>2</v>
      </c>
    </row>
    <row r="653" spans="1:16" x14ac:dyDescent="0.25">
      <c r="A653" t="s">
        <v>672</v>
      </c>
      <c r="B653" t="s">
        <v>21</v>
      </c>
      <c r="C653" t="s">
        <v>37</v>
      </c>
      <c r="D653" s="1">
        <v>45585</v>
      </c>
      <c r="E653">
        <v>45042</v>
      </c>
      <c r="F653">
        <v>1795</v>
      </c>
      <c r="G653">
        <v>108</v>
      </c>
      <c r="H653" s="4">
        <v>3105.77</v>
      </c>
      <c r="I653" s="4">
        <v>7011.03</v>
      </c>
      <c r="J653" s="7">
        <f>Table1[[#This Row],[Clicks]]/Table1[[#This Row],[Impressions]]</f>
        <v>3.9851693974512679E-2</v>
      </c>
      <c r="K653" s="7">
        <f>IFERROR(Table1[[#This Row],[Conversions]]/Table1[[#This Row],[Clicks]],0)</f>
        <v>6.0167130919220053E-2</v>
      </c>
      <c r="L653" s="6">
        <f>IF(Table1[[#This Row],[Conversions]]=0,0,Table1[[#This Row],[Ad Spend]]/Table1[[#This Row],[Conversions]])</f>
        <v>28.757129629629631</v>
      </c>
      <c r="M653" s="8">
        <f>IF(Table1[[#This Row],[Ad Spend]]=0,0,Table1[[#This Row],[Revenue]]/Table1[[#This Row],[Ad Spend]])</f>
        <v>2.2574208650350798</v>
      </c>
      <c r="N653">
        <f>YEAR(Table1[[#This Row],[Date]])</f>
        <v>2024</v>
      </c>
      <c r="O653" t="str">
        <f>TEXT(Table1[[#This Row],[Date]],"mmm")</f>
        <v>Oct</v>
      </c>
      <c r="P653">
        <f>MONTH(Table1[[#This Row],[Date]])</f>
        <v>10</v>
      </c>
    </row>
    <row r="654" spans="1:16" x14ac:dyDescent="0.25">
      <c r="A654" t="s">
        <v>673</v>
      </c>
      <c r="B654" t="s">
        <v>16</v>
      </c>
      <c r="C654" t="s">
        <v>37</v>
      </c>
      <c r="D654" s="1">
        <v>45626</v>
      </c>
      <c r="E654">
        <v>41327</v>
      </c>
      <c r="F654">
        <v>2094</v>
      </c>
      <c r="G654">
        <v>228</v>
      </c>
      <c r="H654" s="4">
        <v>1171.0899999999999</v>
      </c>
      <c r="I654" s="4">
        <v>7708.9</v>
      </c>
      <c r="J654" s="7">
        <f>Table1[[#This Row],[Clicks]]/Table1[[#This Row],[Impressions]]</f>
        <v>5.0669054129261738E-2</v>
      </c>
      <c r="K654" s="7">
        <f>IFERROR(Table1[[#This Row],[Conversions]]/Table1[[#This Row],[Clicks]],0)</f>
        <v>0.10888252148997135</v>
      </c>
      <c r="L654" s="6">
        <f>IF(Table1[[#This Row],[Conversions]]=0,0,Table1[[#This Row],[Ad Spend]]/Table1[[#This Row],[Conversions]])</f>
        <v>5.1363596491228067</v>
      </c>
      <c r="M654" s="8">
        <f>IF(Table1[[#This Row],[Ad Spend]]=0,0,Table1[[#This Row],[Revenue]]/Table1[[#This Row],[Ad Spend]])</f>
        <v>6.582670845110111</v>
      </c>
      <c r="N654">
        <f>YEAR(Table1[[#This Row],[Date]])</f>
        <v>2024</v>
      </c>
      <c r="O654" t="str">
        <f>TEXT(Table1[[#This Row],[Date]],"mmm")</f>
        <v>Nov</v>
      </c>
      <c r="P654">
        <f>MONTH(Table1[[#This Row],[Date]])</f>
        <v>11</v>
      </c>
    </row>
    <row r="655" spans="1:16" x14ac:dyDescent="0.25">
      <c r="A655" t="s">
        <v>674</v>
      </c>
      <c r="B655" t="s">
        <v>16</v>
      </c>
      <c r="C655" t="s">
        <v>17</v>
      </c>
      <c r="D655" s="1">
        <v>45686</v>
      </c>
      <c r="E655">
        <v>43050</v>
      </c>
      <c r="F655">
        <v>2408</v>
      </c>
      <c r="G655">
        <v>224</v>
      </c>
      <c r="H655" s="4">
        <v>958.63</v>
      </c>
      <c r="I655" s="4">
        <v>5999.03</v>
      </c>
      <c r="J655" s="7">
        <f>Table1[[#This Row],[Clicks]]/Table1[[#This Row],[Impressions]]</f>
        <v>5.5934959349593499E-2</v>
      </c>
      <c r="K655" s="7">
        <f>IFERROR(Table1[[#This Row],[Conversions]]/Table1[[#This Row],[Clicks]],0)</f>
        <v>9.3023255813953487E-2</v>
      </c>
      <c r="L655" s="6">
        <f>IF(Table1[[#This Row],[Conversions]]=0,0,Table1[[#This Row],[Ad Spend]]/Table1[[#This Row],[Conversions]])</f>
        <v>4.2795982142857145</v>
      </c>
      <c r="M655" s="8">
        <f>IF(Table1[[#This Row],[Ad Spend]]=0,0,Table1[[#This Row],[Revenue]]/Table1[[#This Row],[Ad Spend]])</f>
        <v>6.2579201568905622</v>
      </c>
      <c r="N655">
        <f>YEAR(Table1[[#This Row],[Date]])</f>
        <v>2025</v>
      </c>
      <c r="O655" t="str">
        <f>TEXT(Table1[[#This Row],[Date]],"mmm")</f>
        <v>Jan</v>
      </c>
      <c r="P655">
        <f>MONTH(Table1[[#This Row],[Date]])</f>
        <v>1</v>
      </c>
    </row>
    <row r="656" spans="1:16" x14ac:dyDescent="0.25">
      <c r="A656" t="s">
        <v>675</v>
      </c>
      <c r="B656" t="s">
        <v>9</v>
      </c>
      <c r="C656" t="s">
        <v>37</v>
      </c>
      <c r="D656" s="1">
        <v>45454</v>
      </c>
      <c r="E656">
        <v>43147</v>
      </c>
      <c r="F656">
        <v>2627</v>
      </c>
      <c r="G656">
        <v>313</v>
      </c>
      <c r="H656" s="4">
        <v>4424.63</v>
      </c>
      <c r="I656" s="4">
        <v>19219.46</v>
      </c>
      <c r="J656" s="7">
        <f>Table1[[#This Row],[Clicks]]/Table1[[#This Row],[Impressions]]</f>
        <v>6.0884881915312765E-2</v>
      </c>
      <c r="K656" s="7">
        <f>IFERROR(Table1[[#This Row],[Conversions]]/Table1[[#This Row],[Clicks]],0)</f>
        <v>0.11914731633041492</v>
      </c>
      <c r="L656" s="6">
        <f>IF(Table1[[#This Row],[Conversions]]=0,0,Table1[[#This Row],[Ad Spend]]/Table1[[#This Row],[Conversions]])</f>
        <v>14.136198083067093</v>
      </c>
      <c r="M656" s="8">
        <f>IF(Table1[[#This Row],[Ad Spend]]=0,0,Table1[[#This Row],[Revenue]]/Table1[[#This Row],[Ad Spend]])</f>
        <v>4.3437439966731679</v>
      </c>
      <c r="N656">
        <f>YEAR(Table1[[#This Row],[Date]])</f>
        <v>2024</v>
      </c>
      <c r="O656" t="str">
        <f>TEXT(Table1[[#This Row],[Date]],"mmm")</f>
        <v>Jun</v>
      </c>
      <c r="P656">
        <f>MONTH(Table1[[#This Row],[Date]])</f>
        <v>6</v>
      </c>
    </row>
    <row r="657" spans="1:16" x14ac:dyDescent="0.25">
      <c r="A657" t="s">
        <v>676</v>
      </c>
      <c r="B657" t="s">
        <v>21</v>
      </c>
      <c r="C657" t="s">
        <v>19</v>
      </c>
      <c r="D657" s="1">
        <v>45518</v>
      </c>
      <c r="E657">
        <v>76774</v>
      </c>
      <c r="F657">
        <v>1584</v>
      </c>
      <c r="G657">
        <v>70</v>
      </c>
      <c r="H657" s="4">
        <v>831.42</v>
      </c>
      <c r="I657" s="4">
        <v>1583.39</v>
      </c>
      <c r="J657" s="7">
        <f>Table1[[#This Row],[Clicks]]/Table1[[#This Row],[Impressions]]</f>
        <v>2.0631984786516268E-2</v>
      </c>
      <c r="K657" s="7">
        <f>IFERROR(Table1[[#This Row],[Conversions]]/Table1[[#This Row],[Clicks]],0)</f>
        <v>4.4191919191919192E-2</v>
      </c>
      <c r="L657" s="6">
        <f>IF(Table1[[#This Row],[Conversions]]=0,0,Table1[[#This Row],[Ad Spend]]/Table1[[#This Row],[Conversions]])</f>
        <v>11.87742857142857</v>
      </c>
      <c r="M657" s="8">
        <f>IF(Table1[[#This Row],[Ad Spend]]=0,0,Table1[[#This Row],[Revenue]]/Table1[[#This Row],[Ad Spend]])</f>
        <v>1.904440595607515</v>
      </c>
      <c r="N657">
        <f>YEAR(Table1[[#This Row],[Date]])</f>
        <v>2024</v>
      </c>
      <c r="O657" t="str">
        <f>TEXT(Table1[[#This Row],[Date]],"mmm")</f>
        <v>Aug</v>
      </c>
      <c r="P657">
        <f>MONTH(Table1[[#This Row],[Date]])</f>
        <v>8</v>
      </c>
    </row>
    <row r="658" spans="1:16" x14ac:dyDescent="0.25">
      <c r="A658" t="s">
        <v>677</v>
      </c>
      <c r="B658" t="s">
        <v>34</v>
      </c>
      <c r="C658" t="s">
        <v>12</v>
      </c>
      <c r="D658" s="1">
        <v>45582</v>
      </c>
      <c r="E658">
        <v>65532</v>
      </c>
      <c r="F658">
        <v>3390</v>
      </c>
      <c r="G658">
        <v>169</v>
      </c>
      <c r="H658" s="4">
        <v>325.20999999999998</v>
      </c>
      <c r="I658" s="4">
        <v>4723.13</v>
      </c>
      <c r="J658" s="7">
        <f>Table1[[#This Row],[Clicks]]/Table1[[#This Row],[Impressions]]</f>
        <v>5.1730452298113898E-2</v>
      </c>
      <c r="K658" s="7">
        <f>IFERROR(Table1[[#This Row],[Conversions]]/Table1[[#This Row],[Clicks]],0)</f>
        <v>4.9852507374631268E-2</v>
      </c>
      <c r="L658" s="6">
        <f>IF(Table1[[#This Row],[Conversions]]=0,0,Table1[[#This Row],[Ad Spend]]/Table1[[#This Row],[Conversions]])</f>
        <v>1.9243195266272188</v>
      </c>
      <c r="M658" s="8">
        <f>IF(Table1[[#This Row],[Ad Spend]]=0,0,Table1[[#This Row],[Revenue]]/Table1[[#This Row],[Ad Spend]])</f>
        <v>14.523323391039638</v>
      </c>
      <c r="N658">
        <f>YEAR(Table1[[#This Row],[Date]])</f>
        <v>2024</v>
      </c>
      <c r="O658" t="str">
        <f>TEXT(Table1[[#This Row],[Date]],"mmm")</f>
        <v>Oct</v>
      </c>
      <c r="P658">
        <f>MONTH(Table1[[#This Row],[Date]])</f>
        <v>10</v>
      </c>
    </row>
    <row r="659" spans="1:16" x14ac:dyDescent="0.25">
      <c r="A659" t="s">
        <v>678</v>
      </c>
      <c r="B659" t="s">
        <v>41</v>
      </c>
      <c r="C659" t="s">
        <v>37</v>
      </c>
      <c r="D659" s="1">
        <v>45549</v>
      </c>
      <c r="E659">
        <v>127883</v>
      </c>
      <c r="F659">
        <v>7652</v>
      </c>
      <c r="G659">
        <v>525</v>
      </c>
      <c r="H659" s="4">
        <v>4290.22</v>
      </c>
      <c r="I659" s="4">
        <v>36300.89</v>
      </c>
      <c r="J659" s="7">
        <f>Table1[[#This Row],[Clicks]]/Table1[[#This Row],[Impressions]]</f>
        <v>5.9835943792372719E-2</v>
      </c>
      <c r="K659" s="7">
        <f>IFERROR(Table1[[#This Row],[Conversions]]/Table1[[#This Row],[Clicks]],0)</f>
        <v>6.8609513852587553E-2</v>
      </c>
      <c r="L659" s="6">
        <f>IF(Table1[[#This Row],[Conversions]]=0,0,Table1[[#This Row],[Ad Spend]]/Table1[[#This Row],[Conversions]])</f>
        <v>8.1718476190476199</v>
      </c>
      <c r="M659" s="8">
        <f>IF(Table1[[#This Row],[Ad Spend]]=0,0,Table1[[#This Row],[Revenue]]/Table1[[#This Row],[Ad Spend]])</f>
        <v>8.4613120073096475</v>
      </c>
      <c r="N659">
        <f>YEAR(Table1[[#This Row],[Date]])</f>
        <v>2024</v>
      </c>
      <c r="O659" t="str">
        <f>TEXT(Table1[[#This Row],[Date]],"mmm")</f>
        <v>Sept</v>
      </c>
      <c r="P659">
        <f>MONTH(Table1[[#This Row],[Date]])</f>
        <v>9</v>
      </c>
    </row>
    <row r="660" spans="1:16" x14ac:dyDescent="0.25">
      <c r="A660" t="s">
        <v>679</v>
      </c>
      <c r="B660" t="s">
        <v>16</v>
      </c>
      <c r="C660" t="s">
        <v>37</v>
      </c>
      <c r="D660" s="1">
        <v>45390</v>
      </c>
      <c r="E660">
        <v>64316</v>
      </c>
      <c r="F660">
        <v>788</v>
      </c>
      <c r="G660">
        <v>94</v>
      </c>
      <c r="H660" s="4">
        <v>272.07</v>
      </c>
      <c r="I660" s="4">
        <v>4416.67</v>
      </c>
      <c r="J660" s="7">
        <f>Table1[[#This Row],[Clicks]]/Table1[[#This Row],[Impressions]]</f>
        <v>1.2252005721748865E-2</v>
      </c>
      <c r="K660" s="7">
        <f>IFERROR(Table1[[#This Row],[Conversions]]/Table1[[#This Row],[Clicks]],0)</f>
        <v>0.11928934010152284</v>
      </c>
      <c r="L660" s="6">
        <f>IF(Table1[[#This Row],[Conversions]]=0,0,Table1[[#This Row],[Ad Spend]]/Table1[[#This Row],[Conversions]])</f>
        <v>2.8943617021276595</v>
      </c>
      <c r="M660" s="8">
        <f>IF(Table1[[#This Row],[Ad Spend]]=0,0,Table1[[#This Row],[Revenue]]/Table1[[#This Row],[Ad Spend]])</f>
        <v>16.233579593486972</v>
      </c>
      <c r="N660">
        <f>YEAR(Table1[[#This Row],[Date]])</f>
        <v>2024</v>
      </c>
      <c r="O660" t="str">
        <f>TEXT(Table1[[#This Row],[Date]],"mmm")</f>
        <v>Apr</v>
      </c>
      <c r="P660">
        <f>MONTH(Table1[[#This Row],[Date]])</f>
        <v>4</v>
      </c>
    </row>
    <row r="661" spans="1:16" x14ac:dyDescent="0.25">
      <c r="A661" t="s">
        <v>680</v>
      </c>
      <c r="B661" t="s">
        <v>21</v>
      </c>
      <c r="C661" t="s">
        <v>37</v>
      </c>
      <c r="D661" s="1">
        <v>45672</v>
      </c>
      <c r="E661">
        <v>58171</v>
      </c>
      <c r="F661">
        <v>3667</v>
      </c>
      <c r="G661">
        <v>104</v>
      </c>
      <c r="H661" s="4">
        <v>4650.1000000000004</v>
      </c>
      <c r="I661" s="4">
        <v>12330.53</v>
      </c>
      <c r="J661" s="7">
        <f>Table1[[#This Row],[Clicks]]/Table1[[#This Row],[Impressions]]</f>
        <v>6.3038283680871915E-2</v>
      </c>
      <c r="K661" s="7">
        <f>IFERROR(Table1[[#This Row],[Conversions]]/Table1[[#This Row],[Clicks]],0)</f>
        <v>2.8361058085628579E-2</v>
      </c>
      <c r="L661" s="6">
        <f>IF(Table1[[#This Row],[Conversions]]=0,0,Table1[[#This Row],[Ad Spend]]/Table1[[#This Row],[Conversions]])</f>
        <v>44.712500000000006</v>
      </c>
      <c r="M661" s="8">
        <f>IF(Table1[[#This Row],[Ad Spend]]=0,0,Table1[[#This Row],[Revenue]]/Table1[[#This Row],[Ad Spend]])</f>
        <v>2.6516698565622243</v>
      </c>
      <c r="N661">
        <f>YEAR(Table1[[#This Row],[Date]])</f>
        <v>2025</v>
      </c>
      <c r="O661" t="str">
        <f>TEXT(Table1[[#This Row],[Date]],"mmm")</f>
        <v>Jan</v>
      </c>
      <c r="P661">
        <f>MONTH(Table1[[#This Row],[Date]])</f>
        <v>1</v>
      </c>
    </row>
    <row r="662" spans="1:16" x14ac:dyDescent="0.25">
      <c r="A662" t="s">
        <v>681</v>
      </c>
      <c r="B662" t="s">
        <v>41</v>
      </c>
      <c r="C662" t="s">
        <v>19</v>
      </c>
      <c r="D662" s="1">
        <v>45526</v>
      </c>
      <c r="E662">
        <v>69692</v>
      </c>
      <c r="F662">
        <v>2782</v>
      </c>
      <c r="G662">
        <v>336</v>
      </c>
      <c r="H662" s="4">
        <v>3118.06</v>
      </c>
      <c r="I662" s="4">
        <v>34417.440000000002</v>
      </c>
      <c r="J662" s="7">
        <f>Table1[[#This Row],[Clicks]]/Table1[[#This Row],[Impressions]]</f>
        <v>3.9918498536417379E-2</v>
      </c>
      <c r="K662" s="7">
        <f>IFERROR(Table1[[#This Row],[Conversions]]/Table1[[#This Row],[Clicks]],0)</f>
        <v>0.1207764198418404</v>
      </c>
      <c r="L662" s="6">
        <f>IF(Table1[[#This Row],[Conversions]]=0,0,Table1[[#This Row],[Ad Spend]]/Table1[[#This Row],[Conversions]])</f>
        <v>9.2799404761904754</v>
      </c>
      <c r="M662" s="8">
        <f>IF(Table1[[#This Row],[Ad Spend]]=0,0,Table1[[#This Row],[Revenue]]/Table1[[#This Row],[Ad Spend]])</f>
        <v>11.038094199598468</v>
      </c>
      <c r="N662">
        <f>YEAR(Table1[[#This Row],[Date]])</f>
        <v>2024</v>
      </c>
      <c r="O662" t="str">
        <f>TEXT(Table1[[#This Row],[Date]],"mmm")</f>
        <v>Aug</v>
      </c>
      <c r="P662">
        <f>MONTH(Table1[[#This Row],[Date]])</f>
        <v>8</v>
      </c>
    </row>
    <row r="663" spans="1:16" x14ac:dyDescent="0.25">
      <c r="A663" t="s">
        <v>682</v>
      </c>
      <c r="B663" t="s">
        <v>47</v>
      </c>
      <c r="C663" t="s">
        <v>17</v>
      </c>
      <c r="D663" s="1">
        <v>45605</v>
      </c>
      <c r="E663">
        <v>145550</v>
      </c>
      <c r="F663">
        <v>6806</v>
      </c>
      <c r="G663">
        <v>910</v>
      </c>
      <c r="H663" s="4">
        <v>3977.22</v>
      </c>
      <c r="I663" s="4">
        <v>65579.070000000007</v>
      </c>
      <c r="J663" s="7">
        <f>Table1[[#This Row],[Clicks]]/Table1[[#This Row],[Impressions]]</f>
        <v>4.6760563380281693E-2</v>
      </c>
      <c r="K663" s="7">
        <f>IFERROR(Table1[[#This Row],[Conversions]]/Table1[[#This Row],[Clicks]],0)</f>
        <v>0.13370555392300912</v>
      </c>
      <c r="L663" s="6">
        <f>IF(Table1[[#This Row],[Conversions]]=0,0,Table1[[#This Row],[Ad Spend]]/Table1[[#This Row],[Conversions]])</f>
        <v>4.3705714285714281</v>
      </c>
      <c r="M663" s="8">
        <f>IF(Table1[[#This Row],[Ad Spend]]=0,0,Table1[[#This Row],[Revenue]]/Table1[[#This Row],[Ad Spend]])</f>
        <v>16.488670478374345</v>
      </c>
      <c r="N663">
        <f>YEAR(Table1[[#This Row],[Date]])</f>
        <v>2024</v>
      </c>
      <c r="O663" t="str">
        <f>TEXT(Table1[[#This Row],[Date]],"mmm")</f>
        <v>Nov</v>
      </c>
      <c r="P663">
        <f>MONTH(Table1[[#This Row],[Date]])</f>
        <v>11</v>
      </c>
    </row>
    <row r="664" spans="1:16" x14ac:dyDescent="0.25">
      <c r="A664" t="s">
        <v>683</v>
      </c>
      <c r="B664" t="s">
        <v>41</v>
      </c>
      <c r="C664" t="s">
        <v>17</v>
      </c>
      <c r="D664" s="1">
        <v>45715</v>
      </c>
      <c r="E664">
        <v>16119</v>
      </c>
      <c r="F664">
        <v>1151</v>
      </c>
      <c r="G664">
        <v>59</v>
      </c>
      <c r="H664" s="4">
        <v>2781.77</v>
      </c>
      <c r="I664" s="4">
        <v>6984.6</v>
      </c>
      <c r="J664" s="7">
        <f>Table1[[#This Row],[Clicks]]/Table1[[#This Row],[Impressions]]</f>
        <v>7.1406414789999373E-2</v>
      </c>
      <c r="K664" s="7">
        <f>IFERROR(Table1[[#This Row],[Conversions]]/Table1[[#This Row],[Clicks]],0)</f>
        <v>5.1259774109470024E-2</v>
      </c>
      <c r="L664" s="6">
        <f>IF(Table1[[#This Row],[Conversions]]=0,0,Table1[[#This Row],[Ad Spend]]/Table1[[#This Row],[Conversions]])</f>
        <v>47.14864406779661</v>
      </c>
      <c r="M664" s="8">
        <f>IF(Table1[[#This Row],[Ad Spend]]=0,0,Table1[[#This Row],[Revenue]]/Table1[[#This Row],[Ad Spend]])</f>
        <v>2.5108474101022011</v>
      </c>
      <c r="N664">
        <f>YEAR(Table1[[#This Row],[Date]])</f>
        <v>2025</v>
      </c>
      <c r="O664" t="str">
        <f>TEXT(Table1[[#This Row],[Date]],"mmm")</f>
        <v>Feb</v>
      </c>
      <c r="P664">
        <f>MONTH(Table1[[#This Row],[Date]])</f>
        <v>2</v>
      </c>
    </row>
    <row r="665" spans="1:16" x14ac:dyDescent="0.25">
      <c r="A665" t="s">
        <v>684</v>
      </c>
      <c r="B665" t="s">
        <v>31</v>
      </c>
      <c r="C665" t="s">
        <v>12</v>
      </c>
      <c r="D665" s="1">
        <v>45490</v>
      </c>
      <c r="E665">
        <v>140299</v>
      </c>
      <c r="F665">
        <v>8917</v>
      </c>
      <c r="G665">
        <v>1294</v>
      </c>
      <c r="H665" s="4">
        <v>1111.28</v>
      </c>
      <c r="I665" s="4">
        <v>82758.27</v>
      </c>
      <c r="J665" s="7">
        <f>Table1[[#This Row],[Clicks]]/Table1[[#This Row],[Impressions]]</f>
        <v>6.3557117299481825E-2</v>
      </c>
      <c r="K665" s="7">
        <f>IFERROR(Table1[[#This Row],[Conversions]]/Table1[[#This Row],[Clicks]],0)</f>
        <v>0.14511607042727376</v>
      </c>
      <c r="L665" s="6">
        <f>IF(Table1[[#This Row],[Conversions]]=0,0,Table1[[#This Row],[Ad Spend]]/Table1[[#This Row],[Conversions]])</f>
        <v>0.85879443585780524</v>
      </c>
      <c r="M665" s="8">
        <f>IF(Table1[[#This Row],[Ad Spend]]=0,0,Table1[[#This Row],[Revenue]]/Table1[[#This Row],[Ad Spend]])</f>
        <v>74.471123389244838</v>
      </c>
      <c r="N665">
        <f>YEAR(Table1[[#This Row],[Date]])</f>
        <v>2024</v>
      </c>
      <c r="O665" t="str">
        <f>TEXT(Table1[[#This Row],[Date]],"mmm")</f>
        <v>Jul</v>
      </c>
      <c r="P665">
        <f>MONTH(Table1[[#This Row],[Date]])</f>
        <v>7</v>
      </c>
    </row>
    <row r="666" spans="1:16" x14ac:dyDescent="0.25">
      <c r="A666" t="s">
        <v>685</v>
      </c>
      <c r="B666" t="s">
        <v>34</v>
      </c>
      <c r="C666" t="s">
        <v>19</v>
      </c>
      <c r="D666" s="1">
        <v>45528</v>
      </c>
      <c r="E666">
        <v>48643</v>
      </c>
      <c r="F666">
        <v>1924</v>
      </c>
      <c r="G666">
        <v>191</v>
      </c>
      <c r="H666" s="4">
        <v>461.82</v>
      </c>
      <c r="I666" s="4">
        <v>13694.12</v>
      </c>
      <c r="J666" s="7">
        <f>Table1[[#This Row],[Clicks]]/Table1[[#This Row],[Impressions]]</f>
        <v>3.9553481487572727E-2</v>
      </c>
      <c r="K666" s="7">
        <f>IFERROR(Table1[[#This Row],[Conversions]]/Table1[[#This Row],[Clicks]],0)</f>
        <v>9.9272349272349278E-2</v>
      </c>
      <c r="L666" s="6">
        <f>IF(Table1[[#This Row],[Conversions]]=0,0,Table1[[#This Row],[Ad Spend]]/Table1[[#This Row],[Conversions]])</f>
        <v>2.4179057591623034</v>
      </c>
      <c r="M666" s="8">
        <f>IF(Table1[[#This Row],[Ad Spend]]=0,0,Table1[[#This Row],[Revenue]]/Table1[[#This Row],[Ad Spend]])</f>
        <v>29.652505305097225</v>
      </c>
      <c r="N666">
        <f>YEAR(Table1[[#This Row],[Date]])</f>
        <v>2024</v>
      </c>
      <c r="O666" t="str">
        <f>TEXT(Table1[[#This Row],[Date]],"mmm")</f>
        <v>Aug</v>
      </c>
      <c r="P666">
        <f>MONTH(Table1[[#This Row],[Date]])</f>
        <v>8</v>
      </c>
    </row>
    <row r="667" spans="1:16" x14ac:dyDescent="0.25">
      <c r="A667" t="s">
        <v>686</v>
      </c>
      <c r="B667" t="s">
        <v>16</v>
      </c>
      <c r="C667" t="s">
        <v>17</v>
      </c>
      <c r="D667" s="1">
        <v>45716</v>
      </c>
      <c r="E667">
        <v>123409</v>
      </c>
      <c r="F667">
        <v>2015</v>
      </c>
      <c r="G667">
        <v>171</v>
      </c>
      <c r="H667" s="4">
        <v>1062.9000000000001</v>
      </c>
      <c r="I667" s="4">
        <v>13431.16</v>
      </c>
      <c r="J667" s="7">
        <f>Table1[[#This Row],[Clicks]]/Table1[[#This Row],[Impressions]]</f>
        <v>1.6327820499315283E-2</v>
      </c>
      <c r="K667" s="7">
        <f>IFERROR(Table1[[#This Row],[Conversions]]/Table1[[#This Row],[Clicks]],0)</f>
        <v>8.4863523573200997E-2</v>
      </c>
      <c r="L667" s="6">
        <f>IF(Table1[[#This Row],[Conversions]]=0,0,Table1[[#This Row],[Ad Spend]]/Table1[[#This Row],[Conversions]])</f>
        <v>6.215789473684211</v>
      </c>
      <c r="M667" s="8">
        <f>IF(Table1[[#This Row],[Ad Spend]]=0,0,Table1[[#This Row],[Revenue]]/Table1[[#This Row],[Ad Spend]])</f>
        <v>12.636334556402295</v>
      </c>
      <c r="N667">
        <f>YEAR(Table1[[#This Row],[Date]])</f>
        <v>2025</v>
      </c>
      <c r="O667" t="str">
        <f>TEXT(Table1[[#This Row],[Date]],"mmm")</f>
        <v>Feb</v>
      </c>
      <c r="P667">
        <f>MONTH(Table1[[#This Row],[Date]])</f>
        <v>2</v>
      </c>
    </row>
    <row r="668" spans="1:16" x14ac:dyDescent="0.25">
      <c r="A668" t="s">
        <v>687</v>
      </c>
      <c r="B668" t="s">
        <v>16</v>
      </c>
      <c r="C668" t="s">
        <v>17</v>
      </c>
      <c r="D668" s="1">
        <v>45503</v>
      </c>
      <c r="E668">
        <v>89793</v>
      </c>
      <c r="F668">
        <v>3731</v>
      </c>
      <c r="G668">
        <v>161</v>
      </c>
      <c r="H668" s="4">
        <v>3033.51</v>
      </c>
      <c r="I668" s="4">
        <v>14693.41</v>
      </c>
      <c r="J668" s="7">
        <f>Table1[[#This Row],[Clicks]]/Table1[[#This Row],[Impressions]]</f>
        <v>4.1551123138774737E-2</v>
      </c>
      <c r="K668" s="7">
        <f>IFERROR(Table1[[#This Row],[Conversions]]/Table1[[#This Row],[Clicks]],0)</f>
        <v>4.3151969981238276E-2</v>
      </c>
      <c r="L668" s="6">
        <f>IF(Table1[[#This Row],[Conversions]]=0,0,Table1[[#This Row],[Ad Spend]]/Table1[[#This Row],[Conversions]])</f>
        <v>18.841677018633543</v>
      </c>
      <c r="M668" s="8">
        <f>IF(Table1[[#This Row],[Ad Spend]]=0,0,Table1[[#This Row],[Revenue]]/Table1[[#This Row],[Ad Spend]])</f>
        <v>4.8436992131227514</v>
      </c>
      <c r="N668">
        <f>YEAR(Table1[[#This Row],[Date]])</f>
        <v>2024</v>
      </c>
      <c r="O668" t="str">
        <f>TEXT(Table1[[#This Row],[Date]],"mmm")</f>
        <v>Jul</v>
      </c>
      <c r="P668">
        <f>MONTH(Table1[[#This Row],[Date]])</f>
        <v>7</v>
      </c>
    </row>
    <row r="669" spans="1:16" x14ac:dyDescent="0.25">
      <c r="A669" t="s">
        <v>688</v>
      </c>
      <c r="B669" t="s">
        <v>14</v>
      </c>
      <c r="C669" t="s">
        <v>17</v>
      </c>
      <c r="D669" s="1">
        <v>45338</v>
      </c>
      <c r="E669">
        <v>70557</v>
      </c>
      <c r="F669">
        <v>2306</v>
      </c>
      <c r="G669">
        <v>240</v>
      </c>
      <c r="H669" s="4">
        <v>3615.05</v>
      </c>
      <c r="I669" s="4">
        <v>8735.86</v>
      </c>
      <c r="J669" s="7">
        <f>Table1[[#This Row],[Clicks]]/Table1[[#This Row],[Impressions]]</f>
        <v>3.2682795470328957E-2</v>
      </c>
      <c r="K669" s="7">
        <f>IFERROR(Table1[[#This Row],[Conversions]]/Table1[[#This Row],[Clicks]],0)</f>
        <v>0.10407632263660017</v>
      </c>
      <c r="L669" s="6">
        <f>IF(Table1[[#This Row],[Conversions]]=0,0,Table1[[#This Row],[Ad Spend]]/Table1[[#This Row],[Conversions]])</f>
        <v>15.062708333333335</v>
      </c>
      <c r="M669" s="8">
        <f>IF(Table1[[#This Row],[Ad Spend]]=0,0,Table1[[#This Row],[Revenue]]/Table1[[#This Row],[Ad Spend]])</f>
        <v>2.4165253592619744</v>
      </c>
      <c r="N669">
        <f>YEAR(Table1[[#This Row],[Date]])</f>
        <v>2024</v>
      </c>
      <c r="O669" t="str">
        <f>TEXT(Table1[[#This Row],[Date]],"mmm")</f>
        <v>Feb</v>
      </c>
      <c r="P669">
        <f>MONTH(Table1[[#This Row],[Date]])</f>
        <v>2</v>
      </c>
    </row>
    <row r="670" spans="1:16" x14ac:dyDescent="0.25">
      <c r="A670" t="s">
        <v>689</v>
      </c>
      <c r="B670" t="s">
        <v>9</v>
      </c>
      <c r="C670" t="s">
        <v>10</v>
      </c>
      <c r="D670" s="1">
        <v>45350</v>
      </c>
      <c r="E670">
        <v>122807</v>
      </c>
      <c r="F670">
        <v>6678</v>
      </c>
      <c r="G670">
        <v>207</v>
      </c>
      <c r="H670" s="4">
        <v>3594.94</v>
      </c>
      <c r="I670" s="4">
        <v>19186.29</v>
      </c>
      <c r="J670" s="7">
        <f>Table1[[#This Row],[Clicks]]/Table1[[#This Row],[Impressions]]</f>
        <v>5.4378007768286822E-2</v>
      </c>
      <c r="K670" s="7">
        <f>IFERROR(Table1[[#This Row],[Conversions]]/Table1[[#This Row],[Clicks]],0)</f>
        <v>3.0997304582210242E-2</v>
      </c>
      <c r="L670" s="6">
        <f>IF(Table1[[#This Row],[Conversions]]=0,0,Table1[[#This Row],[Ad Spend]]/Table1[[#This Row],[Conversions]])</f>
        <v>17.366859903381641</v>
      </c>
      <c r="M670" s="8">
        <f>IF(Table1[[#This Row],[Ad Spend]]=0,0,Table1[[#This Row],[Revenue]]/Table1[[#This Row],[Ad Spend]])</f>
        <v>5.3370264872292728</v>
      </c>
      <c r="N670">
        <f>YEAR(Table1[[#This Row],[Date]])</f>
        <v>2024</v>
      </c>
      <c r="O670" t="str">
        <f>TEXT(Table1[[#This Row],[Date]],"mmm")</f>
        <v>Feb</v>
      </c>
      <c r="P670">
        <f>MONTH(Table1[[#This Row],[Date]])</f>
        <v>2</v>
      </c>
    </row>
    <row r="671" spans="1:16" x14ac:dyDescent="0.25">
      <c r="A671" t="s">
        <v>690</v>
      </c>
      <c r="B671" t="s">
        <v>16</v>
      </c>
      <c r="C671" t="s">
        <v>17</v>
      </c>
      <c r="D671" s="1">
        <v>45573</v>
      </c>
      <c r="E671">
        <v>104773</v>
      </c>
      <c r="F671">
        <v>1369</v>
      </c>
      <c r="G671">
        <v>57</v>
      </c>
      <c r="H671" s="4">
        <v>1808.93</v>
      </c>
      <c r="I671" s="4">
        <v>6106.44</v>
      </c>
      <c r="J671" s="7">
        <f>Table1[[#This Row],[Clicks]]/Table1[[#This Row],[Impressions]]</f>
        <v>1.306634342817329E-2</v>
      </c>
      <c r="K671" s="7">
        <f>IFERROR(Table1[[#This Row],[Conversions]]/Table1[[#This Row],[Clicks]],0)</f>
        <v>4.1636230825420013E-2</v>
      </c>
      <c r="L671" s="6">
        <f>IF(Table1[[#This Row],[Conversions]]=0,0,Table1[[#This Row],[Ad Spend]]/Table1[[#This Row],[Conversions]])</f>
        <v>31.735614035087721</v>
      </c>
      <c r="M671" s="8">
        <f>IF(Table1[[#This Row],[Ad Spend]]=0,0,Table1[[#This Row],[Revenue]]/Table1[[#This Row],[Ad Spend]])</f>
        <v>3.3757193479017982</v>
      </c>
      <c r="N671">
        <f>YEAR(Table1[[#This Row],[Date]])</f>
        <v>2024</v>
      </c>
      <c r="O671" t="str">
        <f>TEXT(Table1[[#This Row],[Date]],"mmm")</f>
        <v>Oct</v>
      </c>
      <c r="P671">
        <f>MONTH(Table1[[#This Row],[Date]])</f>
        <v>10</v>
      </c>
    </row>
    <row r="672" spans="1:16" x14ac:dyDescent="0.25">
      <c r="A672" t="s">
        <v>691</v>
      </c>
      <c r="B672" t="s">
        <v>16</v>
      </c>
      <c r="C672" t="s">
        <v>37</v>
      </c>
      <c r="D672" s="1">
        <v>45366</v>
      </c>
      <c r="E672">
        <v>51888</v>
      </c>
      <c r="F672">
        <v>3312</v>
      </c>
      <c r="G672">
        <v>88</v>
      </c>
      <c r="H672" s="4">
        <v>1678.7</v>
      </c>
      <c r="I672" s="4">
        <v>8185.42</v>
      </c>
      <c r="J672" s="7">
        <f>Table1[[#This Row],[Clicks]]/Table1[[#This Row],[Impressions]]</f>
        <v>6.3829787234042548E-2</v>
      </c>
      <c r="K672" s="7">
        <f>IFERROR(Table1[[#This Row],[Conversions]]/Table1[[#This Row],[Clicks]],0)</f>
        <v>2.6570048309178744E-2</v>
      </c>
      <c r="L672" s="6">
        <f>IF(Table1[[#This Row],[Conversions]]=0,0,Table1[[#This Row],[Ad Spend]]/Table1[[#This Row],[Conversions]])</f>
        <v>19.076136363636365</v>
      </c>
      <c r="M672" s="8">
        <f>IF(Table1[[#This Row],[Ad Spend]]=0,0,Table1[[#This Row],[Revenue]]/Table1[[#This Row],[Ad Spend]])</f>
        <v>4.876046941085364</v>
      </c>
      <c r="N672">
        <f>YEAR(Table1[[#This Row],[Date]])</f>
        <v>2024</v>
      </c>
      <c r="O672" t="str">
        <f>TEXT(Table1[[#This Row],[Date]],"mmm")</f>
        <v>Mar</v>
      </c>
      <c r="P672">
        <f>MONTH(Table1[[#This Row],[Date]])</f>
        <v>3</v>
      </c>
    </row>
    <row r="673" spans="1:16" x14ac:dyDescent="0.25">
      <c r="A673" t="s">
        <v>692</v>
      </c>
      <c r="B673" t="s">
        <v>41</v>
      </c>
      <c r="C673" t="s">
        <v>19</v>
      </c>
      <c r="D673" s="1">
        <v>45612</v>
      </c>
      <c r="E673">
        <v>52368</v>
      </c>
      <c r="F673">
        <v>954</v>
      </c>
      <c r="G673">
        <v>35</v>
      </c>
      <c r="H673" s="4">
        <v>1173.69</v>
      </c>
      <c r="I673" s="4">
        <v>2878.96</v>
      </c>
      <c r="J673" s="7">
        <f>Table1[[#This Row],[Clicks]]/Table1[[#This Row],[Impressions]]</f>
        <v>1.8217231897341889E-2</v>
      </c>
      <c r="K673" s="7">
        <f>IFERROR(Table1[[#This Row],[Conversions]]/Table1[[#This Row],[Clicks]],0)</f>
        <v>3.668763102725367E-2</v>
      </c>
      <c r="L673" s="6">
        <f>IF(Table1[[#This Row],[Conversions]]=0,0,Table1[[#This Row],[Ad Spend]]/Table1[[#This Row],[Conversions]])</f>
        <v>33.533999999999999</v>
      </c>
      <c r="M673" s="8">
        <f>IF(Table1[[#This Row],[Ad Spend]]=0,0,Table1[[#This Row],[Revenue]]/Table1[[#This Row],[Ad Spend]])</f>
        <v>2.4529134609649907</v>
      </c>
      <c r="N673">
        <f>YEAR(Table1[[#This Row],[Date]])</f>
        <v>2024</v>
      </c>
      <c r="O673" t="str">
        <f>TEXT(Table1[[#This Row],[Date]],"mmm")</f>
        <v>Nov</v>
      </c>
      <c r="P673">
        <f>MONTH(Table1[[#This Row],[Date]])</f>
        <v>11</v>
      </c>
    </row>
    <row r="674" spans="1:16" x14ac:dyDescent="0.25">
      <c r="A674" t="s">
        <v>693</v>
      </c>
      <c r="B674" t="s">
        <v>34</v>
      </c>
      <c r="C674" t="s">
        <v>10</v>
      </c>
      <c r="D674" s="1">
        <v>45526</v>
      </c>
      <c r="E674">
        <v>135450</v>
      </c>
      <c r="F674">
        <v>9465</v>
      </c>
      <c r="G674">
        <v>858</v>
      </c>
      <c r="H674" s="4">
        <v>227.6</v>
      </c>
      <c r="I674" s="4">
        <v>92895.91</v>
      </c>
      <c r="J674" s="7">
        <f>Table1[[#This Row],[Clicks]]/Table1[[#This Row],[Impressions]]</f>
        <v>6.98781838316722E-2</v>
      </c>
      <c r="K674" s="7">
        <f>IFERROR(Table1[[#This Row],[Conversions]]/Table1[[#This Row],[Clicks]],0)</f>
        <v>9.0649762282091914E-2</v>
      </c>
      <c r="L674" s="6">
        <f>IF(Table1[[#This Row],[Conversions]]=0,0,Table1[[#This Row],[Ad Spend]]/Table1[[#This Row],[Conversions]])</f>
        <v>0.26526806526806523</v>
      </c>
      <c r="M674" s="8">
        <f>IF(Table1[[#This Row],[Ad Spend]]=0,0,Table1[[#This Row],[Revenue]]/Table1[[#This Row],[Ad Spend]])</f>
        <v>408.15426186291745</v>
      </c>
      <c r="N674">
        <f>YEAR(Table1[[#This Row],[Date]])</f>
        <v>2024</v>
      </c>
      <c r="O674" t="str">
        <f>TEXT(Table1[[#This Row],[Date]],"mmm")</f>
        <v>Aug</v>
      </c>
      <c r="P674">
        <f>MONTH(Table1[[#This Row],[Date]])</f>
        <v>8</v>
      </c>
    </row>
    <row r="675" spans="1:16" x14ac:dyDescent="0.25">
      <c r="A675" t="s">
        <v>694</v>
      </c>
      <c r="B675" t="s">
        <v>14</v>
      </c>
      <c r="C675" t="s">
        <v>37</v>
      </c>
      <c r="D675" s="1">
        <v>45593</v>
      </c>
      <c r="E675">
        <v>129705</v>
      </c>
      <c r="F675">
        <v>5416</v>
      </c>
      <c r="G675">
        <v>419</v>
      </c>
      <c r="H675" s="4">
        <v>3085.84</v>
      </c>
      <c r="I675" s="4">
        <v>8655.41</v>
      </c>
      <c r="J675" s="7">
        <f>Table1[[#This Row],[Clicks]]/Table1[[#This Row],[Impressions]]</f>
        <v>4.1756293126710614E-2</v>
      </c>
      <c r="K675" s="7">
        <f>IFERROR(Table1[[#This Row],[Conversions]]/Table1[[#This Row],[Clicks]],0)</f>
        <v>7.7363367799113736E-2</v>
      </c>
      <c r="L675" s="6">
        <f>IF(Table1[[#This Row],[Conversions]]=0,0,Table1[[#This Row],[Ad Spend]]/Table1[[#This Row],[Conversions]])</f>
        <v>7.3647732696897377</v>
      </c>
      <c r="M675" s="8">
        <f>IF(Table1[[#This Row],[Ad Spend]]=0,0,Table1[[#This Row],[Revenue]]/Table1[[#This Row],[Ad Spend]])</f>
        <v>2.8048797086044641</v>
      </c>
      <c r="N675">
        <f>YEAR(Table1[[#This Row],[Date]])</f>
        <v>2024</v>
      </c>
      <c r="O675" t="str">
        <f>TEXT(Table1[[#This Row],[Date]],"mmm")</f>
        <v>Oct</v>
      </c>
      <c r="P675">
        <f>MONTH(Table1[[#This Row],[Date]])</f>
        <v>10</v>
      </c>
    </row>
    <row r="676" spans="1:16" x14ac:dyDescent="0.25">
      <c r="A676" t="s">
        <v>695</v>
      </c>
      <c r="B676" t="s">
        <v>34</v>
      </c>
      <c r="C676" t="s">
        <v>12</v>
      </c>
      <c r="D676" s="1">
        <v>45613</v>
      </c>
      <c r="E676">
        <v>59430</v>
      </c>
      <c r="F676">
        <v>797</v>
      </c>
      <c r="G676">
        <v>31</v>
      </c>
      <c r="H676" s="4">
        <v>3335.73</v>
      </c>
      <c r="I676" s="4">
        <v>733.84</v>
      </c>
      <c r="J676" s="7">
        <f>Table1[[#This Row],[Clicks]]/Table1[[#This Row],[Impressions]]</f>
        <v>1.3410735318862527E-2</v>
      </c>
      <c r="K676" s="7">
        <f>IFERROR(Table1[[#This Row],[Conversions]]/Table1[[#This Row],[Clicks]],0)</f>
        <v>3.889585947302384E-2</v>
      </c>
      <c r="L676" s="6">
        <f>IF(Table1[[#This Row],[Conversions]]=0,0,Table1[[#This Row],[Ad Spend]]/Table1[[#This Row],[Conversions]])</f>
        <v>107.6041935483871</v>
      </c>
      <c r="M676" s="8">
        <f>IF(Table1[[#This Row],[Ad Spend]]=0,0,Table1[[#This Row],[Revenue]]/Table1[[#This Row],[Ad Spend]])</f>
        <v>0.2199938244402275</v>
      </c>
      <c r="N676">
        <f>YEAR(Table1[[#This Row],[Date]])</f>
        <v>2024</v>
      </c>
      <c r="O676" t="str">
        <f>TEXT(Table1[[#This Row],[Date]],"mmm")</f>
        <v>Nov</v>
      </c>
      <c r="P676">
        <f>MONTH(Table1[[#This Row],[Date]])</f>
        <v>11</v>
      </c>
    </row>
    <row r="677" spans="1:16" x14ac:dyDescent="0.25">
      <c r="A677" t="s">
        <v>696</v>
      </c>
      <c r="B677" t="s">
        <v>31</v>
      </c>
      <c r="C677" t="s">
        <v>12</v>
      </c>
      <c r="D677" s="1">
        <v>45600</v>
      </c>
      <c r="E677">
        <v>83234</v>
      </c>
      <c r="F677">
        <v>2761</v>
      </c>
      <c r="G677">
        <v>86</v>
      </c>
      <c r="H677" s="4">
        <v>722.66</v>
      </c>
      <c r="I677" s="4">
        <v>10266.120000000001</v>
      </c>
      <c r="J677" s="7">
        <f>Table1[[#This Row],[Clicks]]/Table1[[#This Row],[Impressions]]</f>
        <v>3.3171540476247686E-2</v>
      </c>
      <c r="K677" s="7">
        <f>IFERROR(Table1[[#This Row],[Conversions]]/Table1[[#This Row],[Clicks]],0)</f>
        <v>3.1148134733792104E-2</v>
      </c>
      <c r="L677" s="6">
        <f>IF(Table1[[#This Row],[Conversions]]=0,0,Table1[[#This Row],[Ad Spend]]/Table1[[#This Row],[Conversions]])</f>
        <v>8.4030232558139524</v>
      </c>
      <c r="M677" s="8">
        <f>IF(Table1[[#This Row],[Ad Spend]]=0,0,Table1[[#This Row],[Revenue]]/Table1[[#This Row],[Ad Spend]])</f>
        <v>14.206016660670302</v>
      </c>
      <c r="N677">
        <f>YEAR(Table1[[#This Row],[Date]])</f>
        <v>2024</v>
      </c>
      <c r="O677" t="str">
        <f>TEXT(Table1[[#This Row],[Date]],"mmm")</f>
        <v>Nov</v>
      </c>
      <c r="P677">
        <f>MONTH(Table1[[#This Row],[Date]])</f>
        <v>11</v>
      </c>
    </row>
    <row r="678" spans="1:16" x14ac:dyDescent="0.25">
      <c r="A678" t="s">
        <v>697</v>
      </c>
      <c r="B678" t="s">
        <v>16</v>
      </c>
      <c r="C678" t="s">
        <v>19</v>
      </c>
      <c r="D678" s="1">
        <v>45604</v>
      </c>
      <c r="E678">
        <v>51509</v>
      </c>
      <c r="F678">
        <v>3999</v>
      </c>
      <c r="G678">
        <v>469</v>
      </c>
      <c r="H678" s="4">
        <v>1928.91</v>
      </c>
      <c r="I678" s="4">
        <v>11060.9</v>
      </c>
      <c r="J678" s="7">
        <f>Table1[[#This Row],[Clicks]]/Table1[[#This Row],[Impressions]]</f>
        <v>7.7636917820186765E-2</v>
      </c>
      <c r="K678" s="7">
        <f>IFERROR(Table1[[#This Row],[Conversions]]/Table1[[#This Row],[Clicks]],0)</f>
        <v>0.11727931982995748</v>
      </c>
      <c r="L678" s="6">
        <f>IF(Table1[[#This Row],[Conversions]]=0,0,Table1[[#This Row],[Ad Spend]]/Table1[[#This Row],[Conversions]])</f>
        <v>4.1128144989339024</v>
      </c>
      <c r="M678" s="8">
        <f>IF(Table1[[#This Row],[Ad Spend]]=0,0,Table1[[#This Row],[Revenue]]/Table1[[#This Row],[Ad Spend]])</f>
        <v>5.7342747976836659</v>
      </c>
      <c r="N678">
        <f>YEAR(Table1[[#This Row],[Date]])</f>
        <v>2024</v>
      </c>
      <c r="O678" t="str">
        <f>TEXT(Table1[[#This Row],[Date]],"mmm")</f>
        <v>Nov</v>
      </c>
      <c r="P678">
        <f>MONTH(Table1[[#This Row],[Date]])</f>
        <v>11</v>
      </c>
    </row>
    <row r="679" spans="1:16" x14ac:dyDescent="0.25">
      <c r="A679" t="s">
        <v>698</v>
      </c>
      <c r="B679" t="s">
        <v>34</v>
      </c>
      <c r="C679" t="s">
        <v>19</v>
      </c>
      <c r="D679" s="1">
        <v>45480</v>
      </c>
      <c r="E679">
        <v>104336</v>
      </c>
      <c r="F679">
        <v>7034</v>
      </c>
      <c r="G679">
        <v>834</v>
      </c>
      <c r="H679" s="4">
        <v>4247.8900000000003</v>
      </c>
      <c r="I679" s="4">
        <v>22094.82</v>
      </c>
      <c r="J679" s="7">
        <f>Table1[[#This Row],[Clicks]]/Table1[[#This Row],[Impressions]]</f>
        <v>6.7416807238153659E-2</v>
      </c>
      <c r="K679" s="7">
        <f>IFERROR(Table1[[#This Row],[Conversions]]/Table1[[#This Row],[Clicks]],0)</f>
        <v>0.11856696047767984</v>
      </c>
      <c r="L679" s="6">
        <f>IF(Table1[[#This Row],[Conversions]]=0,0,Table1[[#This Row],[Ad Spend]]/Table1[[#This Row],[Conversions]])</f>
        <v>5.093393285371703</v>
      </c>
      <c r="M679" s="8">
        <f>IF(Table1[[#This Row],[Ad Spend]]=0,0,Table1[[#This Row],[Revenue]]/Table1[[#This Row],[Ad Spend]])</f>
        <v>5.2013635004672905</v>
      </c>
      <c r="N679">
        <f>YEAR(Table1[[#This Row],[Date]])</f>
        <v>2024</v>
      </c>
      <c r="O679" t="str">
        <f>TEXT(Table1[[#This Row],[Date]],"mmm")</f>
        <v>Jul</v>
      </c>
      <c r="P679">
        <f>MONTH(Table1[[#This Row],[Date]])</f>
        <v>7</v>
      </c>
    </row>
    <row r="680" spans="1:16" x14ac:dyDescent="0.25">
      <c r="A680" t="s">
        <v>699</v>
      </c>
      <c r="B680" t="s">
        <v>41</v>
      </c>
      <c r="C680" t="s">
        <v>37</v>
      </c>
      <c r="D680" s="1">
        <v>45354</v>
      </c>
      <c r="E680">
        <v>76937</v>
      </c>
      <c r="F680">
        <v>2542</v>
      </c>
      <c r="G680">
        <v>187</v>
      </c>
      <c r="H680" s="4">
        <v>1207.26</v>
      </c>
      <c r="I680" s="4">
        <v>7649.25</v>
      </c>
      <c r="J680" s="7">
        <f>Table1[[#This Row],[Clicks]]/Table1[[#This Row],[Impressions]]</f>
        <v>3.3040019756424087E-2</v>
      </c>
      <c r="K680" s="7">
        <f>IFERROR(Table1[[#This Row],[Conversions]]/Table1[[#This Row],[Clicks]],0)</f>
        <v>7.3564122738001572E-2</v>
      </c>
      <c r="L680" s="6">
        <f>IF(Table1[[#This Row],[Conversions]]=0,0,Table1[[#This Row],[Ad Spend]]/Table1[[#This Row],[Conversions]])</f>
        <v>6.4559358288770055</v>
      </c>
      <c r="M680" s="8">
        <f>IF(Table1[[#This Row],[Ad Spend]]=0,0,Table1[[#This Row],[Revenue]]/Table1[[#This Row],[Ad Spend]])</f>
        <v>6.336041946225337</v>
      </c>
      <c r="N680">
        <f>YEAR(Table1[[#This Row],[Date]])</f>
        <v>2024</v>
      </c>
      <c r="O680" t="str">
        <f>TEXT(Table1[[#This Row],[Date]],"mmm")</f>
        <v>Mar</v>
      </c>
      <c r="P680">
        <f>MONTH(Table1[[#This Row],[Date]])</f>
        <v>3</v>
      </c>
    </row>
    <row r="681" spans="1:16" x14ac:dyDescent="0.25">
      <c r="A681" t="s">
        <v>700</v>
      </c>
      <c r="B681" t="s">
        <v>31</v>
      </c>
      <c r="C681" t="s">
        <v>10</v>
      </c>
      <c r="D681" s="1">
        <v>45584</v>
      </c>
      <c r="E681">
        <v>143660</v>
      </c>
      <c r="F681">
        <v>11363</v>
      </c>
      <c r="G681">
        <v>941</v>
      </c>
      <c r="H681" s="4">
        <v>3505.54</v>
      </c>
      <c r="I681" s="4">
        <v>106699.21</v>
      </c>
      <c r="J681" s="7">
        <f>Table1[[#This Row],[Clicks]]/Table1[[#This Row],[Impressions]]</f>
        <v>7.9096477794793257E-2</v>
      </c>
      <c r="K681" s="7">
        <f>IFERROR(Table1[[#This Row],[Conversions]]/Table1[[#This Row],[Clicks]],0)</f>
        <v>8.2812637507700432E-2</v>
      </c>
      <c r="L681" s="6">
        <f>IF(Table1[[#This Row],[Conversions]]=0,0,Table1[[#This Row],[Ad Spend]]/Table1[[#This Row],[Conversions]])</f>
        <v>3.7253347502656746</v>
      </c>
      <c r="M681" s="8">
        <f>IF(Table1[[#This Row],[Ad Spend]]=0,0,Table1[[#This Row],[Revenue]]/Table1[[#This Row],[Ad Spend]])</f>
        <v>30.437310656846023</v>
      </c>
      <c r="N681">
        <f>YEAR(Table1[[#This Row],[Date]])</f>
        <v>2024</v>
      </c>
      <c r="O681" t="str">
        <f>TEXT(Table1[[#This Row],[Date]],"mmm")</f>
        <v>Oct</v>
      </c>
      <c r="P681">
        <f>MONTH(Table1[[#This Row],[Date]])</f>
        <v>10</v>
      </c>
    </row>
    <row r="682" spans="1:16" x14ac:dyDescent="0.25">
      <c r="A682" t="s">
        <v>701</v>
      </c>
      <c r="B682" t="s">
        <v>34</v>
      </c>
      <c r="C682" t="s">
        <v>17</v>
      </c>
      <c r="D682" s="1">
        <v>45603</v>
      </c>
      <c r="E682">
        <v>87965</v>
      </c>
      <c r="F682">
        <v>2478</v>
      </c>
      <c r="G682">
        <v>234</v>
      </c>
      <c r="H682" s="4">
        <v>3191.57</v>
      </c>
      <c r="I682" s="4">
        <v>26374.27</v>
      </c>
      <c r="J682" s="7">
        <f>Table1[[#This Row],[Clicks]]/Table1[[#This Row],[Impressions]]</f>
        <v>2.817029500369465E-2</v>
      </c>
      <c r="K682" s="7">
        <f>IFERROR(Table1[[#This Row],[Conversions]]/Table1[[#This Row],[Clicks]],0)</f>
        <v>9.4430992736077482E-2</v>
      </c>
      <c r="L682" s="6">
        <f>IF(Table1[[#This Row],[Conversions]]=0,0,Table1[[#This Row],[Ad Spend]]/Table1[[#This Row],[Conversions]])</f>
        <v>13.639188034188034</v>
      </c>
      <c r="M682" s="8">
        <f>IF(Table1[[#This Row],[Ad Spend]]=0,0,Table1[[#This Row],[Revenue]]/Table1[[#This Row],[Ad Spend]])</f>
        <v>8.2637291364438195</v>
      </c>
      <c r="N682">
        <f>YEAR(Table1[[#This Row],[Date]])</f>
        <v>2024</v>
      </c>
      <c r="O682" t="str">
        <f>TEXT(Table1[[#This Row],[Date]],"mmm")</f>
        <v>Nov</v>
      </c>
      <c r="P682">
        <f>MONTH(Table1[[#This Row],[Date]])</f>
        <v>11</v>
      </c>
    </row>
    <row r="683" spans="1:16" x14ac:dyDescent="0.25">
      <c r="A683" t="s">
        <v>702</v>
      </c>
      <c r="B683" t="s">
        <v>41</v>
      </c>
      <c r="C683" t="s">
        <v>12</v>
      </c>
      <c r="D683" s="1">
        <v>45665</v>
      </c>
      <c r="E683">
        <v>135479</v>
      </c>
      <c r="F683">
        <v>6025</v>
      </c>
      <c r="G683">
        <v>261</v>
      </c>
      <c r="H683" s="4">
        <v>3125.15</v>
      </c>
      <c r="I683" s="4">
        <v>23714.12</v>
      </c>
      <c r="J683" s="7">
        <f>Table1[[#This Row],[Clicks]]/Table1[[#This Row],[Impressions]]</f>
        <v>4.4471836963662262E-2</v>
      </c>
      <c r="K683" s="7">
        <f>IFERROR(Table1[[#This Row],[Conversions]]/Table1[[#This Row],[Clicks]],0)</f>
        <v>4.33195020746888E-2</v>
      </c>
      <c r="L683" s="6">
        <f>IF(Table1[[#This Row],[Conversions]]=0,0,Table1[[#This Row],[Ad Spend]]/Table1[[#This Row],[Conversions]])</f>
        <v>11.97375478927203</v>
      </c>
      <c r="M683" s="8">
        <f>IF(Table1[[#This Row],[Ad Spend]]=0,0,Table1[[#This Row],[Revenue]]/Table1[[#This Row],[Ad Spend]])</f>
        <v>7.5881541685999068</v>
      </c>
      <c r="N683">
        <f>YEAR(Table1[[#This Row],[Date]])</f>
        <v>2025</v>
      </c>
      <c r="O683" t="str">
        <f>TEXT(Table1[[#This Row],[Date]],"mmm")</f>
        <v>Jan</v>
      </c>
      <c r="P683">
        <f>MONTH(Table1[[#This Row],[Date]])</f>
        <v>1</v>
      </c>
    </row>
    <row r="684" spans="1:16" x14ac:dyDescent="0.25">
      <c r="A684" t="s">
        <v>703</v>
      </c>
      <c r="B684" t="s">
        <v>14</v>
      </c>
      <c r="C684" t="s">
        <v>10</v>
      </c>
      <c r="D684" s="1">
        <v>45352</v>
      </c>
      <c r="E684">
        <v>11287</v>
      </c>
      <c r="F684">
        <v>480</v>
      </c>
      <c r="G684">
        <v>59</v>
      </c>
      <c r="H684" s="4">
        <v>3739.85</v>
      </c>
      <c r="I684" s="4">
        <v>2403.25</v>
      </c>
      <c r="J684" s="7">
        <f>Table1[[#This Row],[Clicks]]/Table1[[#This Row],[Impressions]]</f>
        <v>4.2526800744219016E-2</v>
      </c>
      <c r="K684" s="7">
        <f>IFERROR(Table1[[#This Row],[Conversions]]/Table1[[#This Row],[Clicks]],0)</f>
        <v>0.12291666666666666</v>
      </c>
      <c r="L684" s="6">
        <f>IF(Table1[[#This Row],[Conversions]]=0,0,Table1[[#This Row],[Ad Spend]]/Table1[[#This Row],[Conversions]])</f>
        <v>63.387288135593217</v>
      </c>
      <c r="M684" s="8">
        <f>IF(Table1[[#This Row],[Ad Spend]]=0,0,Table1[[#This Row],[Revenue]]/Table1[[#This Row],[Ad Spend]])</f>
        <v>0.64260598687113124</v>
      </c>
      <c r="N684">
        <f>YEAR(Table1[[#This Row],[Date]])</f>
        <v>2024</v>
      </c>
      <c r="O684" t="str">
        <f>TEXT(Table1[[#This Row],[Date]],"mmm")</f>
        <v>Mar</v>
      </c>
      <c r="P684">
        <f>MONTH(Table1[[#This Row],[Date]])</f>
        <v>3</v>
      </c>
    </row>
    <row r="685" spans="1:16" x14ac:dyDescent="0.25">
      <c r="A685" t="s">
        <v>704</v>
      </c>
      <c r="B685" t="s">
        <v>21</v>
      </c>
      <c r="C685" t="s">
        <v>17</v>
      </c>
      <c r="D685" s="1">
        <v>45315</v>
      </c>
      <c r="E685">
        <v>92501</v>
      </c>
      <c r="F685">
        <v>3189</v>
      </c>
      <c r="G685">
        <v>397</v>
      </c>
      <c r="H685" s="4">
        <v>1219.22</v>
      </c>
      <c r="I685" s="4">
        <v>33372.550000000003</v>
      </c>
      <c r="J685" s="7">
        <f>Table1[[#This Row],[Clicks]]/Table1[[#This Row],[Impressions]]</f>
        <v>3.4475302969697627E-2</v>
      </c>
      <c r="K685" s="7">
        <f>IFERROR(Table1[[#This Row],[Conversions]]/Table1[[#This Row],[Clicks]],0)</f>
        <v>0.12449043587331451</v>
      </c>
      <c r="L685" s="6">
        <f>IF(Table1[[#This Row],[Conversions]]=0,0,Table1[[#This Row],[Ad Spend]]/Table1[[#This Row],[Conversions]])</f>
        <v>3.0710831234256926</v>
      </c>
      <c r="M685" s="8">
        <f>IF(Table1[[#This Row],[Ad Spend]]=0,0,Table1[[#This Row],[Revenue]]/Table1[[#This Row],[Ad Spend]])</f>
        <v>27.372049343022589</v>
      </c>
      <c r="N685">
        <f>YEAR(Table1[[#This Row],[Date]])</f>
        <v>2024</v>
      </c>
      <c r="O685" t="str">
        <f>TEXT(Table1[[#This Row],[Date]],"mmm")</f>
        <v>Jan</v>
      </c>
      <c r="P685">
        <f>MONTH(Table1[[#This Row],[Date]])</f>
        <v>1</v>
      </c>
    </row>
    <row r="686" spans="1:16" x14ac:dyDescent="0.25">
      <c r="A686" t="s">
        <v>705</v>
      </c>
      <c r="B686" t="s">
        <v>34</v>
      </c>
      <c r="C686" t="s">
        <v>19</v>
      </c>
      <c r="D686" s="1">
        <v>45696</v>
      </c>
      <c r="E686">
        <v>22782</v>
      </c>
      <c r="F686">
        <v>718</v>
      </c>
      <c r="G686">
        <v>61</v>
      </c>
      <c r="H686" s="4">
        <v>1754.83</v>
      </c>
      <c r="I686" s="4">
        <v>1257.4000000000001</v>
      </c>
      <c r="J686" s="7">
        <f>Table1[[#This Row],[Clicks]]/Table1[[#This Row],[Impressions]]</f>
        <v>3.1516109209024666E-2</v>
      </c>
      <c r="K686" s="7">
        <f>IFERROR(Table1[[#This Row],[Conversions]]/Table1[[#This Row],[Clicks]],0)</f>
        <v>8.495821727019498E-2</v>
      </c>
      <c r="L686" s="6">
        <f>IF(Table1[[#This Row],[Conversions]]=0,0,Table1[[#This Row],[Ad Spend]]/Table1[[#This Row],[Conversions]])</f>
        <v>28.767704918032784</v>
      </c>
      <c r="M686" s="8">
        <f>IF(Table1[[#This Row],[Ad Spend]]=0,0,Table1[[#This Row],[Revenue]]/Table1[[#This Row],[Ad Spend]])</f>
        <v>0.71653664457525812</v>
      </c>
      <c r="N686">
        <f>YEAR(Table1[[#This Row],[Date]])</f>
        <v>2025</v>
      </c>
      <c r="O686" t="str">
        <f>TEXT(Table1[[#This Row],[Date]],"mmm")</f>
        <v>Feb</v>
      </c>
      <c r="P686">
        <f>MONTH(Table1[[#This Row],[Date]])</f>
        <v>2</v>
      </c>
    </row>
    <row r="687" spans="1:16" x14ac:dyDescent="0.25">
      <c r="A687" t="s">
        <v>706</v>
      </c>
      <c r="B687" t="s">
        <v>47</v>
      </c>
      <c r="C687" t="s">
        <v>19</v>
      </c>
      <c r="D687" s="1">
        <v>45494</v>
      </c>
      <c r="E687">
        <v>12632</v>
      </c>
      <c r="F687">
        <v>862</v>
      </c>
      <c r="G687">
        <v>38</v>
      </c>
      <c r="H687" s="4">
        <v>4202.3599999999997</v>
      </c>
      <c r="I687" s="4">
        <v>4264.66</v>
      </c>
      <c r="J687" s="7">
        <f>Table1[[#This Row],[Clicks]]/Table1[[#This Row],[Impressions]]</f>
        <v>6.8239392020265993E-2</v>
      </c>
      <c r="K687" s="7">
        <f>IFERROR(Table1[[#This Row],[Conversions]]/Table1[[#This Row],[Clicks]],0)</f>
        <v>4.4083526682134569E-2</v>
      </c>
      <c r="L687" s="6">
        <f>IF(Table1[[#This Row],[Conversions]]=0,0,Table1[[#This Row],[Ad Spend]]/Table1[[#This Row],[Conversions]])</f>
        <v>110.58842105263157</v>
      </c>
      <c r="M687" s="8">
        <f>IF(Table1[[#This Row],[Ad Spend]]=0,0,Table1[[#This Row],[Revenue]]/Table1[[#This Row],[Ad Spend]])</f>
        <v>1.0148250030935</v>
      </c>
      <c r="N687">
        <f>YEAR(Table1[[#This Row],[Date]])</f>
        <v>2024</v>
      </c>
      <c r="O687" t="str">
        <f>TEXT(Table1[[#This Row],[Date]],"mmm")</f>
        <v>Jul</v>
      </c>
      <c r="P687">
        <f>MONTH(Table1[[#This Row],[Date]])</f>
        <v>7</v>
      </c>
    </row>
    <row r="688" spans="1:16" x14ac:dyDescent="0.25">
      <c r="A688" t="s">
        <v>707</v>
      </c>
      <c r="B688" t="s">
        <v>41</v>
      </c>
      <c r="C688" t="s">
        <v>17</v>
      </c>
      <c r="D688" s="1">
        <v>45700</v>
      </c>
      <c r="E688">
        <v>14321</v>
      </c>
      <c r="F688">
        <v>790</v>
      </c>
      <c r="G688">
        <v>65</v>
      </c>
      <c r="H688" s="4">
        <v>3210.56</v>
      </c>
      <c r="I688" s="4">
        <v>7098.38</v>
      </c>
      <c r="J688" s="7">
        <f>Table1[[#This Row],[Clicks]]/Table1[[#This Row],[Impressions]]</f>
        <v>5.5163745548495215E-2</v>
      </c>
      <c r="K688" s="7">
        <f>IFERROR(Table1[[#This Row],[Conversions]]/Table1[[#This Row],[Clicks]],0)</f>
        <v>8.2278481012658222E-2</v>
      </c>
      <c r="L688" s="6">
        <f>IF(Table1[[#This Row],[Conversions]]=0,0,Table1[[#This Row],[Ad Spend]]/Table1[[#This Row],[Conversions]])</f>
        <v>49.393230769230769</v>
      </c>
      <c r="M688" s="8">
        <f>IF(Table1[[#This Row],[Ad Spend]]=0,0,Table1[[#This Row],[Revenue]]/Table1[[#This Row],[Ad Spend]])</f>
        <v>2.2109476228446128</v>
      </c>
      <c r="N688">
        <f>YEAR(Table1[[#This Row],[Date]])</f>
        <v>2025</v>
      </c>
      <c r="O688" t="str">
        <f>TEXT(Table1[[#This Row],[Date]],"mmm")</f>
        <v>Feb</v>
      </c>
      <c r="P688">
        <f>MONTH(Table1[[#This Row],[Date]])</f>
        <v>2</v>
      </c>
    </row>
    <row r="689" spans="1:16" x14ac:dyDescent="0.25">
      <c r="A689" t="s">
        <v>708</v>
      </c>
      <c r="B689" t="s">
        <v>47</v>
      </c>
      <c r="C689" t="s">
        <v>17</v>
      </c>
      <c r="D689" s="1">
        <v>45693</v>
      </c>
      <c r="E689">
        <v>113515</v>
      </c>
      <c r="F689">
        <v>8507</v>
      </c>
      <c r="G689">
        <v>232</v>
      </c>
      <c r="H689" s="4">
        <v>2701.15</v>
      </c>
      <c r="I689" s="4">
        <v>17746.669999999998</v>
      </c>
      <c r="J689" s="7">
        <f>Table1[[#This Row],[Clicks]]/Table1[[#This Row],[Impressions]]</f>
        <v>7.4941637669030531E-2</v>
      </c>
      <c r="K689" s="7">
        <f>IFERROR(Table1[[#This Row],[Conversions]]/Table1[[#This Row],[Clicks]],0)</f>
        <v>2.7271658634066064E-2</v>
      </c>
      <c r="L689" s="6">
        <f>IF(Table1[[#This Row],[Conversions]]=0,0,Table1[[#This Row],[Ad Spend]]/Table1[[#This Row],[Conversions]])</f>
        <v>11.642887931034483</v>
      </c>
      <c r="M689" s="8">
        <f>IF(Table1[[#This Row],[Ad Spend]]=0,0,Table1[[#This Row],[Revenue]]/Table1[[#This Row],[Ad Spend]])</f>
        <v>6.5700423893526825</v>
      </c>
      <c r="N689">
        <f>YEAR(Table1[[#This Row],[Date]])</f>
        <v>2025</v>
      </c>
      <c r="O689" t="str">
        <f>TEXT(Table1[[#This Row],[Date]],"mmm")</f>
        <v>Feb</v>
      </c>
      <c r="P689">
        <f>MONTH(Table1[[#This Row],[Date]])</f>
        <v>2</v>
      </c>
    </row>
    <row r="690" spans="1:16" x14ac:dyDescent="0.25">
      <c r="A690" t="s">
        <v>709</v>
      </c>
      <c r="B690" t="s">
        <v>47</v>
      </c>
      <c r="C690" t="s">
        <v>12</v>
      </c>
      <c r="D690" s="1">
        <v>45566</v>
      </c>
      <c r="E690">
        <v>9906</v>
      </c>
      <c r="F690">
        <v>243</v>
      </c>
      <c r="G690">
        <v>26</v>
      </c>
      <c r="H690" s="4">
        <v>4037.77</v>
      </c>
      <c r="I690" s="4">
        <v>2828.88</v>
      </c>
      <c r="J690" s="7">
        <f>Table1[[#This Row],[Clicks]]/Table1[[#This Row],[Impressions]]</f>
        <v>2.4530587522713507E-2</v>
      </c>
      <c r="K690" s="7">
        <f>IFERROR(Table1[[#This Row],[Conversions]]/Table1[[#This Row],[Clicks]],0)</f>
        <v>0.10699588477366255</v>
      </c>
      <c r="L690" s="6">
        <f>IF(Table1[[#This Row],[Conversions]]=0,0,Table1[[#This Row],[Ad Spend]]/Table1[[#This Row],[Conversions]])</f>
        <v>155.29884615384614</v>
      </c>
      <c r="M690" s="8">
        <f>IF(Table1[[#This Row],[Ad Spend]]=0,0,Table1[[#This Row],[Revenue]]/Table1[[#This Row],[Ad Spend]])</f>
        <v>0.70060454161579289</v>
      </c>
      <c r="N690">
        <f>YEAR(Table1[[#This Row],[Date]])</f>
        <v>2024</v>
      </c>
      <c r="O690" t="str">
        <f>TEXT(Table1[[#This Row],[Date]],"mmm")</f>
        <v>Oct</v>
      </c>
      <c r="P690">
        <f>MONTH(Table1[[#This Row],[Date]])</f>
        <v>10</v>
      </c>
    </row>
    <row r="691" spans="1:16" x14ac:dyDescent="0.25">
      <c r="A691" t="s">
        <v>710</v>
      </c>
      <c r="B691" t="s">
        <v>47</v>
      </c>
      <c r="C691" t="s">
        <v>10</v>
      </c>
      <c r="D691" s="1">
        <v>45368</v>
      </c>
      <c r="E691">
        <v>78520</v>
      </c>
      <c r="F691">
        <v>5406</v>
      </c>
      <c r="G691">
        <v>346</v>
      </c>
      <c r="H691" s="4">
        <v>2001.16</v>
      </c>
      <c r="I691" s="4">
        <v>25405.85</v>
      </c>
      <c r="J691" s="7">
        <f>Table1[[#This Row],[Clicks]]/Table1[[#This Row],[Impressions]]</f>
        <v>6.8848700967906268E-2</v>
      </c>
      <c r="K691" s="7">
        <f>IFERROR(Table1[[#This Row],[Conversions]]/Table1[[#This Row],[Clicks]],0)</f>
        <v>6.4002959674435811E-2</v>
      </c>
      <c r="L691" s="6">
        <f>IF(Table1[[#This Row],[Conversions]]=0,0,Table1[[#This Row],[Ad Spend]]/Table1[[#This Row],[Conversions]])</f>
        <v>5.7836994219653182</v>
      </c>
      <c r="M691" s="8">
        <f>IF(Table1[[#This Row],[Ad Spend]]=0,0,Table1[[#This Row],[Revenue]]/Table1[[#This Row],[Ad Spend]])</f>
        <v>12.695561574286913</v>
      </c>
      <c r="N691">
        <f>YEAR(Table1[[#This Row],[Date]])</f>
        <v>2024</v>
      </c>
      <c r="O691" t="str">
        <f>TEXT(Table1[[#This Row],[Date]],"mmm")</f>
        <v>Mar</v>
      </c>
      <c r="P691">
        <f>MONTH(Table1[[#This Row],[Date]])</f>
        <v>3</v>
      </c>
    </row>
    <row r="692" spans="1:16" x14ac:dyDescent="0.25">
      <c r="A692" t="s">
        <v>711</v>
      </c>
      <c r="B692" t="s">
        <v>16</v>
      </c>
      <c r="C692" t="s">
        <v>12</v>
      </c>
      <c r="D692" s="1">
        <v>45602</v>
      </c>
      <c r="E692">
        <v>107122</v>
      </c>
      <c r="F692">
        <v>2476</v>
      </c>
      <c r="G692">
        <v>87</v>
      </c>
      <c r="H692" s="4">
        <v>3955.25</v>
      </c>
      <c r="I692" s="4">
        <v>4422.05</v>
      </c>
      <c r="J692" s="7">
        <f>Table1[[#This Row],[Clicks]]/Table1[[#This Row],[Impressions]]</f>
        <v>2.3113832826123486E-2</v>
      </c>
      <c r="K692" s="7">
        <f>IFERROR(Table1[[#This Row],[Conversions]]/Table1[[#This Row],[Clicks]],0)</f>
        <v>3.5137318255250405E-2</v>
      </c>
      <c r="L692" s="6">
        <f>IF(Table1[[#This Row],[Conversions]]=0,0,Table1[[#This Row],[Ad Spend]]/Table1[[#This Row],[Conversions]])</f>
        <v>45.462643678160923</v>
      </c>
      <c r="M692" s="8">
        <f>IF(Table1[[#This Row],[Ad Spend]]=0,0,Table1[[#This Row],[Revenue]]/Table1[[#This Row],[Ad Spend]])</f>
        <v>1.1180203526957841</v>
      </c>
      <c r="N692">
        <f>YEAR(Table1[[#This Row],[Date]])</f>
        <v>2024</v>
      </c>
      <c r="O692" t="str">
        <f>TEXT(Table1[[#This Row],[Date]],"mmm")</f>
        <v>Nov</v>
      </c>
      <c r="P692">
        <f>MONTH(Table1[[#This Row],[Date]])</f>
        <v>11</v>
      </c>
    </row>
    <row r="693" spans="1:16" x14ac:dyDescent="0.25">
      <c r="A693" t="s">
        <v>712</v>
      </c>
      <c r="B693" t="s">
        <v>47</v>
      </c>
      <c r="C693" t="s">
        <v>10</v>
      </c>
      <c r="D693" s="1">
        <v>45431</v>
      </c>
      <c r="E693">
        <v>113493</v>
      </c>
      <c r="F693">
        <v>1824</v>
      </c>
      <c r="G693">
        <v>244</v>
      </c>
      <c r="H693" s="4">
        <v>1983.6</v>
      </c>
      <c r="I693" s="4">
        <v>25118.76</v>
      </c>
      <c r="J693" s="7">
        <f>Table1[[#This Row],[Clicks]]/Table1[[#This Row],[Impressions]]</f>
        <v>1.6071475773836271E-2</v>
      </c>
      <c r="K693" s="7">
        <f>IFERROR(Table1[[#This Row],[Conversions]]/Table1[[#This Row],[Clicks]],0)</f>
        <v>0.1337719298245614</v>
      </c>
      <c r="L693" s="6">
        <f>IF(Table1[[#This Row],[Conversions]]=0,0,Table1[[#This Row],[Ad Spend]]/Table1[[#This Row],[Conversions]])</f>
        <v>8.1295081967213108</v>
      </c>
      <c r="M693" s="8">
        <f>IF(Table1[[#This Row],[Ad Spend]]=0,0,Table1[[#This Row],[Revenue]]/Table1[[#This Row],[Ad Spend]])</f>
        <v>12.663218390804598</v>
      </c>
      <c r="N693">
        <f>YEAR(Table1[[#This Row],[Date]])</f>
        <v>2024</v>
      </c>
      <c r="O693" t="str">
        <f>TEXT(Table1[[#This Row],[Date]],"mmm")</f>
        <v>May</v>
      </c>
      <c r="P693">
        <f>MONTH(Table1[[#This Row],[Date]])</f>
        <v>5</v>
      </c>
    </row>
    <row r="694" spans="1:16" x14ac:dyDescent="0.25">
      <c r="A694" t="s">
        <v>713</v>
      </c>
      <c r="B694" t="s">
        <v>34</v>
      </c>
      <c r="C694" t="s">
        <v>37</v>
      </c>
      <c r="D694" s="1">
        <v>45560</v>
      </c>
      <c r="E694">
        <v>84250</v>
      </c>
      <c r="F694">
        <v>1874</v>
      </c>
      <c r="G694">
        <v>128</v>
      </c>
      <c r="H694" s="4">
        <v>379.5</v>
      </c>
      <c r="I694" s="4">
        <v>5146.8599999999997</v>
      </c>
      <c r="J694" s="7">
        <f>Table1[[#This Row],[Clicks]]/Table1[[#This Row],[Impressions]]</f>
        <v>2.22433234421365E-2</v>
      </c>
      <c r="K694" s="7">
        <f>IFERROR(Table1[[#This Row],[Conversions]]/Table1[[#This Row],[Clicks]],0)</f>
        <v>6.8303094983991466E-2</v>
      </c>
      <c r="L694" s="6">
        <f>IF(Table1[[#This Row],[Conversions]]=0,0,Table1[[#This Row],[Ad Spend]]/Table1[[#This Row],[Conversions]])</f>
        <v>2.96484375</v>
      </c>
      <c r="M694" s="8">
        <f>IF(Table1[[#This Row],[Ad Spend]]=0,0,Table1[[#This Row],[Revenue]]/Table1[[#This Row],[Ad Spend]])</f>
        <v>13.562213438735178</v>
      </c>
      <c r="N694">
        <f>YEAR(Table1[[#This Row],[Date]])</f>
        <v>2024</v>
      </c>
      <c r="O694" t="str">
        <f>TEXT(Table1[[#This Row],[Date]],"mmm")</f>
        <v>Sept</v>
      </c>
      <c r="P694">
        <f>MONTH(Table1[[#This Row],[Date]])</f>
        <v>9</v>
      </c>
    </row>
    <row r="695" spans="1:16" x14ac:dyDescent="0.25">
      <c r="A695" t="s">
        <v>714</v>
      </c>
      <c r="B695" t="s">
        <v>9</v>
      </c>
      <c r="C695" t="s">
        <v>17</v>
      </c>
      <c r="D695" s="1">
        <v>45551</v>
      </c>
      <c r="E695">
        <v>11536</v>
      </c>
      <c r="F695">
        <v>760</v>
      </c>
      <c r="G695">
        <v>104</v>
      </c>
      <c r="H695" s="4">
        <v>939.57</v>
      </c>
      <c r="I695" s="4">
        <v>5617.21</v>
      </c>
      <c r="J695" s="7">
        <f>Table1[[#This Row],[Clicks]]/Table1[[#This Row],[Impressions]]</f>
        <v>6.5880721220527044E-2</v>
      </c>
      <c r="K695" s="7">
        <f>IFERROR(Table1[[#This Row],[Conversions]]/Table1[[#This Row],[Clicks]],0)</f>
        <v>0.1368421052631579</v>
      </c>
      <c r="L695" s="6">
        <f>IF(Table1[[#This Row],[Conversions]]=0,0,Table1[[#This Row],[Ad Spend]]/Table1[[#This Row],[Conversions]])</f>
        <v>9.0343269230769234</v>
      </c>
      <c r="M695" s="8">
        <f>IF(Table1[[#This Row],[Ad Spend]]=0,0,Table1[[#This Row],[Revenue]]/Table1[[#This Row],[Ad Spend]])</f>
        <v>5.9784901603925196</v>
      </c>
      <c r="N695">
        <f>YEAR(Table1[[#This Row],[Date]])</f>
        <v>2024</v>
      </c>
      <c r="O695" t="str">
        <f>TEXT(Table1[[#This Row],[Date]],"mmm")</f>
        <v>Sept</v>
      </c>
      <c r="P695">
        <f>MONTH(Table1[[#This Row],[Date]])</f>
        <v>9</v>
      </c>
    </row>
    <row r="696" spans="1:16" x14ac:dyDescent="0.25">
      <c r="A696" t="s">
        <v>715</v>
      </c>
      <c r="B696" t="s">
        <v>41</v>
      </c>
      <c r="C696" t="s">
        <v>12</v>
      </c>
      <c r="D696" s="1">
        <v>45450</v>
      </c>
      <c r="E696">
        <v>90809</v>
      </c>
      <c r="F696">
        <v>1818</v>
      </c>
      <c r="G696">
        <v>242</v>
      </c>
      <c r="H696" s="4">
        <v>4146.26</v>
      </c>
      <c r="I696" s="4">
        <v>27540.18</v>
      </c>
      <c r="J696" s="7">
        <f>Table1[[#This Row],[Clicks]]/Table1[[#This Row],[Impressions]]</f>
        <v>2.0020042066315014E-2</v>
      </c>
      <c r="K696" s="7">
        <f>IFERROR(Table1[[#This Row],[Conversions]]/Table1[[#This Row],[Clicks]],0)</f>
        <v>0.13311331133113311</v>
      </c>
      <c r="L696" s="6">
        <f>IF(Table1[[#This Row],[Conversions]]=0,0,Table1[[#This Row],[Ad Spend]]/Table1[[#This Row],[Conversions]])</f>
        <v>17.133305785123969</v>
      </c>
      <c r="M696" s="8">
        <f>IF(Table1[[#This Row],[Ad Spend]]=0,0,Table1[[#This Row],[Revenue]]/Table1[[#This Row],[Ad Spend]])</f>
        <v>6.6421739109462496</v>
      </c>
      <c r="N696">
        <f>YEAR(Table1[[#This Row],[Date]])</f>
        <v>2024</v>
      </c>
      <c r="O696" t="str">
        <f>TEXT(Table1[[#This Row],[Date]],"mmm")</f>
        <v>Jun</v>
      </c>
      <c r="P696">
        <f>MONTH(Table1[[#This Row],[Date]])</f>
        <v>6</v>
      </c>
    </row>
    <row r="697" spans="1:16" x14ac:dyDescent="0.25">
      <c r="A697" t="s">
        <v>716</v>
      </c>
      <c r="B697" t="s">
        <v>16</v>
      </c>
      <c r="C697" t="s">
        <v>37</v>
      </c>
      <c r="D697" s="1">
        <v>45662</v>
      </c>
      <c r="E697">
        <v>14582</v>
      </c>
      <c r="F697">
        <v>614</v>
      </c>
      <c r="G697">
        <v>69</v>
      </c>
      <c r="H697" s="4">
        <v>2707.26</v>
      </c>
      <c r="I697" s="4">
        <v>1408.36</v>
      </c>
      <c r="J697" s="7">
        <f>Table1[[#This Row],[Clicks]]/Table1[[#This Row],[Impressions]]</f>
        <v>4.210670689891647E-2</v>
      </c>
      <c r="K697" s="7">
        <f>IFERROR(Table1[[#This Row],[Conversions]]/Table1[[#This Row],[Clicks]],0)</f>
        <v>0.11237785016286644</v>
      </c>
      <c r="L697" s="6">
        <f>IF(Table1[[#This Row],[Conversions]]=0,0,Table1[[#This Row],[Ad Spend]]/Table1[[#This Row],[Conversions]])</f>
        <v>39.235652173913046</v>
      </c>
      <c r="M697" s="8">
        <f>IF(Table1[[#This Row],[Ad Spend]]=0,0,Table1[[#This Row],[Revenue]]/Table1[[#This Row],[Ad Spend]])</f>
        <v>0.52021601176096854</v>
      </c>
      <c r="N697">
        <f>YEAR(Table1[[#This Row],[Date]])</f>
        <v>2025</v>
      </c>
      <c r="O697" t="str">
        <f>TEXT(Table1[[#This Row],[Date]],"mmm")</f>
        <v>Jan</v>
      </c>
      <c r="P697">
        <f>MONTH(Table1[[#This Row],[Date]])</f>
        <v>1</v>
      </c>
    </row>
    <row r="698" spans="1:16" x14ac:dyDescent="0.25">
      <c r="A698" t="s">
        <v>717</v>
      </c>
      <c r="B698" t="s">
        <v>31</v>
      </c>
      <c r="C698" t="s">
        <v>12</v>
      </c>
      <c r="D698" s="1">
        <v>45336</v>
      </c>
      <c r="E698">
        <v>92369</v>
      </c>
      <c r="F698">
        <v>3942</v>
      </c>
      <c r="G698">
        <v>102</v>
      </c>
      <c r="H698" s="4">
        <v>2698.77</v>
      </c>
      <c r="I698" s="4">
        <v>8761.64</v>
      </c>
      <c r="J698" s="7">
        <f>Table1[[#This Row],[Clicks]]/Table1[[#This Row],[Impressions]]</f>
        <v>4.2676655587913691E-2</v>
      </c>
      <c r="K698" s="7">
        <f>IFERROR(Table1[[#This Row],[Conversions]]/Table1[[#This Row],[Clicks]],0)</f>
        <v>2.5875190258751901E-2</v>
      </c>
      <c r="L698" s="6">
        <f>IF(Table1[[#This Row],[Conversions]]=0,0,Table1[[#This Row],[Ad Spend]]/Table1[[#This Row],[Conversions]])</f>
        <v>26.458529411764705</v>
      </c>
      <c r="M698" s="8">
        <f>IF(Table1[[#This Row],[Ad Spend]]=0,0,Table1[[#This Row],[Revenue]]/Table1[[#This Row],[Ad Spend]])</f>
        <v>3.2465308270063766</v>
      </c>
      <c r="N698">
        <f>YEAR(Table1[[#This Row],[Date]])</f>
        <v>2024</v>
      </c>
      <c r="O698" t="str">
        <f>TEXT(Table1[[#This Row],[Date]],"mmm")</f>
        <v>Feb</v>
      </c>
      <c r="P698">
        <f>MONTH(Table1[[#This Row],[Date]])</f>
        <v>2</v>
      </c>
    </row>
    <row r="699" spans="1:16" x14ac:dyDescent="0.25">
      <c r="A699" t="s">
        <v>718</v>
      </c>
      <c r="B699" t="s">
        <v>34</v>
      </c>
      <c r="C699" t="s">
        <v>10</v>
      </c>
      <c r="D699" s="1">
        <v>45587</v>
      </c>
      <c r="E699">
        <v>86826</v>
      </c>
      <c r="F699">
        <v>4751</v>
      </c>
      <c r="G699">
        <v>224</v>
      </c>
      <c r="H699" s="4">
        <v>1162.67</v>
      </c>
      <c r="I699" s="4">
        <v>10899.11</v>
      </c>
      <c r="J699" s="7">
        <f>Table1[[#This Row],[Clicks]]/Table1[[#This Row],[Impressions]]</f>
        <v>5.4718632667634118E-2</v>
      </c>
      <c r="K699" s="7">
        <f>IFERROR(Table1[[#This Row],[Conversions]]/Table1[[#This Row],[Clicks]],0)</f>
        <v>4.7147968848663437E-2</v>
      </c>
      <c r="L699" s="6">
        <f>IF(Table1[[#This Row],[Conversions]]=0,0,Table1[[#This Row],[Ad Spend]]/Table1[[#This Row],[Conversions]])</f>
        <v>5.1904910714285721</v>
      </c>
      <c r="M699" s="8">
        <f>IF(Table1[[#This Row],[Ad Spend]]=0,0,Table1[[#This Row],[Revenue]]/Table1[[#This Row],[Ad Spend]])</f>
        <v>9.3742076427533174</v>
      </c>
      <c r="N699">
        <f>YEAR(Table1[[#This Row],[Date]])</f>
        <v>2024</v>
      </c>
      <c r="O699" t="str">
        <f>TEXT(Table1[[#This Row],[Date]],"mmm")</f>
        <v>Oct</v>
      </c>
      <c r="P699">
        <f>MONTH(Table1[[#This Row],[Date]])</f>
        <v>10</v>
      </c>
    </row>
    <row r="700" spans="1:16" x14ac:dyDescent="0.25">
      <c r="A700" t="s">
        <v>719</v>
      </c>
      <c r="B700" t="s">
        <v>47</v>
      </c>
      <c r="C700" t="s">
        <v>17</v>
      </c>
      <c r="D700" s="1">
        <v>45635</v>
      </c>
      <c r="E700">
        <v>35841</v>
      </c>
      <c r="F700">
        <v>1042</v>
      </c>
      <c r="G700">
        <v>42</v>
      </c>
      <c r="H700" s="4">
        <v>749.41</v>
      </c>
      <c r="I700" s="4">
        <v>4864.8500000000004</v>
      </c>
      <c r="J700" s="7">
        <f>Table1[[#This Row],[Clicks]]/Table1[[#This Row],[Impressions]]</f>
        <v>2.9072849529868029E-2</v>
      </c>
      <c r="K700" s="7">
        <f>IFERROR(Table1[[#This Row],[Conversions]]/Table1[[#This Row],[Clicks]],0)</f>
        <v>4.0307101727447218E-2</v>
      </c>
      <c r="L700" s="6">
        <f>IF(Table1[[#This Row],[Conversions]]=0,0,Table1[[#This Row],[Ad Spend]]/Table1[[#This Row],[Conversions]])</f>
        <v>17.843095238095238</v>
      </c>
      <c r="M700" s="8">
        <f>IF(Table1[[#This Row],[Ad Spend]]=0,0,Table1[[#This Row],[Revenue]]/Table1[[#This Row],[Ad Spend]])</f>
        <v>6.4915733710518948</v>
      </c>
      <c r="N700">
        <f>YEAR(Table1[[#This Row],[Date]])</f>
        <v>2024</v>
      </c>
      <c r="O700" t="str">
        <f>TEXT(Table1[[#This Row],[Date]],"mmm")</f>
        <v>Dec</v>
      </c>
      <c r="P700">
        <f>MONTH(Table1[[#This Row],[Date]])</f>
        <v>12</v>
      </c>
    </row>
    <row r="701" spans="1:16" x14ac:dyDescent="0.25">
      <c r="A701" t="s">
        <v>720</v>
      </c>
      <c r="B701" t="s">
        <v>9</v>
      </c>
      <c r="C701" t="s">
        <v>37</v>
      </c>
      <c r="D701" s="1">
        <v>45569</v>
      </c>
      <c r="E701">
        <v>96833</v>
      </c>
      <c r="F701">
        <v>4692</v>
      </c>
      <c r="G701">
        <v>259</v>
      </c>
      <c r="H701" s="4">
        <v>4727.7299999999996</v>
      </c>
      <c r="I701" s="4">
        <v>26003.67</v>
      </c>
      <c r="J701" s="7">
        <f>Table1[[#This Row],[Clicks]]/Table1[[#This Row],[Impressions]]</f>
        <v>4.8454555781603376E-2</v>
      </c>
      <c r="K701" s="7">
        <f>IFERROR(Table1[[#This Row],[Conversions]]/Table1[[#This Row],[Clicks]],0)</f>
        <v>5.5200341005967601E-2</v>
      </c>
      <c r="L701" s="6">
        <f>IF(Table1[[#This Row],[Conversions]]=0,0,Table1[[#This Row],[Ad Spend]]/Table1[[#This Row],[Conversions]])</f>
        <v>18.253783783783781</v>
      </c>
      <c r="M701" s="8">
        <f>IF(Table1[[#This Row],[Ad Spend]]=0,0,Table1[[#This Row],[Revenue]]/Table1[[#This Row],[Ad Spend]])</f>
        <v>5.5002443032914314</v>
      </c>
      <c r="N701">
        <f>YEAR(Table1[[#This Row],[Date]])</f>
        <v>2024</v>
      </c>
      <c r="O701" t="str">
        <f>TEXT(Table1[[#This Row],[Date]],"mmm")</f>
        <v>Oct</v>
      </c>
      <c r="P701">
        <f>MONTH(Table1[[#This Row],[Date]])</f>
        <v>10</v>
      </c>
    </row>
    <row r="702" spans="1:16" x14ac:dyDescent="0.25">
      <c r="A702" t="s">
        <v>721</v>
      </c>
      <c r="B702" t="s">
        <v>14</v>
      </c>
      <c r="C702" t="s">
        <v>37</v>
      </c>
      <c r="D702" s="1">
        <v>45328</v>
      </c>
      <c r="E702">
        <v>86625</v>
      </c>
      <c r="F702">
        <v>4584</v>
      </c>
      <c r="G702">
        <v>293</v>
      </c>
      <c r="H702" s="4">
        <v>2329.5100000000002</v>
      </c>
      <c r="I702" s="4">
        <v>9671.17</v>
      </c>
      <c r="J702" s="7">
        <f>Table1[[#This Row],[Clicks]]/Table1[[#This Row],[Impressions]]</f>
        <v>5.2917748917748919E-2</v>
      </c>
      <c r="K702" s="7">
        <f>IFERROR(Table1[[#This Row],[Conversions]]/Table1[[#This Row],[Clicks]],0)</f>
        <v>6.3917975567190227E-2</v>
      </c>
      <c r="L702" s="6">
        <f>IF(Table1[[#This Row],[Conversions]]=0,0,Table1[[#This Row],[Ad Spend]]/Table1[[#This Row],[Conversions]])</f>
        <v>7.9505460750853247</v>
      </c>
      <c r="M702" s="8">
        <f>IF(Table1[[#This Row],[Ad Spend]]=0,0,Table1[[#This Row],[Revenue]]/Table1[[#This Row],[Ad Spend]])</f>
        <v>4.1515898193182252</v>
      </c>
      <c r="N702">
        <f>YEAR(Table1[[#This Row],[Date]])</f>
        <v>2024</v>
      </c>
      <c r="O702" t="str">
        <f>TEXT(Table1[[#This Row],[Date]],"mmm")</f>
        <v>Feb</v>
      </c>
      <c r="P702">
        <f>MONTH(Table1[[#This Row],[Date]])</f>
        <v>2</v>
      </c>
    </row>
    <row r="703" spans="1:16" x14ac:dyDescent="0.25">
      <c r="A703" t="s">
        <v>722</v>
      </c>
      <c r="B703" t="s">
        <v>41</v>
      </c>
      <c r="C703" t="s">
        <v>10</v>
      </c>
      <c r="D703" s="1">
        <v>45346</v>
      </c>
      <c r="E703">
        <v>105558</v>
      </c>
      <c r="F703">
        <v>1453</v>
      </c>
      <c r="G703">
        <v>109</v>
      </c>
      <c r="H703" s="4">
        <v>1059.1199999999999</v>
      </c>
      <c r="I703" s="4">
        <v>8677.7199999999993</v>
      </c>
      <c r="J703" s="7">
        <f>Table1[[#This Row],[Clicks]]/Table1[[#This Row],[Impressions]]</f>
        <v>1.3764944390761476E-2</v>
      </c>
      <c r="K703" s="7">
        <f>IFERROR(Table1[[#This Row],[Conversions]]/Table1[[#This Row],[Clicks]],0)</f>
        <v>7.501720578114246E-2</v>
      </c>
      <c r="L703" s="6">
        <f>IF(Table1[[#This Row],[Conversions]]=0,0,Table1[[#This Row],[Ad Spend]]/Table1[[#This Row],[Conversions]])</f>
        <v>9.7166972477064206</v>
      </c>
      <c r="M703" s="8">
        <f>IF(Table1[[#This Row],[Ad Spend]]=0,0,Table1[[#This Row],[Revenue]]/Table1[[#This Row],[Ad Spend]])</f>
        <v>8.1933303119570962</v>
      </c>
      <c r="N703">
        <f>YEAR(Table1[[#This Row],[Date]])</f>
        <v>2024</v>
      </c>
      <c r="O703" t="str">
        <f>TEXT(Table1[[#This Row],[Date]],"mmm")</f>
        <v>Feb</v>
      </c>
      <c r="P703">
        <f>MONTH(Table1[[#This Row],[Date]])</f>
        <v>2</v>
      </c>
    </row>
    <row r="704" spans="1:16" x14ac:dyDescent="0.25">
      <c r="A704" t="s">
        <v>723</v>
      </c>
      <c r="B704" t="s">
        <v>41</v>
      </c>
      <c r="C704" t="s">
        <v>12</v>
      </c>
      <c r="D704" s="1">
        <v>45474</v>
      </c>
      <c r="E704">
        <v>86904</v>
      </c>
      <c r="F704">
        <v>2890</v>
      </c>
      <c r="G704">
        <v>132</v>
      </c>
      <c r="H704" s="4">
        <v>3840.33</v>
      </c>
      <c r="I704" s="4">
        <v>13322.76</v>
      </c>
      <c r="J704" s="7">
        <f>Table1[[#This Row],[Clicks]]/Table1[[#This Row],[Impressions]]</f>
        <v>3.3255086071987482E-2</v>
      </c>
      <c r="K704" s="7">
        <f>IFERROR(Table1[[#This Row],[Conversions]]/Table1[[#This Row],[Clicks]],0)</f>
        <v>4.5674740484429065E-2</v>
      </c>
      <c r="L704" s="6">
        <f>IF(Table1[[#This Row],[Conversions]]=0,0,Table1[[#This Row],[Ad Spend]]/Table1[[#This Row],[Conversions]])</f>
        <v>29.093409090909091</v>
      </c>
      <c r="M704" s="8">
        <f>IF(Table1[[#This Row],[Ad Spend]]=0,0,Table1[[#This Row],[Revenue]]/Table1[[#This Row],[Ad Spend]])</f>
        <v>3.4691706181500028</v>
      </c>
      <c r="N704">
        <f>YEAR(Table1[[#This Row],[Date]])</f>
        <v>2024</v>
      </c>
      <c r="O704" t="str">
        <f>TEXT(Table1[[#This Row],[Date]],"mmm")</f>
        <v>Jul</v>
      </c>
      <c r="P704">
        <f>MONTH(Table1[[#This Row],[Date]])</f>
        <v>7</v>
      </c>
    </row>
    <row r="705" spans="1:16" x14ac:dyDescent="0.25">
      <c r="A705" t="s">
        <v>724</v>
      </c>
      <c r="B705" t="s">
        <v>9</v>
      </c>
      <c r="C705" t="s">
        <v>17</v>
      </c>
      <c r="D705" s="1">
        <v>45582</v>
      </c>
      <c r="E705">
        <v>39549</v>
      </c>
      <c r="F705">
        <v>652</v>
      </c>
      <c r="G705">
        <v>81</v>
      </c>
      <c r="H705" s="4">
        <v>3553.28</v>
      </c>
      <c r="I705" s="4">
        <v>2407.83</v>
      </c>
      <c r="J705" s="7">
        <f>Table1[[#This Row],[Clicks]]/Table1[[#This Row],[Impressions]]</f>
        <v>1.6485878277579712E-2</v>
      </c>
      <c r="K705" s="7">
        <f>IFERROR(Table1[[#This Row],[Conversions]]/Table1[[#This Row],[Clicks]],0)</f>
        <v>0.12423312883435583</v>
      </c>
      <c r="L705" s="6">
        <f>IF(Table1[[#This Row],[Conversions]]=0,0,Table1[[#This Row],[Ad Spend]]/Table1[[#This Row],[Conversions]])</f>
        <v>43.867654320987654</v>
      </c>
      <c r="M705" s="8">
        <f>IF(Table1[[#This Row],[Ad Spend]]=0,0,Table1[[#This Row],[Revenue]]/Table1[[#This Row],[Ad Spend]])</f>
        <v>0.67763587445965412</v>
      </c>
      <c r="N705">
        <f>YEAR(Table1[[#This Row],[Date]])</f>
        <v>2024</v>
      </c>
      <c r="O705" t="str">
        <f>TEXT(Table1[[#This Row],[Date]],"mmm")</f>
        <v>Oct</v>
      </c>
      <c r="P705">
        <f>MONTH(Table1[[#This Row],[Date]])</f>
        <v>10</v>
      </c>
    </row>
    <row r="706" spans="1:16" x14ac:dyDescent="0.25">
      <c r="A706" t="s">
        <v>725</v>
      </c>
      <c r="B706" t="s">
        <v>34</v>
      </c>
      <c r="C706" t="s">
        <v>17</v>
      </c>
      <c r="D706" s="1">
        <v>45532</v>
      </c>
      <c r="E706">
        <v>65737</v>
      </c>
      <c r="F706">
        <v>5017</v>
      </c>
      <c r="G706">
        <v>194</v>
      </c>
      <c r="H706" s="4">
        <v>4499.3599999999997</v>
      </c>
      <c r="I706" s="4">
        <v>8886.2199999999993</v>
      </c>
      <c r="J706" s="7">
        <f>Table1[[#This Row],[Clicks]]/Table1[[#This Row],[Impressions]]</f>
        <v>7.6319272251547832E-2</v>
      </c>
      <c r="K706" s="7">
        <f>IFERROR(Table1[[#This Row],[Conversions]]/Table1[[#This Row],[Clicks]],0)</f>
        <v>3.8668527008172214E-2</v>
      </c>
      <c r="L706" s="6">
        <f>IF(Table1[[#This Row],[Conversions]]=0,0,Table1[[#This Row],[Ad Spend]]/Table1[[#This Row],[Conversions]])</f>
        <v>23.192577319587627</v>
      </c>
      <c r="M706" s="8">
        <f>IF(Table1[[#This Row],[Ad Spend]]=0,0,Table1[[#This Row],[Revenue]]/Table1[[#This Row],[Ad Spend]])</f>
        <v>1.9749964439386936</v>
      </c>
      <c r="N706">
        <f>YEAR(Table1[[#This Row],[Date]])</f>
        <v>2024</v>
      </c>
      <c r="O706" t="str">
        <f>TEXT(Table1[[#This Row],[Date]],"mmm")</f>
        <v>Aug</v>
      </c>
      <c r="P706">
        <f>MONTH(Table1[[#This Row],[Date]])</f>
        <v>8</v>
      </c>
    </row>
    <row r="707" spans="1:16" x14ac:dyDescent="0.25">
      <c r="A707" t="s">
        <v>726</v>
      </c>
      <c r="B707" t="s">
        <v>47</v>
      </c>
      <c r="C707" t="s">
        <v>17</v>
      </c>
      <c r="D707" s="1">
        <v>45385</v>
      </c>
      <c r="E707">
        <v>91593</v>
      </c>
      <c r="F707">
        <v>5973</v>
      </c>
      <c r="G707">
        <v>804</v>
      </c>
      <c r="H707" s="4">
        <v>2375.7600000000002</v>
      </c>
      <c r="I707" s="4">
        <v>18513.240000000002</v>
      </c>
      <c r="J707" s="7">
        <f>Table1[[#This Row],[Clicks]]/Table1[[#This Row],[Impressions]]</f>
        <v>6.5212407061675012E-2</v>
      </c>
      <c r="K707" s="7">
        <f>IFERROR(Table1[[#This Row],[Conversions]]/Table1[[#This Row],[Clicks]],0)</f>
        <v>0.13460572576594676</v>
      </c>
      <c r="L707" s="6">
        <f>IF(Table1[[#This Row],[Conversions]]=0,0,Table1[[#This Row],[Ad Spend]]/Table1[[#This Row],[Conversions]])</f>
        <v>2.9549253731343286</v>
      </c>
      <c r="M707" s="8">
        <f>IF(Table1[[#This Row],[Ad Spend]]=0,0,Table1[[#This Row],[Revenue]]/Table1[[#This Row],[Ad Spend]])</f>
        <v>7.7925548035155066</v>
      </c>
      <c r="N707">
        <f>YEAR(Table1[[#This Row],[Date]])</f>
        <v>2024</v>
      </c>
      <c r="O707" t="str">
        <f>TEXT(Table1[[#This Row],[Date]],"mmm")</f>
        <v>Apr</v>
      </c>
      <c r="P707">
        <f>MONTH(Table1[[#This Row],[Date]])</f>
        <v>4</v>
      </c>
    </row>
    <row r="708" spans="1:16" x14ac:dyDescent="0.25">
      <c r="A708" t="s">
        <v>727</v>
      </c>
      <c r="B708" t="s">
        <v>41</v>
      </c>
      <c r="C708" t="s">
        <v>10</v>
      </c>
      <c r="D708" s="1">
        <v>45471</v>
      </c>
      <c r="E708">
        <v>130475</v>
      </c>
      <c r="F708">
        <v>5517</v>
      </c>
      <c r="G708">
        <v>232</v>
      </c>
      <c r="H708" s="4">
        <v>3886.12</v>
      </c>
      <c r="I708" s="4">
        <v>18663.009999999998</v>
      </c>
      <c r="J708" s="7">
        <f>Table1[[#This Row],[Clicks]]/Table1[[#This Row],[Impressions]]</f>
        <v>4.2283962444912816E-2</v>
      </c>
      <c r="K708" s="7">
        <f>IFERROR(Table1[[#This Row],[Conversions]]/Table1[[#This Row],[Clicks]],0)</f>
        <v>4.2051839767989853E-2</v>
      </c>
      <c r="L708" s="6">
        <f>IF(Table1[[#This Row],[Conversions]]=0,0,Table1[[#This Row],[Ad Spend]]/Table1[[#This Row],[Conversions]])</f>
        <v>16.75051724137931</v>
      </c>
      <c r="M708" s="8">
        <f>IF(Table1[[#This Row],[Ad Spend]]=0,0,Table1[[#This Row],[Revenue]]/Table1[[#This Row],[Ad Spend]])</f>
        <v>4.8024790793902401</v>
      </c>
      <c r="N708">
        <f>YEAR(Table1[[#This Row],[Date]])</f>
        <v>2024</v>
      </c>
      <c r="O708" t="str">
        <f>TEXT(Table1[[#This Row],[Date]],"mmm")</f>
        <v>Jun</v>
      </c>
      <c r="P708">
        <f>MONTH(Table1[[#This Row],[Date]])</f>
        <v>6</v>
      </c>
    </row>
    <row r="709" spans="1:16" x14ac:dyDescent="0.25">
      <c r="A709" t="s">
        <v>728</v>
      </c>
      <c r="B709" t="s">
        <v>16</v>
      </c>
      <c r="C709" t="s">
        <v>12</v>
      </c>
      <c r="D709" s="1">
        <v>45344</v>
      </c>
      <c r="E709">
        <v>111348</v>
      </c>
      <c r="F709">
        <v>7485</v>
      </c>
      <c r="G709">
        <v>924</v>
      </c>
      <c r="H709" s="4">
        <v>1764.17</v>
      </c>
      <c r="I709" s="4">
        <v>78489.31</v>
      </c>
      <c r="J709" s="7">
        <f>Table1[[#This Row],[Clicks]]/Table1[[#This Row],[Impressions]]</f>
        <v>6.7221683371052915E-2</v>
      </c>
      <c r="K709" s="7">
        <f>IFERROR(Table1[[#This Row],[Conversions]]/Table1[[#This Row],[Clicks]],0)</f>
        <v>0.12344689378757515</v>
      </c>
      <c r="L709" s="6">
        <f>IF(Table1[[#This Row],[Conversions]]=0,0,Table1[[#This Row],[Ad Spend]]/Table1[[#This Row],[Conversions]])</f>
        <v>1.9092748917748918</v>
      </c>
      <c r="M709" s="8">
        <f>IF(Table1[[#This Row],[Ad Spend]]=0,0,Table1[[#This Row],[Revenue]]/Table1[[#This Row],[Ad Spend]])</f>
        <v>44.490786035359399</v>
      </c>
      <c r="N709">
        <f>YEAR(Table1[[#This Row],[Date]])</f>
        <v>2024</v>
      </c>
      <c r="O709" t="str">
        <f>TEXT(Table1[[#This Row],[Date]],"mmm")</f>
        <v>Feb</v>
      </c>
      <c r="P709">
        <f>MONTH(Table1[[#This Row],[Date]])</f>
        <v>2</v>
      </c>
    </row>
    <row r="710" spans="1:16" x14ac:dyDescent="0.25">
      <c r="A710" t="s">
        <v>729</v>
      </c>
      <c r="B710" t="s">
        <v>34</v>
      </c>
      <c r="C710" t="s">
        <v>12</v>
      </c>
      <c r="D710" s="1">
        <v>45528</v>
      </c>
      <c r="E710">
        <v>110071</v>
      </c>
      <c r="F710">
        <v>5650</v>
      </c>
      <c r="G710">
        <v>288</v>
      </c>
      <c r="H710" s="4">
        <v>1369.72</v>
      </c>
      <c r="I710" s="4">
        <v>10339.780000000001</v>
      </c>
      <c r="J710" s="7">
        <f>Table1[[#This Row],[Clicks]]/Table1[[#This Row],[Impressions]]</f>
        <v>5.133050485595661E-2</v>
      </c>
      <c r="K710" s="7">
        <f>IFERROR(Table1[[#This Row],[Conversions]]/Table1[[#This Row],[Clicks]],0)</f>
        <v>5.0973451327433632E-2</v>
      </c>
      <c r="L710" s="6">
        <f>IF(Table1[[#This Row],[Conversions]]=0,0,Table1[[#This Row],[Ad Spend]]/Table1[[#This Row],[Conversions]])</f>
        <v>4.7559722222222227</v>
      </c>
      <c r="M710" s="8">
        <f>IF(Table1[[#This Row],[Ad Spend]]=0,0,Table1[[#This Row],[Revenue]]/Table1[[#This Row],[Ad Spend]])</f>
        <v>7.5488274975907492</v>
      </c>
      <c r="N710">
        <f>YEAR(Table1[[#This Row],[Date]])</f>
        <v>2024</v>
      </c>
      <c r="O710" t="str">
        <f>TEXT(Table1[[#This Row],[Date]],"mmm")</f>
        <v>Aug</v>
      </c>
      <c r="P710">
        <f>MONTH(Table1[[#This Row],[Date]])</f>
        <v>8</v>
      </c>
    </row>
    <row r="711" spans="1:16" x14ac:dyDescent="0.25">
      <c r="A711" t="s">
        <v>730</v>
      </c>
      <c r="B711" t="s">
        <v>41</v>
      </c>
      <c r="C711" t="s">
        <v>17</v>
      </c>
      <c r="D711" s="1">
        <v>45325</v>
      </c>
      <c r="E711">
        <v>94316</v>
      </c>
      <c r="F711">
        <v>2317</v>
      </c>
      <c r="G711">
        <v>255</v>
      </c>
      <c r="H711" s="4">
        <v>2269.5100000000002</v>
      </c>
      <c r="I711" s="4">
        <v>30095.23</v>
      </c>
      <c r="J711" s="7">
        <f>Table1[[#This Row],[Clicks]]/Table1[[#This Row],[Impressions]]</f>
        <v>2.4566351414394165E-2</v>
      </c>
      <c r="K711" s="7">
        <f>IFERROR(Table1[[#This Row],[Conversions]]/Table1[[#This Row],[Clicks]],0)</f>
        <v>0.11005610703495899</v>
      </c>
      <c r="L711" s="6">
        <f>IF(Table1[[#This Row],[Conversions]]=0,0,Table1[[#This Row],[Ad Spend]]/Table1[[#This Row],[Conversions]])</f>
        <v>8.9000392156862755</v>
      </c>
      <c r="M711" s="8">
        <f>IF(Table1[[#This Row],[Ad Spend]]=0,0,Table1[[#This Row],[Revenue]]/Table1[[#This Row],[Ad Spend]])</f>
        <v>13.26067300871113</v>
      </c>
      <c r="N711">
        <f>YEAR(Table1[[#This Row],[Date]])</f>
        <v>2024</v>
      </c>
      <c r="O711" t="str">
        <f>TEXT(Table1[[#This Row],[Date]],"mmm")</f>
        <v>Feb</v>
      </c>
      <c r="P711">
        <f>MONTH(Table1[[#This Row],[Date]])</f>
        <v>2</v>
      </c>
    </row>
    <row r="712" spans="1:16" x14ac:dyDescent="0.25">
      <c r="A712" t="s">
        <v>731</v>
      </c>
      <c r="B712" t="s">
        <v>47</v>
      </c>
      <c r="C712" t="s">
        <v>12</v>
      </c>
      <c r="D712" s="1">
        <v>45647</v>
      </c>
      <c r="E712">
        <v>66906</v>
      </c>
      <c r="F712">
        <v>1479</v>
      </c>
      <c r="G712">
        <v>158</v>
      </c>
      <c r="H712" s="4">
        <v>3748.96</v>
      </c>
      <c r="I712" s="4">
        <v>14408.16</v>
      </c>
      <c r="J712" s="7">
        <f>Table1[[#This Row],[Clicks]]/Table1[[#This Row],[Impressions]]</f>
        <v>2.2105640749708548E-2</v>
      </c>
      <c r="K712" s="7">
        <f>IFERROR(Table1[[#This Row],[Conversions]]/Table1[[#This Row],[Clicks]],0)</f>
        <v>0.1068289384719405</v>
      </c>
      <c r="L712" s="6">
        <f>IF(Table1[[#This Row],[Conversions]]=0,0,Table1[[#This Row],[Ad Spend]]/Table1[[#This Row],[Conversions]])</f>
        <v>23.727594936708861</v>
      </c>
      <c r="M712" s="8">
        <f>IF(Table1[[#This Row],[Ad Spend]]=0,0,Table1[[#This Row],[Revenue]]/Table1[[#This Row],[Ad Spend]])</f>
        <v>3.8432418590755835</v>
      </c>
      <c r="N712">
        <f>YEAR(Table1[[#This Row],[Date]])</f>
        <v>2024</v>
      </c>
      <c r="O712" t="str">
        <f>TEXT(Table1[[#This Row],[Date]],"mmm")</f>
        <v>Dec</v>
      </c>
      <c r="P712">
        <f>MONTH(Table1[[#This Row],[Date]])</f>
        <v>12</v>
      </c>
    </row>
    <row r="713" spans="1:16" x14ac:dyDescent="0.25">
      <c r="A713" t="s">
        <v>732</v>
      </c>
      <c r="B713" t="s">
        <v>41</v>
      </c>
      <c r="C713" t="s">
        <v>10</v>
      </c>
      <c r="D713" s="1">
        <v>45595</v>
      </c>
      <c r="E713">
        <v>126348</v>
      </c>
      <c r="F713">
        <v>4141</v>
      </c>
      <c r="G713">
        <v>135</v>
      </c>
      <c r="H713" s="4">
        <v>2337.04</v>
      </c>
      <c r="I713" s="4">
        <v>6858.48</v>
      </c>
      <c r="J713" s="7">
        <f>Table1[[#This Row],[Clicks]]/Table1[[#This Row],[Impressions]]</f>
        <v>3.2774559154082374E-2</v>
      </c>
      <c r="K713" s="7">
        <f>IFERROR(Table1[[#This Row],[Conversions]]/Table1[[#This Row],[Clicks]],0)</f>
        <v>3.2600821057715529E-2</v>
      </c>
      <c r="L713" s="6">
        <f>IF(Table1[[#This Row],[Conversions]]=0,0,Table1[[#This Row],[Ad Spend]]/Table1[[#This Row],[Conversions]])</f>
        <v>17.311407407407408</v>
      </c>
      <c r="M713" s="8">
        <f>IF(Table1[[#This Row],[Ad Spend]]=0,0,Table1[[#This Row],[Revenue]]/Table1[[#This Row],[Ad Spend]])</f>
        <v>2.934686612124739</v>
      </c>
      <c r="N713">
        <f>YEAR(Table1[[#This Row],[Date]])</f>
        <v>2024</v>
      </c>
      <c r="O713" t="str">
        <f>TEXT(Table1[[#This Row],[Date]],"mmm")</f>
        <v>Oct</v>
      </c>
      <c r="P713">
        <f>MONTH(Table1[[#This Row],[Date]])</f>
        <v>10</v>
      </c>
    </row>
    <row r="714" spans="1:16" x14ac:dyDescent="0.25">
      <c r="A714" t="s">
        <v>733</v>
      </c>
      <c r="B714" t="s">
        <v>21</v>
      </c>
      <c r="C714" t="s">
        <v>10</v>
      </c>
      <c r="D714" s="1">
        <v>45598</v>
      </c>
      <c r="E714">
        <v>33506</v>
      </c>
      <c r="F714">
        <v>1942</v>
      </c>
      <c r="G714">
        <v>189</v>
      </c>
      <c r="H714" s="4">
        <v>4135.3599999999997</v>
      </c>
      <c r="I714" s="4">
        <v>9968.02</v>
      </c>
      <c r="J714" s="7">
        <f>Table1[[#This Row],[Clicks]]/Table1[[#This Row],[Impressions]]</f>
        <v>5.795976839968961E-2</v>
      </c>
      <c r="K714" s="7">
        <f>IFERROR(Table1[[#This Row],[Conversions]]/Table1[[#This Row],[Clicks]],0)</f>
        <v>9.7322348094747685E-2</v>
      </c>
      <c r="L714" s="6">
        <f>IF(Table1[[#This Row],[Conversions]]=0,0,Table1[[#This Row],[Ad Spend]]/Table1[[#This Row],[Conversions]])</f>
        <v>21.880211640211638</v>
      </c>
      <c r="M714" s="8">
        <f>IF(Table1[[#This Row],[Ad Spend]]=0,0,Table1[[#This Row],[Revenue]]/Table1[[#This Row],[Ad Spend]])</f>
        <v>2.4104358508086361</v>
      </c>
      <c r="N714">
        <f>YEAR(Table1[[#This Row],[Date]])</f>
        <v>2024</v>
      </c>
      <c r="O714" t="str">
        <f>TEXT(Table1[[#This Row],[Date]],"mmm")</f>
        <v>Nov</v>
      </c>
      <c r="P714">
        <f>MONTH(Table1[[#This Row],[Date]])</f>
        <v>11</v>
      </c>
    </row>
    <row r="715" spans="1:16" x14ac:dyDescent="0.25">
      <c r="A715" t="s">
        <v>734</v>
      </c>
      <c r="B715" t="s">
        <v>31</v>
      </c>
      <c r="C715" t="s">
        <v>10</v>
      </c>
      <c r="D715" s="1">
        <v>45403</v>
      </c>
      <c r="E715">
        <v>41416</v>
      </c>
      <c r="F715">
        <v>2986</v>
      </c>
      <c r="G715">
        <v>410</v>
      </c>
      <c r="H715" s="4">
        <v>3253.44</v>
      </c>
      <c r="I715" s="4">
        <v>8207.56</v>
      </c>
      <c r="J715" s="7">
        <f>Table1[[#This Row],[Clicks]]/Table1[[#This Row],[Impressions]]</f>
        <v>7.2097740003863237E-2</v>
      </c>
      <c r="K715" s="7">
        <f>IFERROR(Table1[[#This Row],[Conversions]]/Table1[[#This Row],[Clicks]],0)</f>
        <v>0.13730743469524448</v>
      </c>
      <c r="L715" s="6">
        <f>IF(Table1[[#This Row],[Conversions]]=0,0,Table1[[#This Row],[Ad Spend]]/Table1[[#This Row],[Conversions]])</f>
        <v>7.9352195121951219</v>
      </c>
      <c r="M715" s="8">
        <f>IF(Table1[[#This Row],[Ad Spend]]=0,0,Table1[[#This Row],[Revenue]]/Table1[[#This Row],[Ad Spend]])</f>
        <v>2.5227328612176647</v>
      </c>
      <c r="N715">
        <f>YEAR(Table1[[#This Row],[Date]])</f>
        <v>2024</v>
      </c>
      <c r="O715" t="str">
        <f>TEXT(Table1[[#This Row],[Date]],"mmm")</f>
        <v>Apr</v>
      </c>
      <c r="P715">
        <f>MONTH(Table1[[#This Row],[Date]])</f>
        <v>4</v>
      </c>
    </row>
    <row r="716" spans="1:16" x14ac:dyDescent="0.25">
      <c r="A716" t="s">
        <v>735</v>
      </c>
      <c r="B716" t="s">
        <v>16</v>
      </c>
      <c r="C716" t="s">
        <v>37</v>
      </c>
      <c r="D716" s="1">
        <v>45523</v>
      </c>
      <c r="E716">
        <v>144265</v>
      </c>
      <c r="F716">
        <v>4386</v>
      </c>
      <c r="G716">
        <v>438</v>
      </c>
      <c r="H716" s="4">
        <v>2346.37</v>
      </c>
      <c r="I716" s="4">
        <v>17767.98</v>
      </c>
      <c r="J716" s="7">
        <f>Table1[[#This Row],[Clicks]]/Table1[[#This Row],[Impressions]]</f>
        <v>3.0402384500745158E-2</v>
      </c>
      <c r="K716" s="7">
        <f>IFERROR(Table1[[#This Row],[Conversions]]/Table1[[#This Row],[Clicks]],0)</f>
        <v>9.9863201094391243E-2</v>
      </c>
      <c r="L716" s="6">
        <f>IF(Table1[[#This Row],[Conversions]]=0,0,Table1[[#This Row],[Ad Spend]]/Table1[[#This Row],[Conversions]])</f>
        <v>5.3570091324200915</v>
      </c>
      <c r="M716" s="8">
        <f>IF(Table1[[#This Row],[Ad Spend]]=0,0,Table1[[#This Row],[Revenue]]/Table1[[#This Row],[Ad Spend]])</f>
        <v>7.5725397102758727</v>
      </c>
      <c r="N716">
        <f>YEAR(Table1[[#This Row],[Date]])</f>
        <v>2024</v>
      </c>
      <c r="O716" t="str">
        <f>TEXT(Table1[[#This Row],[Date]],"mmm")</f>
        <v>Aug</v>
      </c>
      <c r="P716">
        <f>MONTH(Table1[[#This Row],[Date]])</f>
        <v>8</v>
      </c>
    </row>
    <row r="717" spans="1:16" x14ac:dyDescent="0.25">
      <c r="A717" t="s">
        <v>736</v>
      </c>
      <c r="B717" t="s">
        <v>47</v>
      </c>
      <c r="C717" t="s">
        <v>19</v>
      </c>
      <c r="D717" s="1">
        <v>45583</v>
      </c>
      <c r="E717">
        <v>84835</v>
      </c>
      <c r="F717">
        <v>6302</v>
      </c>
      <c r="G717">
        <v>893</v>
      </c>
      <c r="H717" s="4">
        <v>3645.4</v>
      </c>
      <c r="I717" s="4">
        <v>99580.03</v>
      </c>
      <c r="J717" s="7">
        <f>Table1[[#This Row],[Clicks]]/Table1[[#This Row],[Impressions]]</f>
        <v>7.4285377497495142E-2</v>
      </c>
      <c r="K717" s="7">
        <f>IFERROR(Table1[[#This Row],[Conversions]]/Table1[[#This Row],[Clicks]],0)</f>
        <v>0.14170104728657568</v>
      </c>
      <c r="L717" s="6">
        <f>IF(Table1[[#This Row],[Conversions]]=0,0,Table1[[#This Row],[Ad Spend]]/Table1[[#This Row],[Conversions]])</f>
        <v>4.0821948488241881</v>
      </c>
      <c r="M717" s="8">
        <f>IF(Table1[[#This Row],[Ad Spend]]=0,0,Table1[[#This Row],[Revenue]]/Table1[[#This Row],[Ad Spend]])</f>
        <v>27.316626433313214</v>
      </c>
      <c r="N717">
        <f>YEAR(Table1[[#This Row],[Date]])</f>
        <v>2024</v>
      </c>
      <c r="O717" t="str">
        <f>TEXT(Table1[[#This Row],[Date]],"mmm")</f>
        <v>Oct</v>
      </c>
      <c r="P717">
        <f>MONTH(Table1[[#This Row],[Date]])</f>
        <v>10</v>
      </c>
    </row>
    <row r="718" spans="1:16" x14ac:dyDescent="0.25">
      <c r="A718" t="s">
        <v>737</v>
      </c>
      <c r="B718" t="s">
        <v>9</v>
      </c>
      <c r="C718" t="s">
        <v>12</v>
      </c>
      <c r="D718" s="1">
        <v>45296</v>
      </c>
      <c r="E718">
        <v>138804</v>
      </c>
      <c r="F718">
        <v>5315</v>
      </c>
      <c r="G718">
        <v>194</v>
      </c>
      <c r="H718" s="4">
        <v>1612.09</v>
      </c>
      <c r="I718" s="4">
        <v>11042.92</v>
      </c>
      <c r="J718" s="7">
        <f>Table1[[#This Row],[Clicks]]/Table1[[#This Row],[Impressions]]</f>
        <v>3.8291403705945075E-2</v>
      </c>
      <c r="K718" s="7">
        <f>IFERROR(Table1[[#This Row],[Conversions]]/Table1[[#This Row],[Clicks]],0)</f>
        <v>3.6500470366886174E-2</v>
      </c>
      <c r="L718" s="6">
        <f>IF(Table1[[#This Row],[Conversions]]=0,0,Table1[[#This Row],[Ad Spend]]/Table1[[#This Row],[Conversions]])</f>
        <v>8.3097422680412372</v>
      </c>
      <c r="M718" s="8">
        <f>IF(Table1[[#This Row],[Ad Spend]]=0,0,Table1[[#This Row],[Revenue]]/Table1[[#This Row],[Ad Spend]])</f>
        <v>6.8500642023708354</v>
      </c>
      <c r="N718">
        <f>YEAR(Table1[[#This Row],[Date]])</f>
        <v>2024</v>
      </c>
      <c r="O718" t="str">
        <f>TEXT(Table1[[#This Row],[Date]],"mmm")</f>
        <v>Jan</v>
      </c>
      <c r="P718">
        <f>MONTH(Table1[[#This Row],[Date]])</f>
        <v>1</v>
      </c>
    </row>
    <row r="719" spans="1:16" x14ac:dyDescent="0.25">
      <c r="A719" t="s">
        <v>738</v>
      </c>
      <c r="B719" t="s">
        <v>31</v>
      </c>
      <c r="C719" t="s">
        <v>10</v>
      </c>
      <c r="D719" s="1">
        <v>45652</v>
      </c>
      <c r="E719">
        <v>99173</v>
      </c>
      <c r="F719">
        <v>1753</v>
      </c>
      <c r="G719">
        <v>99</v>
      </c>
      <c r="H719" s="4">
        <v>349.69</v>
      </c>
      <c r="I719" s="4">
        <v>6253.98</v>
      </c>
      <c r="J719" s="7">
        <f>Table1[[#This Row],[Clicks]]/Table1[[#This Row],[Impressions]]</f>
        <v>1.7676182025349641E-2</v>
      </c>
      <c r="K719" s="7">
        <f>IFERROR(Table1[[#This Row],[Conversions]]/Table1[[#This Row],[Clicks]],0)</f>
        <v>5.6474614945807189E-2</v>
      </c>
      <c r="L719" s="6">
        <f>IF(Table1[[#This Row],[Conversions]]=0,0,Table1[[#This Row],[Ad Spend]]/Table1[[#This Row],[Conversions]])</f>
        <v>3.5322222222222224</v>
      </c>
      <c r="M719" s="8">
        <f>IF(Table1[[#This Row],[Ad Spend]]=0,0,Table1[[#This Row],[Revenue]]/Table1[[#This Row],[Ad Spend]])</f>
        <v>17.884354714175412</v>
      </c>
      <c r="N719">
        <f>YEAR(Table1[[#This Row],[Date]])</f>
        <v>2024</v>
      </c>
      <c r="O719" t="str">
        <f>TEXT(Table1[[#This Row],[Date]],"mmm")</f>
        <v>Dec</v>
      </c>
      <c r="P719">
        <f>MONTH(Table1[[#This Row],[Date]])</f>
        <v>12</v>
      </c>
    </row>
    <row r="720" spans="1:16" x14ac:dyDescent="0.25">
      <c r="A720" t="s">
        <v>739</v>
      </c>
      <c r="B720" t="s">
        <v>21</v>
      </c>
      <c r="C720" t="s">
        <v>19</v>
      </c>
      <c r="D720" s="1">
        <v>45656</v>
      </c>
      <c r="E720">
        <v>105346</v>
      </c>
      <c r="F720">
        <v>4047</v>
      </c>
      <c r="G720">
        <v>309</v>
      </c>
      <c r="H720" s="4">
        <v>1213.8399999999999</v>
      </c>
      <c r="I720" s="4">
        <v>11538.37</v>
      </c>
      <c r="J720" s="7">
        <f>Table1[[#This Row],[Clicks]]/Table1[[#This Row],[Impressions]]</f>
        <v>3.8416266398344501E-2</v>
      </c>
      <c r="K720" s="7">
        <f>IFERROR(Table1[[#This Row],[Conversions]]/Table1[[#This Row],[Clicks]],0)</f>
        <v>7.6352853965900663E-2</v>
      </c>
      <c r="L720" s="6">
        <f>IF(Table1[[#This Row],[Conversions]]=0,0,Table1[[#This Row],[Ad Spend]]/Table1[[#This Row],[Conversions]])</f>
        <v>3.9282847896440125</v>
      </c>
      <c r="M720" s="8">
        <f>IF(Table1[[#This Row],[Ad Spend]]=0,0,Table1[[#This Row],[Revenue]]/Table1[[#This Row],[Ad Spend]])</f>
        <v>9.505676201146775</v>
      </c>
      <c r="N720">
        <f>YEAR(Table1[[#This Row],[Date]])</f>
        <v>2024</v>
      </c>
      <c r="O720" t="str">
        <f>TEXT(Table1[[#This Row],[Date]],"mmm")</f>
        <v>Dec</v>
      </c>
      <c r="P720">
        <f>MONTH(Table1[[#This Row],[Date]])</f>
        <v>12</v>
      </c>
    </row>
    <row r="721" spans="1:16" x14ac:dyDescent="0.25">
      <c r="A721" t="s">
        <v>740</v>
      </c>
      <c r="B721" t="s">
        <v>16</v>
      </c>
      <c r="C721" t="s">
        <v>37</v>
      </c>
      <c r="D721" s="1">
        <v>45576</v>
      </c>
      <c r="E721">
        <v>105819</v>
      </c>
      <c r="F721">
        <v>7304</v>
      </c>
      <c r="G721">
        <v>488</v>
      </c>
      <c r="H721" s="4">
        <v>2202.73</v>
      </c>
      <c r="I721" s="4">
        <v>23837.38</v>
      </c>
      <c r="J721" s="7">
        <f>Table1[[#This Row],[Clicks]]/Table1[[#This Row],[Impressions]]</f>
        <v>6.9023521295797544E-2</v>
      </c>
      <c r="K721" s="7">
        <f>IFERROR(Table1[[#This Row],[Conversions]]/Table1[[#This Row],[Clicks]],0)</f>
        <v>6.6812705366922229E-2</v>
      </c>
      <c r="L721" s="6">
        <f>IF(Table1[[#This Row],[Conversions]]=0,0,Table1[[#This Row],[Ad Spend]]/Table1[[#This Row],[Conversions]])</f>
        <v>4.5137909836065573</v>
      </c>
      <c r="M721" s="8">
        <f>IF(Table1[[#This Row],[Ad Spend]]=0,0,Table1[[#This Row],[Revenue]]/Table1[[#This Row],[Ad Spend]])</f>
        <v>10.821743926854404</v>
      </c>
      <c r="N721">
        <f>YEAR(Table1[[#This Row],[Date]])</f>
        <v>2024</v>
      </c>
      <c r="O721" t="str">
        <f>TEXT(Table1[[#This Row],[Date]],"mmm")</f>
        <v>Oct</v>
      </c>
      <c r="P721">
        <f>MONTH(Table1[[#This Row],[Date]])</f>
        <v>10</v>
      </c>
    </row>
    <row r="722" spans="1:16" x14ac:dyDescent="0.25">
      <c r="A722" t="s">
        <v>741</v>
      </c>
      <c r="B722" t="s">
        <v>16</v>
      </c>
      <c r="C722" t="s">
        <v>37</v>
      </c>
      <c r="D722" s="1">
        <v>45297</v>
      </c>
      <c r="E722">
        <v>23807</v>
      </c>
      <c r="F722">
        <v>1318</v>
      </c>
      <c r="G722">
        <v>51</v>
      </c>
      <c r="H722" s="4">
        <v>4447.47</v>
      </c>
      <c r="I722" s="4">
        <v>4375.43</v>
      </c>
      <c r="J722" s="7">
        <f>Table1[[#This Row],[Clicks]]/Table1[[#This Row],[Impressions]]</f>
        <v>5.5361868358045956E-2</v>
      </c>
      <c r="K722" s="7">
        <f>IFERROR(Table1[[#This Row],[Conversions]]/Table1[[#This Row],[Clicks]],0)</f>
        <v>3.8694992412746584E-2</v>
      </c>
      <c r="L722" s="6">
        <f>IF(Table1[[#This Row],[Conversions]]=0,0,Table1[[#This Row],[Ad Spend]]/Table1[[#This Row],[Conversions]])</f>
        <v>87.205294117647057</v>
      </c>
      <c r="M722" s="8">
        <f>IF(Table1[[#This Row],[Ad Spend]]=0,0,Table1[[#This Row],[Revenue]]/Table1[[#This Row],[Ad Spend]])</f>
        <v>0.98380202677027617</v>
      </c>
      <c r="N722">
        <f>YEAR(Table1[[#This Row],[Date]])</f>
        <v>2024</v>
      </c>
      <c r="O722" t="str">
        <f>TEXT(Table1[[#This Row],[Date]],"mmm")</f>
        <v>Jan</v>
      </c>
      <c r="P722">
        <f>MONTH(Table1[[#This Row],[Date]])</f>
        <v>1</v>
      </c>
    </row>
    <row r="723" spans="1:16" x14ac:dyDescent="0.25">
      <c r="A723" t="s">
        <v>742</v>
      </c>
      <c r="B723" t="s">
        <v>16</v>
      </c>
      <c r="C723" t="s">
        <v>10</v>
      </c>
      <c r="D723" s="1">
        <v>45362</v>
      </c>
      <c r="E723">
        <v>114014</v>
      </c>
      <c r="F723">
        <v>8005</v>
      </c>
      <c r="G723">
        <v>1090</v>
      </c>
      <c r="H723" s="4">
        <v>3537.87</v>
      </c>
      <c r="I723" s="4">
        <v>123203.9</v>
      </c>
      <c r="J723" s="7">
        <f>Table1[[#This Row],[Clicks]]/Table1[[#This Row],[Impressions]]</f>
        <v>7.021067588190924E-2</v>
      </c>
      <c r="K723" s="7">
        <f>IFERROR(Table1[[#This Row],[Conversions]]/Table1[[#This Row],[Clicks]],0)</f>
        <v>0.13616489693941286</v>
      </c>
      <c r="L723" s="6">
        <f>IF(Table1[[#This Row],[Conversions]]=0,0,Table1[[#This Row],[Ad Spend]]/Table1[[#This Row],[Conversions]])</f>
        <v>3.2457522935779815</v>
      </c>
      <c r="M723" s="8">
        <f>IF(Table1[[#This Row],[Ad Spend]]=0,0,Table1[[#This Row],[Revenue]]/Table1[[#This Row],[Ad Spend]])</f>
        <v>34.824315195301125</v>
      </c>
      <c r="N723">
        <f>YEAR(Table1[[#This Row],[Date]])</f>
        <v>2024</v>
      </c>
      <c r="O723" t="str">
        <f>TEXT(Table1[[#This Row],[Date]],"mmm")</f>
        <v>Mar</v>
      </c>
      <c r="P723">
        <f>MONTH(Table1[[#This Row],[Date]])</f>
        <v>3</v>
      </c>
    </row>
    <row r="724" spans="1:16" x14ac:dyDescent="0.25">
      <c r="A724" t="s">
        <v>743</v>
      </c>
      <c r="B724" t="s">
        <v>16</v>
      </c>
      <c r="C724" t="s">
        <v>17</v>
      </c>
      <c r="D724" s="1">
        <v>45552</v>
      </c>
      <c r="E724">
        <v>116181</v>
      </c>
      <c r="F724">
        <v>5651</v>
      </c>
      <c r="G724">
        <v>443</v>
      </c>
      <c r="H724" s="4">
        <v>1905.47</v>
      </c>
      <c r="I724" s="4">
        <v>17090.54</v>
      </c>
      <c r="J724" s="7">
        <f>Table1[[#This Row],[Clicks]]/Table1[[#This Row],[Impressions]]</f>
        <v>4.8639622657749543E-2</v>
      </c>
      <c r="K724" s="7">
        <f>IFERROR(Table1[[#This Row],[Conversions]]/Table1[[#This Row],[Clicks]],0)</f>
        <v>7.8393204742523453E-2</v>
      </c>
      <c r="L724" s="6">
        <f>IF(Table1[[#This Row],[Conversions]]=0,0,Table1[[#This Row],[Ad Spend]]/Table1[[#This Row],[Conversions]])</f>
        <v>4.3012866817155757</v>
      </c>
      <c r="M724" s="8">
        <f>IF(Table1[[#This Row],[Ad Spend]]=0,0,Table1[[#This Row],[Revenue]]/Table1[[#This Row],[Ad Spend]])</f>
        <v>8.9691992001973269</v>
      </c>
      <c r="N724">
        <f>YEAR(Table1[[#This Row],[Date]])</f>
        <v>2024</v>
      </c>
      <c r="O724" t="str">
        <f>TEXT(Table1[[#This Row],[Date]],"mmm")</f>
        <v>Sept</v>
      </c>
      <c r="P724">
        <f>MONTH(Table1[[#This Row],[Date]])</f>
        <v>9</v>
      </c>
    </row>
    <row r="725" spans="1:16" x14ac:dyDescent="0.25">
      <c r="A725" t="s">
        <v>744</v>
      </c>
      <c r="B725" t="s">
        <v>31</v>
      </c>
      <c r="C725" t="s">
        <v>12</v>
      </c>
      <c r="D725" s="1">
        <v>45547</v>
      </c>
      <c r="E725">
        <v>67062</v>
      </c>
      <c r="F725">
        <v>4013</v>
      </c>
      <c r="G725">
        <v>220</v>
      </c>
      <c r="H725" s="4">
        <v>4647.51</v>
      </c>
      <c r="I725" s="4">
        <v>17079.75</v>
      </c>
      <c r="J725" s="7">
        <f>Table1[[#This Row],[Clicks]]/Table1[[#This Row],[Impressions]]</f>
        <v>5.9840147922817694E-2</v>
      </c>
      <c r="K725" s="7">
        <f>IFERROR(Table1[[#This Row],[Conversions]]/Table1[[#This Row],[Clicks]],0)</f>
        <v>5.4821829055569399E-2</v>
      </c>
      <c r="L725" s="6">
        <f>IF(Table1[[#This Row],[Conversions]]=0,0,Table1[[#This Row],[Ad Spend]]/Table1[[#This Row],[Conversions]])</f>
        <v>21.125045454545454</v>
      </c>
      <c r="M725" s="8">
        <f>IF(Table1[[#This Row],[Ad Spend]]=0,0,Table1[[#This Row],[Revenue]]/Table1[[#This Row],[Ad Spend]])</f>
        <v>3.6750324367241811</v>
      </c>
      <c r="N725">
        <f>YEAR(Table1[[#This Row],[Date]])</f>
        <v>2024</v>
      </c>
      <c r="O725" t="str">
        <f>TEXT(Table1[[#This Row],[Date]],"mmm")</f>
        <v>Sept</v>
      </c>
      <c r="P725">
        <f>MONTH(Table1[[#This Row],[Date]])</f>
        <v>9</v>
      </c>
    </row>
    <row r="726" spans="1:16" x14ac:dyDescent="0.25">
      <c r="A726" t="s">
        <v>745</v>
      </c>
      <c r="B726" t="s">
        <v>31</v>
      </c>
      <c r="C726" t="s">
        <v>10</v>
      </c>
      <c r="D726" s="1">
        <v>45582</v>
      </c>
      <c r="E726">
        <v>131685</v>
      </c>
      <c r="F726">
        <v>7814</v>
      </c>
      <c r="G726">
        <v>271</v>
      </c>
      <c r="H726" s="4">
        <v>2511.36</v>
      </c>
      <c r="I726" s="4">
        <v>24132.48</v>
      </c>
      <c r="J726" s="7">
        <f>Table1[[#This Row],[Clicks]]/Table1[[#This Row],[Impressions]]</f>
        <v>5.9338573110073282E-2</v>
      </c>
      <c r="K726" s="7">
        <f>IFERROR(Table1[[#This Row],[Conversions]]/Table1[[#This Row],[Clicks]],0)</f>
        <v>3.4681341182492963E-2</v>
      </c>
      <c r="L726" s="6">
        <f>IF(Table1[[#This Row],[Conversions]]=0,0,Table1[[#This Row],[Ad Spend]]/Table1[[#This Row],[Conversions]])</f>
        <v>9.2670110701107014</v>
      </c>
      <c r="M726" s="8">
        <f>IF(Table1[[#This Row],[Ad Spend]]=0,0,Table1[[#This Row],[Revenue]]/Table1[[#This Row],[Ad Spend]])</f>
        <v>9.6093272171253812</v>
      </c>
      <c r="N726">
        <f>YEAR(Table1[[#This Row],[Date]])</f>
        <v>2024</v>
      </c>
      <c r="O726" t="str">
        <f>TEXT(Table1[[#This Row],[Date]],"mmm")</f>
        <v>Oct</v>
      </c>
      <c r="P726">
        <f>MONTH(Table1[[#This Row],[Date]])</f>
        <v>10</v>
      </c>
    </row>
    <row r="727" spans="1:16" x14ac:dyDescent="0.25">
      <c r="A727" t="s">
        <v>746</v>
      </c>
      <c r="B727" t="s">
        <v>16</v>
      </c>
      <c r="C727" t="s">
        <v>12</v>
      </c>
      <c r="D727" s="1">
        <v>45676</v>
      </c>
      <c r="E727">
        <v>78248</v>
      </c>
      <c r="F727">
        <v>3329</v>
      </c>
      <c r="G727">
        <v>100</v>
      </c>
      <c r="H727" s="4">
        <v>4471.59</v>
      </c>
      <c r="I727" s="4">
        <v>2884.46</v>
      </c>
      <c r="J727" s="7">
        <f>Table1[[#This Row],[Clicks]]/Table1[[#This Row],[Impressions]]</f>
        <v>4.2544218382578471E-2</v>
      </c>
      <c r="K727" s="7">
        <f>IFERROR(Table1[[#This Row],[Conversions]]/Table1[[#This Row],[Clicks]],0)</f>
        <v>3.0039050765995796E-2</v>
      </c>
      <c r="L727" s="6">
        <f>IF(Table1[[#This Row],[Conversions]]=0,0,Table1[[#This Row],[Ad Spend]]/Table1[[#This Row],[Conversions]])</f>
        <v>44.715900000000005</v>
      </c>
      <c r="M727" s="8">
        <f>IF(Table1[[#This Row],[Ad Spend]]=0,0,Table1[[#This Row],[Revenue]]/Table1[[#This Row],[Ad Spend]])</f>
        <v>0.64506361271941304</v>
      </c>
      <c r="N727">
        <f>YEAR(Table1[[#This Row],[Date]])</f>
        <v>2025</v>
      </c>
      <c r="O727" t="str">
        <f>TEXT(Table1[[#This Row],[Date]],"mmm")</f>
        <v>Jan</v>
      </c>
      <c r="P727">
        <f>MONTH(Table1[[#This Row],[Date]])</f>
        <v>1</v>
      </c>
    </row>
    <row r="728" spans="1:16" x14ac:dyDescent="0.25">
      <c r="A728" t="s">
        <v>747</v>
      </c>
      <c r="B728" t="s">
        <v>41</v>
      </c>
      <c r="C728" t="s">
        <v>10</v>
      </c>
      <c r="D728" s="1">
        <v>45642</v>
      </c>
      <c r="E728">
        <v>146347</v>
      </c>
      <c r="F728">
        <v>9639</v>
      </c>
      <c r="G728">
        <v>584</v>
      </c>
      <c r="H728" s="4">
        <v>453.32</v>
      </c>
      <c r="I728" s="4">
        <v>31743.1</v>
      </c>
      <c r="J728" s="7">
        <f>Table1[[#This Row],[Clicks]]/Table1[[#This Row],[Impressions]]</f>
        <v>6.5864008145025174E-2</v>
      </c>
      <c r="K728" s="7">
        <f>IFERROR(Table1[[#This Row],[Conversions]]/Table1[[#This Row],[Clicks]],0)</f>
        <v>6.0587197842099802E-2</v>
      </c>
      <c r="L728" s="6">
        <f>IF(Table1[[#This Row],[Conversions]]=0,0,Table1[[#This Row],[Ad Spend]]/Table1[[#This Row],[Conversions]])</f>
        <v>0.77623287671232877</v>
      </c>
      <c r="M728" s="8">
        <f>IF(Table1[[#This Row],[Ad Spend]]=0,0,Table1[[#This Row],[Revenue]]/Table1[[#This Row],[Ad Spend]])</f>
        <v>70.023603635401045</v>
      </c>
      <c r="N728">
        <f>YEAR(Table1[[#This Row],[Date]])</f>
        <v>2024</v>
      </c>
      <c r="O728" t="str">
        <f>TEXT(Table1[[#This Row],[Date]],"mmm")</f>
        <v>Dec</v>
      </c>
      <c r="P728">
        <f>MONTH(Table1[[#This Row],[Date]])</f>
        <v>12</v>
      </c>
    </row>
    <row r="729" spans="1:16" x14ac:dyDescent="0.25">
      <c r="A729" t="s">
        <v>748</v>
      </c>
      <c r="B729" t="s">
        <v>31</v>
      </c>
      <c r="C729" t="s">
        <v>17</v>
      </c>
      <c r="D729" s="1">
        <v>45524</v>
      </c>
      <c r="E729">
        <v>139391</v>
      </c>
      <c r="F729">
        <v>10234</v>
      </c>
      <c r="G729">
        <v>968</v>
      </c>
      <c r="H729" s="4">
        <v>1791.27</v>
      </c>
      <c r="I729" s="4">
        <v>53522.13</v>
      </c>
      <c r="J729" s="7">
        <f>Table1[[#This Row],[Clicks]]/Table1[[#This Row],[Impressions]]</f>
        <v>7.3419374278109781E-2</v>
      </c>
      <c r="K729" s="7">
        <f>IFERROR(Table1[[#This Row],[Conversions]]/Table1[[#This Row],[Clicks]],0)</f>
        <v>9.4586671878053544E-2</v>
      </c>
      <c r="L729" s="6">
        <f>IF(Table1[[#This Row],[Conversions]]=0,0,Table1[[#This Row],[Ad Spend]]/Table1[[#This Row],[Conversions]])</f>
        <v>1.8504855371900826</v>
      </c>
      <c r="M729" s="8">
        <f>IF(Table1[[#This Row],[Ad Spend]]=0,0,Table1[[#This Row],[Revenue]]/Table1[[#This Row],[Ad Spend]])</f>
        <v>29.879431911437134</v>
      </c>
      <c r="N729">
        <f>YEAR(Table1[[#This Row],[Date]])</f>
        <v>2024</v>
      </c>
      <c r="O729" t="str">
        <f>TEXT(Table1[[#This Row],[Date]],"mmm")</f>
        <v>Aug</v>
      </c>
      <c r="P729">
        <f>MONTH(Table1[[#This Row],[Date]])</f>
        <v>8</v>
      </c>
    </row>
    <row r="730" spans="1:16" x14ac:dyDescent="0.25">
      <c r="A730" t="s">
        <v>749</v>
      </c>
      <c r="B730" t="s">
        <v>34</v>
      </c>
      <c r="C730" t="s">
        <v>19</v>
      </c>
      <c r="D730" s="1">
        <v>45377</v>
      </c>
      <c r="E730">
        <v>14260</v>
      </c>
      <c r="F730">
        <v>836</v>
      </c>
      <c r="G730">
        <v>81</v>
      </c>
      <c r="H730" s="4">
        <v>1659.54</v>
      </c>
      <c r="I730" s="4">
        <v>7978.67</v>
      </c>
      <c r="J730" s="7">
        <f>Table1[[#This Row],[Clicks]]/Table1[[#This Row],[Impressions]]</f>
        <v>5.8625525946704067E-2</v>
      </c>
      <c r="K730" s="7">
        <f>IFERROR(Table1[[#This Row],[Conversions]]/Table1[[#This Row],[Clicks]],0)</f>
        <v>9.6889952153110054E-2</v>
      </c>
      <c r="L730" s="6">
        <f>IF(Table1[[#This Row],[Conversions]]=0,0,Table1[[#This Row],[Ad Spend]]/Table1[[#This Row],[Conversions]])</f>
        <v>20.488148148148149</v>
      </c>
      <c r="M730" s="8">
        <f>IF(Table1[[#This Row],[Ad Spend]]=0,0,Table1[[#This Row],[Revenue]]/Table1[[#This Row],[Ad Spend]])</f>
        <v>4.807759981681671</v>
      </c>
      <c r="N730">
        <f>YEAR(Table1[[#This Row],[Date]])</f>
        <v>2024</v>
      </c>
      <c r="O730" t="str">
        <f>TEXT(Table1[[#This Row],[Date]],"mmm")</f>
        <v>Mar</v>
      </c>
      <c r="P730">
        <f>MONTH(Table1[[#This Row],[Date]])</f>
        <v>3</v>
      </c>
    </row>
    <row r="731" spans="1:16" x14ac:dyDescent="0.25">
      <c r="A731" t="s">
        <v>750</v>
      </c>
      <c r="B731" t="s">
        <v>34</v>
      </c>
      <c r="C731" t="s">
        <v>10</v>
      </c>
      <c r="D731" s="1">
        <v>45614</v>
      </c>
      <c r="E731">
        <v>129036</v>
      </c>
      <c r="F731">
        <v>6512</v>
      </c>
      <c r="G731">
        <v>615</v>
      </c>
      <c r="H731" s="4">
        <v>3350.34</v>
      </c>
      <c r="I731" s="4">
        <v>30242.82</v>
      </c>
      <c r="J731" s="7">
        <f>Table1[[#This Row],[Clicks]]/Table1[[#This Row],[Impressions]]</f>
        <v>5.0466536470442358E-2</v>
      </c>
      <c r="K731" s="7">
        <f>IFERROR(Table1[[#This Row],[Conversions]]/Table1[[#This Row],[Clicks]],0)</f>
        <v>9.4441031941031942E-2</v>
      </c>
      <c r="L731" s="6">
        <f>IF(Table1[[#This Row],[Conversions]]=0,0,Table1[[#This Row],[Ad Spend]]/Table1[[#This Row],[Conversions]])</f>
        <v>5.4477073170731707</v>
      </c>
      <c r="M731" s="8">
        <f>IF(Table1[[#This Row],[Ad Spend]]=0,0,Table1[[#This Row],[Revenue]]/Table1[[#This Row],[Ad Spend]])</f>
        <v>9.0267913107326407</v>
      </c>
      <c r="N731">
        <f>YEAR(Table1[[#This Row],[Date]])</f>
        <v>2024</v>
      </c>
      <c r="O731" t="str">
        <f>TEXT(Table1[[#This Row],[Date]],"mmm")</f>
        <v>Nov</v>
      </c>
      <c r="P731">
        <f>MONTH(Table1[[#This Row],[Date]])</f>
        <v>11</v>
      </c>
    </row>
    <row r="732" spans="1:16" x14ac:dyDescent="0.25">
      <c r="A732" t="s">
        <v>751</v>
      </c>
      <c r="B732" t="s">
        <v>31</v>
      </c>
      <c r="C732" t="s">
        <v>19</v>
      </c>
      <c r="D732" s="1">
        <v>45540</v>
      </c>
      <c r="E732">
        <v>26629</v>
      </c>
      <c r="F732">
        <v>502</v>
      </c>
      <c r="G732">
        <v>15</v>
      </c>
      <c r="H732" s="4">
        <v>3962.06</v>
      </c>
      <c r="I732" s="4">
        <v>678.08</v>
      </c>
      <c r="J732" s="7">
        <f>Table1[[#This Row],[Clicks]]/Table1[[#This Row],[Impressions]]</f>
        <v>1.8851627924443275E-2</v>
      </c>
      <c r="K732" s="7">
        <f>IFERROR(Table1[[#This Row],[Conversions]]/Table1[[#This Row],[Clicks]],0)</f>
        <v>2.9880478087649404E-2</v>
      </c>
      <c r="L732" s="6">
        <f>IF(Table1[[#This Row],[Conversions]]=0,0,Table1[[#This Row],[Ad Spend]]/Table1[[#This Row],[Conversions]])</f>
        <v>264.13733333333334</v>
      </c>
      <c r="M732" s="8">
        <f>IF(Table1[[#This Row],[Ad Spend]]=0,0,Table1[[#This Row],[Revenue]]/Table1[[#This Row],[Ad Spend]])</f>
        <v>0.17114329414496501</v>
      </c>
      <c r="N732">
        <f>YEAR(Table1[[#This Row],[Date]])</f>
        <v>2024</v>
      </c>
      <c r="O732" t="str">
        <f>TEXT(Table1[[#This Row],[Date]],"mmm")</f>
        <v>Sept</v>
      </c>
      <c r="P732">
        <f>MONTH(Table1[[#This Row],[Date]])</f>
        <v>9</v>
      </c>
    </row>
    <row r="733" spans="1:16" x14ac:dyDescent="0.25">
      <c r="A733" t="s">
        <v>752</v>
      </c>
      <c r="B733" t="s">
        <v>34</v>
      </c>
      <c r="C733" t="s">
        <v>19</v>
      </c>
      <c r="D733" s="1">
        <v>45423</v>
      </c>
      <c r="E733">
        <v>8723</v>
      </c>
      <c r="F733">
        <v>539</v>
      </c>
      <c r="G733">
        <v>53</v>
      </c>
      <c r="H733" s="4">
        <v>4568.63</v>
      </c>
      <c r="I733" s="4">
        <v>4976.53</v>
      </c>
      <c r="J733" s="7">
        <f>Table1[[#This Row],[Clicks]]/Table1[[#This Row],[Impressions]]</f>
        <v>6.1790668348045398E-2</v>
      </c>
      <c r="K733" s="7">
        <f>IFERROR(Table1[[#This Row],[Conversions]]/Table1[[#This Row],[Clicks]],0)</f>
        <v>9.8330241187384038E-2</v>
      </c>
      <c r="L733" s="6">
        <f>IF(Table1[[#This Row],[Conversions]]=0,0,Table1[[#This Row],[Ad Spend]]/Table1[[#This Row],[Conversions]])</f>
        <v>86.200566037735854</v>
      </c>
      <c r="M733" s="8">
        <f>IF(Table1[[#This Row],[Ad Spend]]=0,0,Table1[[#This Row],[Revenue]]/Table1[[#This Row],[Ad Spend]])</f>
        <v>1.0892827828035976</v>
      </c>
      <c r="N733">
        <f>YEAR(Table1[[#This Row],[Date]])</f>
        <v>2024</v>
      </c>
      <c r="O733" t="str">
        <f>TEXT(Table1[[#This Row],[Date]],"mmm")</f>
        <v>May</v>
      </c>
      <c r="P733">
        <f>MONTH(Table1[[#This Row],[Date]])</f>
        <v>5</v>
      </c>
    </row>
    <row r="734" spans="1:16" x14ac:dyDescent="0.25">
      <c r="A734" t="s">
        <v>753</v>
      </c>
      <c r="B734" t="s">
        <v>41</v>
      </c>
      <c r="C734" t="s">
        <v>19</v>
      </c>
      <c r="D734" s="1">
        <v>45705</v>
      </c>
      <c r="E734">
        <v>50979</v>
      </c>
      <c r="F734">
        <v>1442</v>
      </c>
      <c r="G734">
        <v>160</v>
      </c>
      <c r="H734" s="4">
        <v>2527.61</v>
      </c>
      <c r="I734" s="4">
        <v>15989.95</v>
      </c>
      <c r="J734" s="7">
        <f>Table1[[#This Row],[Clicks]]/Table1[[#This Row],[Impressions]]</f>
        <v>2.8286157045057769E-2</v>
      </c>
      <c r="K734" s="7">
        <f>IFERROR(Table1[[#This Row],[Conversions]]/Table1[[#This Row],[Clicks]],0)</f>
        <v>0.11095700416088766</v>
      </c>
      <c r="L734" s="6">
        <f>IF(Table1[[#This Row],[Conversions]]=0,0,Table1[[#This Row],[Ad Spend]]/Table1[[#This Row],[Conversions]])</f>
        <v>15.797562500000002</v>
      </c>
      <c r="M734" s="8">
        <f>IF(Table1[[#This Row],[Ad Spend]]=0,0,Table1[[#This Row],[Revenue]]/Table1[[#This Row],[Ad Spend]])</f>
        <v>6.3261143926476002</v>
      </c>
      <c r="N734">
        <f>YEAR(Table1[[#This Row],[Date]])</f>
        <v>2025</v>
      </c>
      <c r="O734" t="str">
        <f>TEXT(Table1[[#This Row],[Date]],"mmm")</f>
        <v>Feb</v>
      </c>
      <c r="P734">
        <f>MONTH(Table1[[#This Row],[Date]])</f>
        <v>2</v>
      </c>
    </row>
    <row r="735" spans="1:16" x14ac:dyDescent="0.25">
      <c r="A735" t="s">
        <v>754</v>
      </c>
      <c r="B735" t="s">
        <v>31</v>
      </c>
      <c r="C735" t="s">
        <v>19</v>
      </c>
      <c r="D735" s="1">
        <v>45335</v>
      </c>
      <c r="E735">
        <v>43029</v>
      </c>
      <c r="F735">
        <v>2224</v>
      </c>
      <c r="G735">
        <v>282</v>
      </c>
      <c r="H735" s="4">
        <v>4220.55</v>
      </c>
      <c r="I735" s="4">
        <v>26867.87</v>
      </c>
      <c r="J735" s="7">
        <f>Table1[[#This Row],[Clicks]]/Table1[[#This Row],[Impressions]]</f>
        <v>5.168607218387599E-2</v>
      </c>
      <c r="K735" s="7">
        <f>IFERROR(Table1[[#This Row],[Conversions]]/Table1[[#This Row],[Clicks]],0)</f>
        <v>0.12679856115107913</v>
      </c>
      <c r="L735" s="6">
        <f>IF(Table1[[#This Row],[Conversions]]=0,0,Table1[[#This Row],[Ad Spend]]/Table1[[#This Row],[Conversions]])</f>
        <v>14.966489361702129</v>
      </c>
      <c r="M735" s="8">
        <f>IF(Table1[[#This Row],[Ad Spend]]=0,0,Table1[[#This Row],[Revenue]]/Table1[[#This Row],[Ad Spend]])</f>
        <v>6.3659641515916165</v>
      </c>
      <c r="N735">
        <f>YEAR(Table1[[#This Row],[Date]])</f>
        <v>2024</v>
      </c>
      <c r="O735" t="str">
        <f>TEXT(Table1[[#This Row],[Date]],"mmm")</f>
        <v>Feb</v>
      </c>
      <c r="P735">
        <f>MONTH(Table1[[#This Row],[Date]])</f>
        <v>2</v>
      </c>
    </row>
    <row r="736" spans="1:16" x14ac:dyDescent="0.25">
      <c r="A736" t="s">
        <v>755</v>
      </c>
      <c r="B736" t="s">
        <v>21</v>
      </c>
      <c r="C736" t="s">
        <v>17</v>
      </c>
      <c r="D736" s="1">
        <v>45413</v>
      </c>
      <c r="E736">
        <v>120391</v>
      </c>
      <c r="F736">
        <v>7322</v>
      </c>
      <c r="G736">
        <v>305</v>
      </c>
      <c r="H736" s="4">
        <v>2973.24</v>
      </c>
      <c r="I736" s="4">
        <v>31775.91</v>
      </c>
      <c r="J736" s="7">
        <f>Table1[[#This Row],[Clicks]]/Table1[[#This Row],[Impressions]]</f>
        <v>6.0818499721739999E-2</v>
      </c>
      <c r="K736" s="7">
        <f>IFERROR(Table1[[#This Row],[Conversions]]/Table1[[#This Row],[Clicks]],0)</f>
        <v>4.1655285441136301E-2</v>
      </c>
      <c r="L736" s="6">
        <f>IF(Table1[[#This Row],[Conversions]]=0,0,Table1[[#This Row],[Ad Spend]]/Table1[[#This Row],[Conversions]])</f>
        <v>9.7483278688524582</v>
      </c>
      <c r="M736" s="8">
        <f>IF(Table1[[#This Row],[Ad Spend]]=0,0,Table1[[#This Row],[Revenue]]/Table1[[#This Row],[Ad Spend]])</f>
        <v>10.687300722444203</v>
      </c>
      <c r="N736">
        <f>YEAR(Table1[[#This Row],[Date]])</f>
        <v>2024</v>
      </c>
      <c r="O736" t="str">
        <f>TEXT(Table1[[#This Row],[Date]],"mmm")</f>
        <v>May</v>
      </c>
      <c r="P736">
        <f>MONTH(Table1[[#This Row],[Date]])</f>
        <v>5</v>
      </c>
    </row>
    <row r="737" spans="1:16" x14ac:dyDescent="0.25">
      <c r="A737" t="s">
        <v>756</v>
      </c>
      <c r="B737" t="s">
        <v>31</v>
      </c>
      <c r="C737" t="s">
        <v>19</v>
      </c>
      <c r="D737" s="1">
        <v>45678</v>
      </c>
      <c r="E737">
        <v>35407</v>
      </c>
      <c r="F737">
        <v>484</v>
      </c>
      <c r="G737">
        <v>38</v>
      </c>
      <c r="H737" s="4">
        <v>2485.91</v>
      </c>
      <c r="I737" s="4">
        <v>2569.81</v>
      </c>
      <c r="J737" s="7">
        <f>Table1[[#This Row],[Clicks]]/Table1[[#This Row],[Impressions]]</f>
        <v>1.3669613353291721E-2</v>
      </c>
      <c r="K737" s="7">
        <f>IFERROR(Table1[[#This Row],[Conversions]]/Table1[[#This Row],[Clicks]],0)</f>
        <v>7.8512396694214878E-2</v>
      </c>
      <c r="L737" s="6">
        <f>IF(Table1[[#This Row],[Conversions]]=0,0,Table1[[#This Row],[Ad Spend]]/Table1[[#This Row],[Conversions]])</f>
        <v>65.418684210526308</v>
      </c>
      <c r="M737" s="8">
        <f>IF(Table1[[#This Row],[Ad Spend]]=0,0,Table1[[#This Row],[Revenue]]/Table1[[#This Row],[Ad Spend]])</f>
        <v>1.0337502162186081</v>
      </c>
      <c r="N737">
        <f>YEAR(Table1[[#This Row],[Date]])</f>
        <v>2025</v>
      </c>
      <c r="O737" t="str">
        <f>TEXT(Table1[[#This Row],[Date]],"mmm")</f>
        <v>Jan</v>
      </c>
      <c r="P737">
        <f>MONTH(Table1[[#This Row],[Date]])</f>
        <v>1</v>
      </c>
    </row>
    <row r="738" spans="1:16" x14ac:dyDescent="0.25">
      <c r="A738" t="s">
        <v>757</v>
      </c>
      <c r="B738" t="s">
        <v>14</v>
      </c>
      <c r="C738" t="s">
        <v>17</v>
      </c>
      <c r="D738" s="1">
        <v>45641</v>
      </c>
      <c r="E738">
        <v>107254</v>
      </c>
      <c r="F738">
        <v>4635</v>
      </c>
      <c r="G738">
        <v>180</v>
      </c>
      <c r="H738" s="4">
        <v>4377.33</v>
      </c>
      <c r="I738" s="4">
        <v>3813.53</v>
      </c>
      <c r="J738" s="7">
        <f>Table1[[#This Row],[Clicks]]/Table1[[#This Row],[Impressions]]</f>
        <v>4.321517146213661E-2</v>
      </c>
      <c r="K738" s="7">
        <f>IFERROR(Table1[[#This Row],[Conversions]]/Table1[[#This Row],[Clicks]],0)</f>
        <v>3.8834951456310676E-2</v>
      </c>
      <c r="L738" s="6">
        <f>IF(Table1[[#This Row],[Conversions]]=0,0,Table1[[#This Row],[Ad Spend]]/Table1[[#This Row],[Conversions]])</f>
        <v>24.3185</v>
      </c>
      <c r="M738" s="8">
        <f>IF(Table1[[#This Row],[Ad Spend]]=0,0,Table1[[#This Row],[Revenue]]/Table1[[#This Row],[Ad Spend]])</f>
        <v>0.87120002375877537</v>
      </c>
      <c r="N738">
        <f>YEAR(Table1[[#This Row],[Date]])</f>
        <v>2024</v>
      </c>
      <c r="O738" t="str">
        <f>TEXT(Table1[[#This Row],[Date]],"mmm")</f>
        <v>Dec</v>
      </c>
      <c r="P738">
        <f>MONTH(Table1[[#This Row],[Date]])</f>
        <v>12</v>
      </c>
    </row>
    <row r="739" spans="1:16" x14ac:dyDescent="0.25">
      <c r="A739" t="s">
        <v>758</v>
      </c>
      <c r="B739" t="s">
        <v>41</v>
      </c>
      <c r="C739" t="s">
        <v>17</v>
      </c>
      <c r="D739" s="1">
        <v>45639</v>
      </c>
      <c r="E739">
        <v>87755</v>
      </c>
      <c r="F739">
        <v>6785</v>
      </c>
      <c r="G739">
        <v>738</v>
      </c>
      <c r="H739" s="4">
        <v>396.88</v>
      </c>
      <c r="I739" s="4">
        <v>82487.16</v>
      </c>
      <c r="J739" s="7">
        <f>Table1[[#This Row],[Clicks]]/Table1[[#This Row],[Impressions]]</f>
        <v>7.7317531764571817E-2</v>
      </c>
      <c r="K739" s="7">
        <f>IFERROR(Table1[[#This Row],[Conversions]]/Table1[[#This Row],[Clicks]],0)</f>
        <v>0.10876934414148857</v>
      </c>
      <c r="L739" s="6">
        <f>IF(Table1[[#This Row],[Conversions]]=0,0,Table1[[#This Row],[Ad Spend]]/Table1[[#This Row],[Conversions]])</f>
        <v>0.5377777777777778</v>
      </c>
      <c r="M739" s="8">
        <f>IF(Table1[[#This Row],[Ad Spend]]=0,0,Table1[[#This Row],[Revenue]]/Table1[[#This Row],[Ad Spend]])</f>
        <v>207.83904454747028</v>
      </c>
      <c r="N739">
        <f>YEAR(Table1[[#This Row],[Date]])</f>
        <v>2024</v>
      </c>
      <c r="O739" t="str">
        <f>TEXT(Table1[[#This Row],[Date]],"mmm")</f>
        <v>Dec</v>
      </c>
      <c r="P739">
        <f>MONTH(Table1[[#This Row],[Date]])</f>
        <v>12</v>
      </c>
    </row>
    <row r="740" spans="1:16" x14ac:dyDescent="0.25">
      <c r="A740" t="s">
        <v>759</v>
      </c>
      <c r="B740" t="s">
        <v>47</v>
      </c>
      <c r="C740" t="s">
        <v>17</v>
      </c>
      <c r="D740" s="1">
        <v>45604</v>
      </c>
      <c r="E740">
        <v>76457</v>
      </c>
      <c r="F740">
        <v>2557</v>
      </c>
      <c r="G740">
        <v>139</v>
      </c>
      <c r="H740" s="4">
        <v>671.73</v>
      </c>
      <c r="I740" s="4">
        <v>11875.37</v>
      </c>
      <c r="J740" s="7">
        <f>Table1[[#This Row],[Clicks]]/Table1[[#This Row],[Impressions]]</f>
        <v>3.34436349843703E-2</v>
      </c>
      <c r="K740" s="7">
        <f>IFERROR(Table1[[#This Row],[Conversions]]/Table1[[#This Row],[Clicks]],0)</f>
        <v>5.4360578803285098E-2</v>
      </c>
      <c r="L740" s="6">
        <f>IF(Table1[[#This Row],[Conversions]]=0,0,Table1[[#This Row],[Ad Spend]]/Table1[[#This Row],[Conversions]])</f>
        <v>4.8325899280575539</v>
      </c>
      <c r="M740" s="8">
        <f>IF(Table1[[#This Row],[Ad Spend]]=0,0,Table1[[#This Row],[Revenue]]/Table1[[#This Row],[Ad Spend]])</f>
        <v>17.678784630729609</v>
      </c>
      <c r="N740">
        <f>YEAR(Table1[[#This Row],[Date]])</f>
        <v>2024</v>
      </c>
      <c r="O740" t="str">
        <f>TEXT(Table1[[#This Row],[Date]],"mmm")</f>
        <v>Nov</v>
      </c>
      <c r="P740">
        <f>MONTH(Table1[[#This Row],[Date]])</f>
        <v>11</v>
      </c>
    </row>
    <row r="741" spans="1:16" x14ac:dyDescent="0.25">
      <c r="A741" t="s">
        <v>760</v>
      </c>
      <c r="B741" t="s">
        <v>21</v>
      </c>
      <c r="C741" t="s">
        <v>17</v>
      </c>
      <c r="D741" s="1">
        <v>45687</v>
      </c>
      <c r="E741">
        <v>68385</v>
      </c>
      <c r="F741">
        <v>4198</v>
      </c>
      <c r="G741">
        <v>405</v>
      </c>
      <c r="H741" s="4">
        <v>1135.6400000000001</v>
      </c>
      <c r="I741" s="4">
        <v>21764.97</v>
      </c>
      <c r="J741" s="7">
        <f>Table1[[#This Row],[Clicks]]/Table1[[#This Row],[Impressions]]</f>
        <v>6.1387731227608391E-2</v>
      </c>
      <c r="K741" s="7">
        <f>IFERROR(Table1[[#This Row],[Conversions]]/Table1[[#This Row],[Clicks]],0)</f>
        <v>9.6474511672224872E-2</v>
      </c>
      <c r="L741" s="6">
        <f>IF(Table1[[#This Row],[Conversions]]=0,0,Table1[[#This Row],[Ad Spend]]/Table1[[#This Row],[Conversions]])</f>
        <v>2.8040493827160495</v>
      </c>
      <c r="M741" s="8">
        <f>IF(Table1[[#This Row],[Ad Spend]]=0,0,Table1[[#This Row],[Revenue]]/Table1[[#This Row],[Ad Spend]])</f>
        <v>19.165378112782218</v>
      </c>
      <c r="N741">
        <f>YEAR(Table1[[#This Row],[Date]])</f>
        <v>2025</v>
      </c>
      <c r="O741" t="str">
        <f>TEXT(Table1[[#This Row],[Date]],"mmm")</f>
        <v>Jan</v>
      </c>
      <c r="P741">
        <f>MONTH(Table1[[#This Row],[Date]])</f>
        <v>1</v>
      </c>
    </row>
    <row r="742" spans="1:16" x14ac:dyDescent="0.25">
      <c r="A742" t="s">
        <v>761</v>
      </c>
      <c r="B742" t="s">
        <v>16</v>
      </c>
      <c r="C742" t="s">
        <v>19</v>
      </c>
      <c r="D742" s="1">
        <v>45572</v>
      </c>
      <c r="E742">
        <v>7772</v>
      </c>
      <c r="F742">
        <v>443</v>
      </c>
      <c r="G742">
        <v>56</v>
      </c>
      <c r="H742" s="4">
        <v>257.41000000000003</v>
      </c>
      <c r="I742" s="4">
        <v>1667.11</v>
      </c>
      <c r="J742" s="7">
        <f>Table1[[#This Row],[Clicks]]/Table1[[#This Row],[Impressions]]</f>
        <v>5.6999485331960885E-2</v>
      </c>
      <c r="K742" s="7">
        <f>IFERROR(Table1[[#This Row],[Conversions]]/Table1[[#This Row],[Clicks]],0)</f>
        <v>0.12641083521444696</v>
      </c>
      <c r="L742" s="6">
        <f>IF(Table1[[#This Row],[Conversions]]=0,0,Table1[[#This Row],[Ad Spend]]/Table1[[#This Row],[Conversions]])</f>
        <v>4.5966071428571436</v>
      </c>
      <c r="M742" s="8">
        <f>IF(Table1[[#This Row],[Ad Spend]]=0,0,Table1[[#This Row],[Revenue]]/Table1[[#This Row],[Ad Spend]])</f>
        <v>6.4764772153373986</v>
      </c>
      <c r="N742">
        <f>YEAR(Table1[[#This Row],[Date]])</f>
        <v>2024</v>
      </c>
      <c r="O742" t="str">
        <f>TEXT(Table1[[#This Row],[Date]],"mmm")</f>
        <v>Oct</v>
      </c>
      <c r="P742">
        <f>MONTH(Table1[[#This Row],[Date]])</f>
        <v>10</v>
      </c>
    </row>
    <row r="743" spans="1:16" x14ac:dyDescent="0.25">
      <c r="A743" t="s">
        <v>762</v>
      </c>
      <c r="B743" t="s">
        <v>9</v>
      </c>
      <c r="C743" t="s">
        <v>17</v>
      </c>
      <c r="D743" s="1">
        <v>45471</v>
      </c>
      <c r="E743">
        <v>62518</v>
      </c>
      <c r="F743">
        <v>3799</v>
      </c>
      <c r="G743">
        <v>200</v>
      </c>
      <c r="H743" s="4">
        <v>363.4</v>
      </c>
      <c r="I743" s="4">
        <v>16387.939999999999</v>
      </c>
      <c r="J743" s="7">
        <f>Table1[[#This Row],[Clicks]]/Table1[[#This Row],[Impressions]]</f>
        <v>6.0766499248216511E-2</v>
      </c>
      <c r="K743" s="7">
        <f>IFERROR(Table1[[#This Row],[Conversions]]/Table1[[#This Row],[Clicks]],0)</f>
        <v>5.2645433008686494E-2</v>
      </c>
      <c r="L743" s="6">
        <f>IF(Table1[[#This Row],[Conversions]]=0,0,Table1[[#This Row],[Ad Spend]]/Table1[[#This Row],[Conversions]])</f>
        <v>1.8169999999999999</v>
      </c>
      <c r="M743" s="8">
        <f>IF(Table1[[#This Row],[Ad Spend]]=0,0,Table1[[#This Row],[Revenue]]/Table1[[#This Row],[Ad Spend]])</f>
        <v>45.096147495872316</v>
      </c>
      <c r="N743">
        <f>YEAR(Table1[[#This Row],[Date]])</f>
        <v>2024</v>
      </c>
      <c r="O743" t="str">
        <f>TEXT(Table1[[#This Row],[Date]],"mmm")</f>
        <v>Jun</v>
      </c>
      <c r="P743">
        <f>MONTH(Table1[[#This Row],[Date]])</f>
        <v>6</v>
      </c>
    </row>
    <row r="744" spans="1:16" x14ac:dyDescent="0.25">
      <c r="A744" t="s">
        <v>763</v>
      </c>
      <c r="B744" t="s">
        <v>31</v>
      </c>
      <c r="C744" t="s">
        <v>12</v>
      </c>
      <c r="D744" s="1">
        <v>45628</v>
      </c>
      <c r="E744">
        <v>61839</v>
      </c>
      <c r="F744">
        <v>4732</v>
      </c>
      <c r="G744">
        <v>487</v>
      </c>
      <c r="H744" s="4">
        <v>3598.76</v>
      </c>
      <c r="I744" s="4">
        <v>15582.89</v>
      </c>
      <c r="J744" s="7">
        <f>Table1[[#This Row],[Clicks]]/Table1[[#This Row],[Impressions]]</f>
        <v>7.6521289154093688E-2</v>
      </c>
      <c r="K744" s="7">
        <f>IFERROR(Table1[[#This Row],[Conversions]]/Table1[[#This Row],[Clicks]],0)</f>
        <v>0.10291631445477599</v>
      </c>
      <c r="L744" s="6">
        <f>IF(Table1[[#This Row],[Conversions]]=0,0,Table1[[#This Row],[Ad Spend]]/Table1[[#This Row],[Conversions]])</f>
        <v>7.3896509240246413</v>
      </c>
      <c r="M744" s="8">
        <f>IF(Table1[[#This Row],[Ad Spend]]=0,0,Table1[[#This Row],[Revenue]]/Table1[[#This Row],[Ad Spend]])</f>
        <v>4.3300720248085449</v>
      </c>
      <c r="N744">
        <f>YEAR(Table1[[#This Row],[Date]])</f>
        <v>2024</v>
      </c>
      <c r="O744" t="str">
        <f>TEXT(Table1[[#This Row],[Date]],"mmm")</f>
        <v>Dec</v>
      </c>
      <c r="P744">
        <f>MONTH(Table1[[#This Row],[Date]])</f>
        <v>12</v>
      </c>
    </row>
    <row r="745" spans="1:16" x14ac:dyDescent="0.25">
      <c r="A745" t="s">
        <v>764</v>
      </c>
      <c r="B745" t="s">
        <v>16</v>
      </c>
      <c r="C745" t="s">
        <v>17</v>
      </c>
      <c r="D745" s="1">
        <v>45628</v>
      </c>
      <c r="E745">
        <v>53435</v>
      </c>
      <c r="F745">
        <v>3885</v>
      </c>
      <c r="G745">
        <v>429</v>
      </c>
      <c r="H745" s="4">
        <v>1416.01</v>
      </c>
      <c r="I745" s="4">
        <v>28612.39</v>
      </c>
      <c r="J745" s="7">
        <f>Table1[[#This Row],[Clicks]]/Table1[[#This Row],[Impressions]]</f>
        <v>7.2705155796762427E-2</v>
      </c>
      <c r="K745" s="7">
        <f>IFERROR(Table1[[#This Row],[Conversions]]/Table1[[#This Row],[Clicks]],0)</f>
        <v>0.11042471042471043</v>
      </c>
      <c r="L745" s="6">
        <f>IF(Table1[[#This Row],[Conversions]]=0,0,Table1[[#This Row],[Ad Spend]]/Table1[[#This Row],[Conversions]])</f>
        <v>3.3007226107226106</v>
      </c>
      <c r="M745" s="8">
        <f>IF(Table1[[#This Row],[Ad Spend]]=0,0,Table1[[#This Row],[Revenue]]/Table1[[#This Row],[Ad Spend]])</f>
        <v>20.206347412800756</v>
      </c>
      <c r="N745">
        <f>YEAR(Table1[[#This Row],[Date]])</f>
        <v>2024</v>
      </c>
      <c r="O745" t="str">
        <f>TEXT(Table1[[#This Row],[Date]],"mmm")</f>
        <v>Dec</v>
      </c>
      <c r="P745">
        <f>MONTH(Table1[[#This Row],[Date]])</f>
        <v>12</v>
      </c>
    </row>
    <row r="746" spans="1:16" x14ac:dyDescent="0.25">
      <c r="A746" t="s">
        <v>765</v>
      </c>
      <c r="B746" t="s">
        <v>9</v>
      </c>
      <c r="C746" t="s">
        <v>17</v>
      </c>
      <c r="D746" s="1">
        <v>45433</v>
      </c>
      <c r="E746">
        <v>116931</v>
      </c>
      <c r="F746">
        <v>6835</v>
      </c>
      <c r="G746">
        <v>729</v>
      </c>
      <c r="H746" s="4">
        <v>3896.57</v>
      </c>
      <c r="I746" s="4">
        <v>33339.839999999997</v>
      </c>
      <c r="J746" s="7">
        <f>Table1[[#This Row],[Clicks]]/Table1[[#This Row],[Impressions]]</f>
        <v>5.8453275863543458E-2</v>
      </c>
      <c r="K746" s="7">
        <f>IFERROR(Table1[[#This Row],[Conversions]]/Table1[[#This Row],[Clicks]],0)</f>
        <v>0.10665691294806146</v>
      </c>
      <c r="L746" s="6">
        <f>IF(Table1[[#This Row],[Conversions]]=0,0,Table1[[#This Row],[Ad Spend]]/Table1[[#This Row],[Conversions]])</f>
        <v>5.3450891632373114</v>
      </c>
      <c r="M746" s="8">
        <f>IF(Table1[[#This Row],[Ad Spend]]=0,0,Table1[[#This Row],[Revenue]]/Table1[[#This Row],[Ad Spend]])</f>
        <v>8.5562019930348985</v>
      </c>
      <c r="N746">
        <f>YEAR(Table1[[#This Row],[Date]])</f>
        <v>2024</v>
      </c>
      <c r="O746" t="str">
        <f>TEXT(Table1[[#This Row],[Date]],"mmm")</f>
        <v>May</v>
      </c>
      <c r="P746">
        <f>MONTH(Table1[[#This Row],[Date]])</f>
        <v>5</v>
      </c>
    </row>
    <row r="747" spans="1:16" x14ac:dyDescent="0.25">
      <c r="A747" t="s">
        <v>766</v>
      </c>
      <c r="B747" t="s">
        <v>9</v>
      </c>
      <c r="C747" t="s">
        <v>19</v>
      </c>
      <c r="D747" s="1">
        <v>45689</v>
      </c>
      <c r="E747">
        <v>21354</v>
      </c>
      <c r="F747">
        <v>785</v>
      </c>
      <c r="G747">
        <v>49</v>
      </c>
      <c r="H747" s="4">
        <v>488.28</v>
      </c>
      <c r="I747" s="4">
        <v>5662.47</v>
      </c>
      <c r="J747" s="7">
        <f>Table1[[#This Row],[Clicks]]/Table1[[#This Row],[Impressions]]</f>
        <v>3.676126252692704E-2</v>
      </c>
      <c r="K747" s="7">
        <f>IFERROR(Table1[[#This Row],[Conversions]]/Table1[[#This Row],[Clicks]],0)</f>
        <v>6.2420382165605096E-2</v>
      </c>
      <c r="L747" s="6">
        <f>IF(Table1[[#This Row],[Conversions]]=0,0,Table1[[#This Row],[Ad Spend]]/Table1[[#This Row],[Conversions]])</f>
        <v>9.9648979591836735</v>
      </c>
      <c r="M747" s="8">
        <f>IF(Table1[[#This Row],[Ad Spend]]=0,0,Table1[[#This Row],[Revenue]]/Table1[[#This Row],[Ad Spend]])</f>
        <v>11.596768247726715</v>
      </c>
      <c r="N747">
        <f>YEAR(Table1[[#This Row],[Date]])</f>
        <v>2025</v>
      </c>
      <c r="O747" t="str">
        <f>TEXT(Table1[[#This Row],[Date]],"mmm")</f>
        <v>Feb</v>
      </c>
      <c r="P747">
        <f>MONTH(Table1[[#This Row],[Date]])</f>
        <v>2</v>
      </c>
    </row>
    <row r="748" spans="1:16" x14ac:dyDescent="0.25">
      <c r="A748" t="s">
        <v>767</v>
      </c>
      <c r="B748" t="s">
        <v>34</v>
      </c>
      <c r="C748" t="s">
        <v>37</v>
      </c>
      <c r="D748" s="1">
        <v>45517</v>
      </c>
      <c r="E748">
        <v>23192</v>
      </c>
      <c r="F748">
        <v>1030</v>
      </c>
      <c r="G748">
        <v>144</v>
      </c>
      <c r="H748" s="4">
        <v>3129.45</v>
      </c>
      <c r="I748" s="4">
        <v>5449.57</v>
      </c>
      <c r="J748" s="7">
        <f>Table1[[#This Row],[Clicks]]/Table1[[#This Row],[Impressions]]</f>
        <v>4.4411866160745085E-2</v>
      </c>
      <c r="K748" s="7">
        <f>IFERROR(Table1[[#This Row],[Conversions]]/Table1[[#This Row],[Clicks]],0)</f>
        <v>0.13980582524271845</v>
      </c>
      <c r="L748" s="6">
        <f>IF(Table1[[#This Row],[Conversions]]=0,0,Table1[[#This Row],[Ad Spend]]/Table1[[#This Row],[Conversions]])</f>
        <v>21.732291666666665</v>
      </c>
      <c r="M748" s="8">
        <f>IF(Table1[[#This Row],[Ad Spend]]=0,0,Table1[[#This Row],[Revenue]]/Table1[[#This Row],[Ad Spend]])</f>
        <v>1.7413826710763873</v>
      </c>
      <c r="N748">
        <f>YEAR(Table1[[#This Row],[Date]])</f>
        <v>2024</v>
      </c>
      <c r="O748" t="str">
        <f>TEXT(Table1[[#This Row],[Date]],"mmm")</f>
        <v>Aug</v>
      </c>
      <c r="P748">
        <f>MONTH(Table1[[#This Row],[Date]])</f>
        <v>8</v>
      </c>
    </row>
    <row r="749" spans="1:16" x14ac:dyDescent="0.25">
      <c r="A749" t="s">
        <v>768</v>
      </c>
      <c r="B749" t="s">
        <v>41</v>
      </c>
      <c r="C749" t="s">
        <v>10</v>
      </c>
      <c r="D749" s="1">
        <v>45365</v>
      </c>
      <c r="E749">
        <v>146723</v>
      </c>
      <c r="F749">
        <v>9362</v>
      </c>
      <c r="G749">
        <v>453</v>
      </c>
      <c r="H749" s="4">
        <v>3288.02</v>
      </c>
      <c r="I749" s="4">
        <v>50401.2</v>
      </c>
      <c r="J749" s="7">
        <f>Table1[[#This Row],[Clicks]]/Table1[[#This Row],[Impressions]]</f>
        <v>6.380731037397E-2</v>
      </c>
      <c r="K749" s="7">
        <f>IFERROR(Table1[[#This Row],[Conversions]]/Table1[[#This Row],[Clicks]],0)</f>
        <v>4.8387096774193547E-2</v>
      </c>
      <c r="L749" s="6">
        <f>IF(Table1[[#This Row],[Conversions]]=0,0,Table1[[#This Row],[Ad Spend]]/Table1[[#This Row],[Conversions]])</f>
        <v>7.2583222958057396</v>
      </c>
      <c r="M749" s="8">
        <f>IF(Table1[[#This Row],[Ad Spend]]=0,0,Table1[[#This Row],[Revenue]]/Table1[[#This Row],[Ad Spend]])</f>
        <v>15.328738876284207</v>
      </c>
      <c r="N749">
        <f>YEAR(Table1[[#This Row],[Date]])</f>
        <v>2024</v>
      </c>
      <c r="O749" t="str">
        <f>TEXT(Table1[[#This Row],[Date]],"mmm")</f>
        <v>Mar</v>
      </c>
      <c r="P749">
        <f>MONTH(Table1[[#This Row],[Date]])</f>
        <v>3</v>
      </c>
    </row>
    <row r="750" spans="1:16" x14ac:dyDescent="0.25">
      <c r="A750" t="s">
        <v>769</v>
      </c>
      <c r="B750" t="s">
        <v>34</v>
      </c>
      <c r="C750" t="s">
        <v>10</v>
      </c>
      <c r="D750" s="1">
        <v>45309</v>
      </c>
      <c r="E750">
        <v>24115</v>
      </c>
      <c r="F750">
        <v>360</v>
      </c>
      <c r="G750">
        <v>41</v>
      </c>
      <c r="H750" s="4">
        <v>3930.74</v>
      </c>
      <c r="I750" s="4">
        <v>896.94</v>
      </c>
      <c r="J750" s="7">
        <f>Table1[[#This Row],[Clicks]]/Table1[[#This Row],[Impressions]]</f>
        <v>1.4928467758656437E-2</v>
      </c>
      <c r="K750" s="7">
        <f>IFERROR(Table1[[#This Row],[Conversions]]/Table1[[#This Row],[Clicks]],0)</f>
        <v>0.11388888888888889</v>
      </c>
      <c r="L750" s="6">
        <f>IF(Table1[[#This Row],[Conversions]]=0,0,Table1[[#This Row],[Ad Spend]]/Table1[[#This Row],[Conversions]])</f>
        <v>95.87170731707316</v>
      </c>
      <c r="M750" s="8">
        <f>IF(Table1[[#This Row],[Ad Spend]]=0,0,Table1[[#This Row],[Revenue]]/Table1[[#This Row],[Ad Spend]])</f>
        <v>0.22818604130519957</v>
      </c>
      <c r="N750">
        <f>YEAR(Table1[[#This Row],[Date]])</f>
        <v>2024</v>
      </c>
      <c r="O750" t="str">
        <f>TEXT(Table1[[#This Row],[Date]],"mmm")</f>
        <v>Jan</v>
      </c>
      <c r="P750">
        <f>MONTH(Table1[[#This Row],[Date]])</f>
        <v>1</v>
      </c>
    </row>
    <row r="751" spans="1:16" x14ac:dyDescent="0.25">
      <c r="A751" t="s">
        <v>770</v>
      </c>
      <c r="B751" t="s">
        <v>41</v>
      </c>
      <c r="C751" t="s">
        <v>37</v>
      </c>
      <c r="D751" s="1">
        <v>45626</v>
      </c>
      <c r="E751">
        <v>5227</v>
      </c>
      <c r="F751">
        <v>393</v>
      </c>
      <c r="G751">
        <v>41</v>
      </c>
      <c r="H751" s="4">
        <v>1478.9</v>
      </c>
      <c r="I751" s="4">
        <v>3690.23</v>
      </c>
      <c r="J751" s="7">
        <f>Table1[[#This Row],[Clicks]]/Table1[[#This Row],[Impressions]]</f>
        <v>7.5186531471207199E-2</v>
      </c>
      <c r="K751" s="7">
        <f>IFERROR(Table1[[#This Row],[Conversions]]/Table1[[#This Row],[Clicks]],0)</f>
        <v>0.10432569974554708</v>
      </c>
      <c r="L751" s="6">
        <f>IF(Table1[[#This Row],[Conversions]]=0,0,Table1[[#This Row],[Ad Spend]]/Table1[[#This Row],[Conversions]])</f>
        <v>36.070731707317073</v>
      </c>
      <c r="M751" s="8">
        <f>IF(Table1[[#This Row],[Ad Spend]]=0,0,Table1[[#This Row],[Revenue]]/Table1[[#This Row],[Ad Spend]])</f>
        <v>2.4952532287510985</v>
      </c>
      <c r="N751">
        <f>YEAR(Table1[[#This Row],[Date]])</f>
        <v>2024</v>
      </c>
      <c r="O751" t="str">
        <f>TEXT(Table1[[#This Row],[Date]],"mmm")</f>
        <v>Nov</v>
      </c>
      <c r="P751">
        <f>MONTH(Table1[[#This Row],[Date]])</f>
        <v>11</v>
      </c>
    </row>
    <row r="752" spans="1:16" x14ac:dyDescent="0.25">
      <c r="A752" t="s">
        <v>771</v>
      </c>
      <c r="B752" t="s">
        <v>21</v>
      </c>
      <c r="C752" t="s">
        <v>12</v>
      </c>
      <c r="D752" s="1">
        <v>45293</v>
      </c>
      <c r="E752">
        <v>140104</v>
      </c>
      <c r="F752">
        <v>8340</v>
      </c>
      <c r="G752">
        <v>1002</v>
      </c>
      <c r="H752" s="4">
        <v>2495.0700000000002</v>
      </c>
      <c r="I752" s="4">
        <v>60512.06</v>
      </c>
      <c r="J752" s="7">
        <f>Table1[[#This Row],[Clicks]]/Table1[[#This Row],[Impressions]]</f>
        <v>5.9527208359504369E-2</v>
      </c>
      <c r="K752" s="7">
        <f>IFERROR(Table1[[#This Row],[Conversions]]/Table1[[#This Row],[Clicks]],0)</f>
        <v>0.12014388489208633</v>
      </c>
      <c r="L752" s="6">
        <f>IF(Table1[[#This Row],[Conversions]]=0,0,Table1[[#This Row],[Ad Spend]]/Table1[[#This Row],[Conversions]])</f>
        <v>2.4900898203592816</v>
      </c>
      <c r="M752" s="8">
        <f>IF(Table1[[#This Row],[Ad Spend]]=0,0,Table1[[#This Row],[Revenue]]/Table1[[#This Row],[Ad Spend]])</f>
        <v>24.252650226246153</v>
      </c>
      <c r="N752">
        <f>YEAR(Table1[[#This Row],[Date]])</f>
        <v>2024</v>
      </c>
      <c r="O752" t="str">
        <f>TEXT(Table1[[#This Row],[Date]],"mmm")</f>
        <v>Jan</v>
      </c>
      <c r="P752">
        <f>MONTH(Table1[[#This Row],[Date]])</f>
        <v>1</v>
      </c>
    </row>
    <row r="753" spans="1:16" x14ac:dyDescent="0.25">
      <c r="A753" t="s">
        <v>772</v>
      </c>
      <c r="B753" t="s">
        <v>9</v>
      </c>
      <c r="C753" t="s">
        <v>12</v>
      </c>
      <c r="D753" s="1">
        <v>45407</v>
      </c>
      <c r="E753">
        <v>5867</v>
      </c>
      <c r="F753">
        <v>216</v>
      </c>
      <c r="G753">
        <v>23</v>
      </c>
      <c r="H753" s="4">
        <v>3943.18</v>
      </c>
      <c r="I753" s="4">
        <v>738.77</v>
      </c>
      <c r="J753" s="7">
        <f>Table1[[#This Row],[Clicks]]/Table1[[#This Row],[Impressions]]</f>
        <v>3.6816089994886655E-2</v>
      </c>
      <c r="K753" s="7">
        <f>IFERROR(Table1[[#This Row],[Conversions]]/Table1[[#This Row],[Clicks]],0)</f>
        <v>0.10648148148148148</v>
      </c>
      <c r="L753" s="6">
        <f>IF(Table1[[#This Row],[Conversions]]=0,0,Table1[[#This Row],[Ad Spend]]/Table1[[#This Row],[Conversions]])</f>
        <v>171.44260869565215</v>
      </c>
      <c r="M753" s="8">
        <f>IF(Table1[[#This Row],[Ad Spend]]=0,0,Table1[[#This Row],[Revenue]]/Table1[[#This Row],[Ad Spend]])</f>
        <v>0.18735386160408604</v>
      </c>
      <c r="N753">
        <f>YEAR(Table1[[#This Row],[Date]])</f>
        <v>2024</v>
      </c>
      <c r="O753" t="str">
        <f>TEXT(Table1[[#This Row],[Date]],"mmm")</f>
        <v>Apr</v>
      </c>
      <c r="P753">
        <f>MONTH(Table1[[#This Row],[Date]])</f>
        <v>4</v>
      </c>
    </row>
    <row r="754" spans="1:16" x14ac:dyDescent="0.25">
      <c r="A754" t="s">
        <v>773</v>
      </c>
      <c r="B754" t="s">
        <v>47</v>
      </c>
      <c r="C754" t="s">
        <v>19</v>
      </c>
      <c r="D754" s="1">
        <v>45641</v>
      </c>
      <c r="E754">
        <v>84384</v>
      </c>
      <c r="F754">
        <v>3210</v>
      </c>
      <c r="G754">
        <v>328</v>
      </c>
      <c r="H754" s="4">
        <v>4802.3500000000004</v>
      </c>
      <c r="I754" s="4">
        <v>9533.8799999999992</v>
      </c>
      <c r="J754" s="7">
        <f>Table1[[#This Row],[Clicks]]/Table1[[#This Row],[Impressions]]</f>
        <v>3.8040386803185437E-2</v>
      </c>
      <c r="K754" s="7">
        <f>IFERROR(Table1[[#This Row],[Conversions]]/Table1[[#This Row],[Clicks]],0)</f>
        <v>0.10218068535825545</v>
      </c>
      <c r="L754" s="6">
        <f>IF(Table1[[#This Row],[Conversions]]=0,0,Table1[[#This Row],[Ad Spend]]/Table1[[#This Row],[Conversions]])</f>
        <v>14.641310975609757</v>
      </c>
      <c r="M754" s="8">
        <f>IF(Table1[[#This Row],[Ad Spend]]=0,0,Table1[[#This Row],[Revenue]]/Table1[[#This Row],[Ad Spend]])</f>
        <v>1.9852530531927075</v>
      </c>
      <c r="N754">
        <f>YEAR(Table1[[#This Row],[Date]])</f>
        <v>2024</v>
      </c>
      <c r="O754" t="str">
        <f>TEXT(Table1[[#This Row],[Date]],"mmm")</f>
        <v>Dec</v>
      </c>
      <c r="P754">
        <f>MONTH(Table1[[#This Row],[Date]])</f>
        <v>12</v>
      </c>
    </row>
    <row r="755" spans="1:16" x14ac:dyDescent="0.25">
      <c r="A755" t="s">
        <v>774</v>
      </c>
      <c r="B755" t="s">
        <v>47</v>
      </c>
      <c r="C755" t="s">
        <v>10</v>
      </c>
      <c r="D755" s="1">
        <v>45527</v>
      </c>
      <c r="E755">
        <v>81010</v>
      </c>
      <c r="F755">
        <v>4483</v>
      </c>
      <c r="G755">
        <v>192</v>
      </c>
      <c r="H755" s="4">
        <v>388.79</v>
      </c>
      <c r="I755" s="4">
        <v>11215.94</v>
      </c>
      <c r="J755" s="7">
        <f>Table1[[#This Row],[Clicks]]/Table1[[#This Row],[Impressions]]</f>
        <v>5.5338847055919023E-2</v>
      </c>
      <c r="K755" s="7">
        <f>IFERROR(Table1[[#This Row],[Conversions]]/Table1[[#This Row],[Clicks]],0)</f>
        <v>4.2828463082757083E-2</v>
      </c>
      <c r="L755" s="6">
        <f>IF(Table1[[#This Row],[Conversions]]=0,0,Table1[[#This Row],[Ad Spend]]/Table1[[#This Row],[Conversions]])</f>
        <v>2.0249479166666666</v>
      </c>
      <c r="M755" s="8">
        <f>IF(Table1[[#This Row],[Ad Spend]]=0,0,Table1[[#This Row],[Revenue]]/Table1[[#This Row],[Ad Spend]])</f>
        <v>28.848324288176137</v>
      </c>
      <c r="N755">
        <f>YEAR(Table1[[#This Row],[Date]])</f>
        <v>2024</v>
      </c>
      <c r="O755" t="str">
        <f>TEXT(Table1[[#This Row],[Date]],"mmm")</f>
        <v>Aug</v>
      </c>
      <c r="P755">
        <f>MONTH(Table1[[#This Row],[Date]])</f>
        <v>8</v>
      </c>
    </row>
    <row r="756" spans="1:16" x14ac:dyDescent="0.25">
      <c r="A756" t="s">
        <v>775</v>
      </c>
      <c r="B756" t="s">
        <v>14</v>
      </c>
      <c r="C756" t="s">
        <v>19</v>
      </c>
      <c r="D756" s="1">
        <v>45648</v>
      </c>
      <c r="E756">
        <v>107263</v>
      </c>
      <c r="F756">
        <v>7803</v>
      </c>
      <c r="G756">
        <v>795</v>
      </c>
      <c r="H756" s="4">
        <v>1924.45</v>
      </c>
      <c r="I756" s="4">
        <v>22646.57</v>
      </c>
      <c r="J756" s="7">
        <f>Table1[[#This Row],[Clicks]]/Table1[[#This Row],[Impressions]]</f>
        <v>7.2746427006516692E-2</v>
      </c>
      <c r="K756" s="7">
        <f>IFERROR(Table1[[#This Row],[Conversions]]/Table1[[#This Row],[Clicks]],0)</f>
        <v>0.10188389081122645</v>
      </c>
      <c r="L756" s="6">
        <f>IF(Table1[[#This Row],[Conversions]]=0,0,Table1[[#This Row],[Ad Spend]]/Table1[[#This Row],[Conversions]])</f>
        <v>2.4206918238993711</v>
      </c>
      <c r="M756" s="8">
        <f>IF(Table1[[#This Row],[Ad Spend]]=0,0,Table1[[#This Row],[Revenue]]/Table1[[#This Row],[Ad Spend]])</f>
        <v>11.767814180674998</v>
      </c>
      <c r="N756">
        <f>YEAR(Table1[[#This Row],[Date]])</f>
        <v>2024</v>
      </c>
      <c r="O756" t="str">
        <f>TEXT(Table1[[#This Row],[Date]],"mmm")</f>
        <v>Dec</v>
      </c>
      <c r="P756">
        <f>MONTH(Table1[[#This Row],[Date]])</f>
        <v>12</v>
      </c>
    </row>
    <row r="757" spans="1:16" x14ac:dyDescent="0.25">
      <c r="A757" t="s">
        <v>776</v>
      </c>
      <c r="B757" t="s">
        <v>41</v>
      </c>
      <c r="C757" t="s">
        <v>37</v>
      </c>
      <c r="D757" s="1">
        <v>45363</v>
      </c>
      <c r="E757">
        <v>14358</v>
      </c>
      <c r="F757">
        <v>337</v>
      </c>
      <c r="G757">
        <v>38</v>
      </c>
      <c r="H757" s="4">
        <v>3046.14</v>
      </c>
      <c r="I757" s="4">
        <v>2619.08</v>
      </c>
      <c r="J757" s="7">
        <f>Table1[[#This Row],[Clicks]]/Table1[[#This Row],[Impressions]]</f>
        <v>2.3471235548126482E-2</v>
      </c>
      <c r="K757" s="7">
        <f>IFERROR(Table1[[#This Row],[Conversions]]/Table1[[#This Row],[Clicks]],0)</f>
        <v>0.11275964391691394</v>
      </c>
      <c r="L757" s="6">
        <f>IF(Table1[[#This Row],[Conversions]]=0,0,Table1[[#This Row],[Ad Spend]]/Table1[[#This Row],[Conversions]])</f>
        <v>80.161578947368412</v>
      </c>
      <c r="M757" s="8">
        <f>IF(Table1[[#This Row],[Ad Spend]]=0,0,Table1[[#This Row],[Revenue]]/Table1[[#This Row],[Ad Spend]])</f>
        <v>0.85980289809398125</v>
      </c>
      <c r="N757">
        <f>YEAR(Table1[[#This Row],[Date]])</f>
        <v>2024</v>
      </c>
      <c r="O757" t="str">
        <f>TEXT(Table1[[#This Row],[Date]],"mmm")</f>
        <v>Mar</v>
      </c>
      <c r="P757">
        <f>MONTH(Table1[[#This Row],[Date]])</f>
        <v>3</v>
      </c>
    </row>
    <row r="758" spans="1:16" x14ac:dyDescent="0.25">
      <c r="A758" t="s">
        <v>777</v>
      </c>
      <c r="B758" t="s">
        <v>9</v>
      </c>
      <c r="C758" t="s">
        <v>12</v>
      </c>
      <c r="D758" s="1">
        <v>45621</v>
      </c>
      <c r="E758">
        <v>85669</v>
      </c>
      <c r="F758">
        <v>3853</v>
      </c>
      <c r="G758">
        <v>560</v>
      </c>
      <c r="H758" s="4">
        <v>4096.53</v>
      </c>
      <c r="I758" s="4">
        <v>65328.15</v>
      </c>
      <c r="J758" s="7">
        <f>Table1[[#This Row],[Clicks]]/Table1[[#This Row],[Impressions]]</f>
        <v>4.4975428684821815E-2</v>
      </c>
      <c r="K758" s="7">
        <f>IFERROR(Table1[[#This Row],[Conversions]]/Table1[[#This Row],[Clicks]],0)</f>
        <v>0.14534129249935115</v>
      </c>
      <c r="L758" s="6">
        <f>IF(Table1[[#This Row],[Conversions]]=0,0,Table1[[#This Row],[Ad Spend]]/Table1[[#This Row],[Conversions]])</f>
        <v>7.3152321428571421</v>
      </c>
      <c r="M758" s="8">
        <f>IF(Table1[[#This Row],[Ad Spend]]=0,0,Table1[[#This Row],[Revenue]]/Table1[[#This Row],[Ad Spend]])</f>
        <v>15.947191891674175</v>
      </c>
      <c r="N758">
        <f>YEAR(Table1[[#This Row],[Date]])</f>
        <v>2024</v>
      </c>
      <c r="O758" t="str">
        <f>TEXT(Table1[[#This Row],[Date]],"mmm")</f>
        <v>Nov</v>
      </c>
      <c r="P758">
        <f>MONTH(Table1[[#This Row],[Date]])</f>
        <v>11</v>
      </c>
    </row>
    <row r="759" spans="1:16" x14ac:dyDescent="0.25">
      <c r="A759" t="s">
        <v>778</v>
      </c>
      <c r="B759" t="s">
        <v>31</v>
      </c>
      <c r="C759" t="s">
        <v>10</v>
      </c>
      <c r="D759" s="1">
        <v>45465</v>
      </c>
      <c r="E759">
        <v>19694</v>
      </c>
      <c r="F759">
        <v>662</v>
      </c>
      <c r="G759">
        <v>75</v>
      </c>
      <c r="H759" s="4">
        <v>2146.44</v>
      </c>
      <c r="I759" s="4">
        <v>3087.59</v>
      </c>
      <c r="J759" s="7">
        <f>Table1[[#This Row],[Clicks]]/Table1[[#This Row],[Impressions]]</f>
        <v>3.3614298771199348E-2</v>
      </c>
      <c r="K759" s="7">
        <f>IFERROR(Table1[[#This Row],[Conversions]]/Table1[[#This Row],[Clicks]],0)</f>
        <v>0.11329305135951662</v>
      </c>
      <c r="L759" s="6">
        <f>IF(Table1[[#This Row],[Conversions]]=0,0,Table1[[#This Row],[Ad Spend]]/Table1[[#This Row],[Conversions]])</f>
        <v>28.619199999999999</v>
      </c>
      <c r="M759" s="8">
        <f>IF(Table1[[#This Row],[Ad Spend]]=0,0,Table1[[#This Row],[Revenue]]/Table1[[#This Row],[Ad Spend]])</f>
        <v>1.4384702111403067</v>
      </c>
      <c r="N759">
        <f>YEAR(Table1[[#This Row],[Date]])</f>
        <v>2024</v>
      </c>
      <c r="O759" t="str">
        <f>TEXT(Table1[[#This Row],[Date]],"mmm")</f>
        <v>Jun</v>
      </c>
      <c r="P759">
        <f>MONTH(Table1[[#This Row],[Date]])</f>
        <v>6</v>
      </c>
    </row>
    <row r="760" spans="1:16" x14ac:dyDescent="0.25">
      <c r="A760" t="s">
        <v>779</v>
      </c>
      <c r="B760" t="s">
        <v>41</v>
      </c>
      <c r="C760" t="s">
        <v>12</v>
      </c>
      <c r="D760" s="1">
        <v>45368</v>
      </c>
      <c r="E760">
        <v>66075</v>
      </c>
      <c r="F760">
        <v>4938</v>
      </c>
      <c r="G760">
        <v>122</v>
      </c>
      <c r="H760" s="4">
        <v>879.63</v>
      </c>
      <c r="I760" s="4">
        <v>10416.74</v>
      </c>
      <c r="J760" s="7">
        <f>Table1[[#This Row],[Clicks]]/Table1[[#This Row],[Impressions]]</f>
        <v>7.4733257661748015E-2</v>
      </c>
      <c r="K760" s="7">
        <f>IFERROR(Table1[[#This Row],[Conversions]]/Table1[[#This Row],[Clicks]],0)</f>
        <v>2.4706358849736737E-2</v>
      </c>
      <c r="L760" s="6">
        <f>IF(Table1[[#This Row],[Conversions]]=0,0,Table1[[#This Row],[Ad Spend]]/Table1[[#This Row],[Conversions]])</f>
        <v>7.2100819672131147</v>
      </c>
      <c r="M760" s="8">
        <f>IF(Table1[[#This Row],[Ad Spend]]=0,0,Table1[[#This Row],[Revenue]]/Table1[[#This Row],[Ad Spend]])</f>
        <v>11.842183645396359</v>
      </c>
      <c r="N760">
        <f>YEAR(Table1[[#This Row],[Date]])</f>
        <v>2024</v>
      </c>
      <c r="O760" t="str">
        <f>TEXT(Table1[[#This Row],[Date]],"mmm")</f>
        <v>Mar</v>
      </c>
      <c r="P760">
        <f>MONTH(Table1[[#This Row],[Date]])</f>
        <v>3</v>
      </c>
    </row>
    <row r="761" spans="1:16" x14ac:dyDescent="0.25">
      <c r="A761" t="s">
        <v>780</v>
      </c>
      <c r="B761" t="s">
        <v>41</v>
      </c>
      <c r="C761" t="s">
        <v>12</v>
      </c>
      <c r="D761" s="1">
        <v>45315</v>
      </c>
      <c r="E761">
        <v>68617</v>
      </c>
      <c r="F761">
        <v>4054</v>
      </c>
      <c r="G761">
        <v>149</v>
      </c>
      <c r="H761" s="4">
        <v>1026.8</v>
      </c>
      <c r="I761" s="4">
        <v>3724.37</v>
      </c>
      <c r="J761" s="7">
        <f>Table1[[#This Row],[Clicks]]/Table1[[#This Row],[Impressions]]</f>
        <v>5.9081568707463165E-2</v>
      </c>
      <c r="K761" s="7">
        <f>IFERROR(Table1[[#This Row],[Conversions]]/Table1[[#This Row],[Clicks]],0)</f>
        <v>3.6753823384311789E-2</v>
      </c>
      <c r="L761" s="6">
        <f>IF(Table1[[#This Row],[Conversions]]=0,0,Table1[[#This Row],[Ad Spend]]/Table1[[#This Row],[Conversions]])</f>
        <v>6.8912751677852349</v>
      </c>
      <c r="M761" s="8">
        <f>IF(Table1[[#This Row],[Ad Spend]]=0,0,Table1[[#This Row],[Revenue]]/Table1[[#This Row],[Ad Spend]])</f>
        <v>3.6271620568757306</v>
      </c>
      <c r="N761">
        <f>YEAR(Table1[[#This Row],[Date]])</f>
        <v>2024</v>
      </c>
      <c r="O761" t="str">
        <f>TEXT(Table1[[#This Row],[Date]],"mmm")</f>
        <v>Jan</v>
      </c>
      <c r="P761">
        <f>MONTH(Table1[[#This Row],[Date]])</f>
        <v>1</v>
      </c>
    </row>
    <row r="762" spans="1:16" x14ac:dyDescent="0.25">
      <c r="A762" t="s">
        <v>781</v>
      </c>
      <c r="B762" t="s">
        <v>34</v>
      </c>
      <c r="C762" t="s">
        <v>10</v>
      </c>
      <c r="D762" s="1">
        <v>45525</v>
      </c>
      <c r="E762">
        <v>49745</v>
      </c>
      <c r="F762">
        <v>3406</v>
      </c>
      <c r="G762">
        <v>96</v>
      </c>
      <c r="H762" s="4">
        <v>4123.8599999999997</v>
      </c>
      <c r="I762" s="4">
        <v>3016.12</v>
      </c>
      <c r="J762" s="7">
        <f>Table1[[#This Row],[Clicks]]/Table1[[#This Row],[Impressions]]</f>
        <v>6.8469192883706911E-2</v>
      </c>
      <c r="K762" s="7">
        <f>IFERROR(Table1[[#This Row],[Conversions]]/Table1[[#This Row],[Clicks]],0)</f>
        <v>2.8185554903112156E-2</v>
      </c>
      <c r="L762" s="6">
        <f>IF(Table1[[#This Row],[Conversions]]=0,0,Table1[[#This Row],[Ad Spend]]/Table1[[#This Row],[Conversions]])</f>
        <v>42.956874999999997</v>
      </c>
      <c r="M762" s="8">
        <f>IF(Table1[[#This Row],[Ad Spend]]=0,0,Table1[[#This Row],[Revenue]]/Table1[[#This Row],[Ad Spend]])</f>
        <v>0.73138273365245188</v>
      </c>
      <c r="N762">
        <f>YEAR(Table1[[#This Row],[Date]])</f>
        <v>2024</v>
      </c>
      <c r="O762" t="str">
        <f>TEXT(Table1[[#This Row],[Date]],"mmm")</f>
        <v>Aug</v>
      </c>
      <c r="P762">
        <f>MONTH(Table1[[#This Row],[Date]])</f>
        <v>8</v>
      </c>
    </row>
    <row r="763" spans="1:16" x14ac:dyDescent="0.25">
      <c r="A763" t="s">
        <v>782</v>
      </c>
      <c r="B763" t="s">
        <v>14</v>
      </c>
      <c r="C763" t="s">
        <v>10</v>
      </c>
      <c r="D763" s="1">
        <v>45703</v>
      </c>
      <c r="E763">
        <v>58121</v>
      </c>
      <c r="F763">
        <v>2315</v>
      </c>
      <c r="G763">
        <v>290</v>
      </c>
      <c r="H763" s="4">
        <v>4914.53</v>
      </c>
      <c r="I763" s="4">
        <v>25473.54</v>
      </c>
      <c r="J763" s="7">
        <f>Table1[[#This Row],[Clicks]]/Table1[[#This Row],[Impressions]]</f>
        <v>3.9830698026530859E-2</v>
      </c>
      <c r="K763" s="7">
        <f>IFERROR(Table1[[#This Row],[Conversions]]/Table1[[#This Row],[Clicks]],0)</f>
        <v>0.12526997840172785</v>
      </c>
      <c r="L763" s="6">
        <f>IF(Table1[[#This Row],[Conversions]]=0,0,Table1[[#This Row],[Ad Spend]]/Table1[[#This Row],[Conversions]])</f>
        <v>16.946655172413791</v>
      </c>
      <c r="M763" s="8">
        <f>IF(Table1[[#This Row],[Ad Spend]]=0,0,Table1[[#This Row],[Revenue]]/Table1[[#This Row],[Ad Spend]])</f>
        <v>5.1833115272467563</v>
      </c>
      <c r="N763">
        <f>YEAR(Table1[[#This Row],[Date]])</f>
        <v>2025</v>
      </c>
      <c r="O763" t="str">
        <f>TEXT(Table1[[#This Row],[Date]],"mmm")</f>
        <v>Feb</v>
      </c>
      <c r="P763">
        <f>MONTH(Table1[[#This Row],[Date]])</f>
        <v>2</v>
      </c>
    </row>
    <row r="764" spans="1:16" x14ac:dyDescent="0.25">
      <c r="A764" t="s">
        <v>783</v>
      </c>
      <c r="B764" t="s">
        <v>47</v>
      </c>
      <c r="C764" t="s">
        <v>10</v>
      </c>
      <c r="D764" s="1">
        <v>45642</v>
      </c>
      <c r="E764">
        <v>148100</v>
      </c>
      <c r="F764">
        <v>2904</v>
      </c>
      <c r="G764">
        <v>373</v>
      </c>
      <c r="H764" s="4">
        <v>4006.89</v>
      </c>
      <c r="I764" s="4">
        <v>35965.699999999997</v>
      </c>
      <c r="J764" s="7">
        <f>Table1[[#This Row],[Clicks]]/Table1[[#This Row],[Impressions]]</f>
        <v>1.960837272113437E-2</v>
      </c>
      <c r="K764" s="7">
        <f>IFERROR(Table1[[#This Row],[Conversions]]/Table1[[#This Row],[Clicks]],0)</f>
        <v>0.12844352617079891</v>
      </c>
      <c r="L764" s="6">
        <f>IF(Table1[[#This Row],[Conversions]]=0,0,Table1[[#This Row],[Ad Spend]]/Table1[[#This Row],[Conversions]])</f>
        <v>10.742332439678284</v>
      </c>
      <c r="M764" s="8">
        <f>IF(Table1[[#This Row],[Ad Spend]]=0,0,Table1[[#This Row],[Revenue]]/Table1[[#This Row],[Ad Spend]])</f>
        <v>8.9759639021784974</v>
      </c>
      <c r="N764">
        <f>YEAR(Table1[[#This Row],[Date]])</f>
        <v>2024</v>
      </c>
      <c r="O764" t="str">
        <f>TEXT(Table1[[#This Row],[Date]],"mmm")</f>
        <v>Dec</v>
      </c>
      <c r="P764">
        <f>MONTH(Table1[[#This Row],[Date]])</f>
        <v>12</v>
      </c>
    </row>
    <row r="765" spans="1:16" x14ac:dyDescent="0.25">
      <c r="A765" t="s">
        <v>784</v>
      </c>
      <c r="B765" t="s">
        <v>16</v>
      </c>
      <c r="C765" t="s">
        <v>19</v>
      </c>
      <c r="D765" s="1">
        <v>45324</v>
      </c>
      <c r="E765">
        <v>36652</v>
      </c>
      <c r="F765">
        <v>1069</v>
      </c>
      <c r="G765">
        <v>126</v>
      </c>
      <c r="H765" s="4">
        <v>1006.64</v>
      </c>
      <c r="I765" s="4">
        <v>7181.08</v>
      </c>
      <c r="J765" s="7">
        <f>Table1[[#This Row],[Clicks]]/Table1[[#This Row],[Impressions]]</f>
        <v>2.9166211939321184E-2</v>
      </c>
      <c r="K765" s="7">
        <f>IFERROR(Table1[[#This Row],[Conversions]]/Table1[[#This Row],[Clicks]],0)</f>
        <v>0.11786716557530402</v>
      </c>
      <c r="L765" s="6">
        <f>IF(Table1[[#This Row],[Conversions]]=0,0,Table1[[#This Row],[Ad Spend]]/Table1[[#This Row],[Conversions]])</f>
        <v>7.9892063492063494</v>
      </c>
      <c r="M765" s="8">
        <f>IF(Table1[[#This Row],[Ad Spend]]=0,0,Table1[[#This Row],[Revenue]]/Table1[[#This Row],[Ad Spend]])</f>
        <v>7.133712151315267</v>
      </c>
      <c r="N765">
        <f>YEAR(Table1[[#This Row],[Date]])</f>
        <v>2024</v>
      </c>
      <c r="O765" t="str">
        <f>TEXT(Table1[[#This Row],[Date]],"mmm")</f>
        <v>Feb</v>
      </c>
      <c r="P765">
        <f>MONTH(Table1[[#This Row],[Date]])</f>
        <v>2</v>
      </c>
    </row>
    <row r="766" spans="1:16" x14ac:dyDescent="0.25">
      <c r="A766" t="s">
        <v>785</v>
      </c>
      <c r="B766" t="s">
        <v>16</v>
      </c>
      <c r="C766" t="s">
        <v>17</v>
      </c>
      <c r="D766" s="1">
        <v>45416</v>
      </c>
      <c r="E766">
        <v>15668</v>
      </c>
      <c r="F766">
        <v>302</v>
      </c>
      <c r="G766">
        <v>37</v>
      </c>
      <c r="H766" s="4">
        <v>3234.53</v>
      </c>
      <c r="I766" s="4">
        <v>2131.6799999999998</v>
      </c>
      <c r="J766" s="7">
        <f>Table1[[#This Row],[Clicks]]/Table1[[#This Row],[Impressions]]</f>
        <v>1.9274955322951239E-2</v>
      </c>
      <c r="K766" s="7">
        <f>IFERROR(Table1[[#This Row],[Conversions]]/Table1[[#This Row],[Clicks]],0)</f>
        <v>0.12251655629139073</v>
      </c>
      <c r="L766" s="6">
        <f>IF(Table1[[#This Row],[Conversions]]=0,0,Table1[[#This Row],[Ad Spend]]/Table1[[#This Row],[Conversions]])</f>
        <v>87.419729729729738</v>
      </c>
      <c r="M766" s="8">
        <f>IF(Table1[[#This Row],[Ad Spend]]=0,0,Table1[[#This Row],[Revenue]]/Table1[[#This Row],[Ad Spend]])</f>
        <v>0.65903856201673805</v>
      </c>
      <c r="N766">
        <f>YEAR(Table1[[#This Row],[Date]])</f>
        <v>2024</v>
      </c>
      <c r="O766" t="str">
        <f>TEXT(Table1[[#This Row],[Date]],"mmm")</f>
        <v>May</v>
      </c>
      <c r="P766">
        <f>MONTH(Table1[[#This Row],[Date]])</f>
        <v>5</v>
      </c>
    </row>
    <row r="767" spans="1:16" x14ac:dyDescent="0.25">
      <c r="A767" t="s">
        <v>786</v>
      </c>
      <c r="B767" t="s">
        <v>16</v>
      </c>
      <c r="C767" t="s">
        <v>10</v>
      </c>
      <c r="D767" s="1">
        <v>45541</v>
      </c>
      <c r="E767">
        <v>26160</v>
      </c>
      <c r="F767">
        <v>273</v>
      </c>
      <c r="G767">
        <v>11</v>
      </c>
      <c r="H767" s="4">
        <v>627.88</v>
      </c>
      <c r="I767" s="4">
        <v>936.93</v>
      </c>
      <c r="J767" s="7">
        <f>Table1[[#This Row],[Clicks]]/Table1[[#This Row],[Impressions]]</f>
        <v>1.0435779816513762E-2</v>
      </c>
      <c r="K767" s="7">
        <f>IFERROR(Table1[[#This Row],[Conversions]]/Table1[[#This Row],[Clicks]],0)</f>
        <v>4.0293040293040296E-2</v>
      </c>
      <c r="L767" s="6">
        <f>IF(Table1[[#This Row],[Conversions]]=0,0,Table1[[#This Row],[Ad Spend]]/Table1[[#This Row],[Conversions]])</f>
        <v>57.08</v>
      </c>
      <c r="M767" s="8">
        <f>IF(Table1[[#This Row],[Ad Spend]]=0,0,Table1[[#This Row],[Revenue]]/Table1[[#This Row],[Ad Spend]])</f>
        <v>1.4922118876218384</v>
      </c>
      <c r="N767">
        <f>YEAR(Table1[[#This Row],[Date]])</f>
        <v>2024</v>
      </c>
      <c r="O767" t="str">
        <f>TEXT(Table1[[#This Row],[Date]],"mmm")</f>
        <v>Sept</v>
      </c>
      <c r="P767">
        <f>MONTH(Table1[[#This Row],[Date]])</f>
        <v>9</v>
      </c>
    </row>
    <row r="768" spans="1:16" x14ac:dyDescent="0.25">
      <c r="A768" t="s">
        <v>787</v>
      </c>
      <c r="B768" t="s">
        <v>34</v>
      </c>
      <c r="C768" t="s">
        <v>17</v>
      </c>
      <c r="D768" s="1">
        <v>45647</v>
      </c>
      <c r="E768">
        <v>129783</v>
      </c>
      <c r="F768">
        <v>7587</v>
      </c>
      <c r="G768">
        <v>355</v>
      </c>
      <c r="H768" s="4">
        <v>3271.16</v>
      </c>
      <c r="I768" s="4">
        <v>25669.58</v>
      </c>
      <c r="J768" s="7">
        <f>Table1[[#This Row],[Clicks]]/Table1[[#This Row],[Impressions]]</f>
        <v>5.845912022375812E-2</v>
      </c>
      <c r="K768" s="7">
        <f>IFERROR(Table1[[#This Row],[Conversions]]/Table1[[#This Row],[Clicks]],0)</f>
        <v>4.6790562804797681E-2</v>
      </c>
      <c r="L768" s="6">
        <f>IF(Table1[[#This Row],[Conversions]]=0,0,Table1[[#This Row],[Ad Spend]]/Table1[[#This Row],[Conversions]])</f>
        <v>9.2145352112676058</v>
      </c>
      <c r="M768" s="8">
        <f>IF(Table1[[#This Row],[Ad Spend]]=0,0,Table1[[#This Row],[Revenue]]/Table1[[#This Row],[Ad Spend]])</f>
        <v>7.8472407341738108</v>
      </c>
      <c r="N768">
        <f>YEAR(Table1[[#This Row],[Date]])</f>
        <v>2024</v>
      </c>
      <c r="O768" t="str">
        <f>TEXT(Table1[[#This Row],[Date]],"mmm")</f>
        <v>Dec</v>
      </c>
      <c r="P768">
        <f>MONTH(Table1[[#This Row],[Date]])</f>
        <v>12</v>
      </c>
    </row>
    <row r="769" spans="1:16" x14ac:dyDescent="0.25">
      <c r="A769" t="s">
        <v>788</v>
      </c>
      <c r="B769" t="s">
        <v>21</v>
      </c>
      <c r="C769" t="s">
        <v>37</v>
      </c>
      <c r="D769" s="1">
        <v>45381</v>
      </c>
      <c r="E769">
        <v>14862</v>
      </c>
      <c r="F769">
        <v>768</v>
      </c>
      <c r="G769">
        <v>86</v>
      </c>
      <c r="H769" s="4">
        <v>3137.84</v>
      </c>
      <c r="I769" s="4">
        <v>2476.98</v>
      </c>
      <c r="J769" s="7">
        <f>Table1[[#This Row],[Clicks]]/Table1[[#This Row],[Impressions]]</f>
        <v>5.1675413807024624E-2</v>
      </c>
      <c r="K769" s="7">
        <f>IFERROR(Table1[[#This Row],[Conversions]]/Table1[[#This Row],[Clicks]],0)</f>
        <v>0.11197916666666667</v>
      </c>
      <c r="L769" s="6">
        <f>IF(Table1[[#This Row],[Conversions]]=0,0,Table1[[#This Row],[Ad Spend]]/Table1[[#This Row],[Conversions]])</f>
        <v>36.486511627906978</v>
      </c>
      <c r="M769" s="8">
        <f>IF(Table1[[#This Row],[Ad Spend]]=0,0,Table1[[#This Row],[Revenue]]/Table1[[#This Row],[Ad Spend]])</f>
        <v>0.78939015373632815</v>
      </c>
      <c r="N769">
        <f>YEAR(Table1[[#This Row],[Date]])</f>
        <v>2024</v>
      </c>
      <c r="O769" t="str">
        <f>TEXT(Table1[[#This Row],[Date]],"mmm")</f>
        <v>Mar</v>
      </c>
      <c r="P769">
        <f>MONTH(Table1[[#This Row],[Date]])</f>
        <v>3</v>
      </c>
    </row>
    <row r="770" spans="1:16" x14ac:dyDescent="0.25">
      <c r="A770" t="s">
        <v>789</v>
      </c>
      <c r="B770" t="s">
        <v>34</v>
      </c>
      <c r="C770" t="s">
        <v>19</v>
      </c>
      <c r="D770" s="1">
        <v>45506</v>
      </c>
      <c r="E770">
        <v>6198</v>
      </c>
      <c r="F770">
        <v>303</v>
      </c>
      <c r="G770">
        <v>13</v>
      </c>
      <c r="H770" s="4">
        <v>4935.7</v>
      </c>
      <c r="I770" s="4">
        <v>1529.83</v>
      </c>
      <c r="J770" s="7">
        <f>Table1[[#This Row],[Clicks]]/Table1[[#This Row],[Impressions]]</f>
        <v>4.8886737657308811E-2</v>
      </c>
      <c r="K770" s="7">
        <f>IFERROR(Table1[[#This Row],[Conversions]]/Table1[[#This Row],[Clicks]],0)</f>
        <v>4.2904290429042903E-2</v>
      </c>
      <c r="L770" s="6">
        <f>IF(Table1[[#This Row],[Conversions]]=0,0,Table1[[#This Row],[Ad Spend]]/Table1[[#This Row],[Conversions]])</f>
        <v>379.66923076923075</v>
      </c>
      <c r="M770" s="8">
        <f>IF(Table1[[#This Row],[Ad Spend]]=0,0,Table1[[#This Row],[Revenue]]/Table1[[#This Row],[Ad Spend]])</f>
        <v>0.3099519824948842</v>
      </c>
      <c r="N770">
        <f>YEAR(Table1[[#This Row],[Date]])</f>
        <v>2024</v>
      </c>
      <c r="O770" t="str">
        <f>TEXT(Table1[[#This Row],[Date]],"mmm")</f>
        <v>Aug</v>
      </c>
      <c r="P770">
        <f>MONTH(Table1[[#This Row],[Date]])</f>
        <v>8</v>
      </c>
    </row>
    <row r="771" spans="1:16" x14ac:dyDescent="0.25">
      <c r="A771" t="s">
        <v>790</v>
      </c>
      <c r="B771" t="s">
        <v>47</v>
      </c>
      <c r="C771" t="s">
        <v>12</v>
      </c>
      <c r="D771" s="1">
        <v>45551</v>
      </c>
      <c r="E771">
        <v>62481</v>
      </c>
      <c r="F771">
        <v>2655</v>
      </c>
      <c r="G771">
        <v>269</v>
      </c>
      <c r="H771" s="4">
        <v>1198.92</v>
      </c>
      <c r="I771" s="4">
        <v>6807.56</v>
      </c>
      <c r="J771" s="7">
        <f>Table1[[#This Row],[Clicks]]/Table1[[#This Row],[Impressions]]</f>
        <v>4.2492917847025496E-2</v>
      </c>
      <c r="K771" s="7">
        <f>IFERROR(Table1[[#This Row],[Conversions]]/Table1[[#This Row],[Clicks]],0)</f>
        <v>0.10131826741996233</v>
      </c>
      <c r="L771" s="6">
        <f>IF(Table1[[#This Row],[Conversions]]=0,0,Table1[[#This Row],[Ad Spend]]/Table1[[#This Row],[Conversions]])</f>
        <v>4.4569516728624539</v>
      </c>
      <c r="M771" s="8">
        <f>IF(Table1[[#This Row],[Ad Spend]]=0,0,Table1[[#This Row],[Revenue]]/Table1[[#This Row],[Ad Spend]])</f>
        <v>5.6780769359089849</v>
      </c>
      <c r="N771">
        <f>YEAR(Table1[[#This Row],[Date]])</f>
        <v>2024</v>
      </c>
      <c r="O771" t="str">
        <f>TEXT(Table1[[#This Row],[Date]],"mmm")</f>
        <v>Sept</v>
      </c>
      <c r="P771">
        <f>MONTH(Table1[[#This Row],[Date]])</f>
        <v>9</v>
      </c>
    </row>
    <row r="772" spans="1:16" x14ac:dyDescent="0.25">
      <c r="A772" t="s">
        <v>791</v>
      </c>
      <c r="B772" t="s">
        <v>9</v>
      </c>
      <c r="C772" t="s">
        <v>37</v>
      </c>
      <c r="D772" s="1">
        <v>45642</v>
      </c>
      <c r="E772">
        <v>129364</v>
      </c>
      <c r="F772">
        <v>5798</v>
      </c>
      <c r="G772">
        <v>236</v>
      </c>
      <c r="H772" s="4">
        <v>4628.83</v>
      </c>
      <c r="I772" s="4">
        <v>5995.05</v>
      </c>
      <c r="J772" s="7">
        <f>Table1[[#This Row],[Clicks]]/Table1[[#This Row],[Impressions]]</f>
        <v>4.4819269657710027E-2</v>
      </c>
      <c r="K772" s="7">
        <f>IFERROR(Table1[[#This Row],[Conversions]]/Table1[[#This Row],[Clicks]],0)</f>
        <v>4.0703690927906176E-2</v>
      </c>
      <c r="L772" s="6">
        <f>IF(Table1[[#This Row],[Conversions]]=0,0,Table1[[#This Row],[Ad Spend]]/Table1[[#This Row],[Conversions]])</f>
        <v>19.613686440677967</v>
      </c>
      <c r="M772" s="8">
        <f>IF(Table1[[#This Row],[Ad Spend]]=0,0,Table1[[#This Row],[Revenue]]/Table1[[#This Row],[Ad Spend]])</f>
        <v>1.2951544990850821</v>
      </c>
      <c r="N772">
        <f>YEAR(Table1[[#This Row],[Date]])</f>
        <v>2024</v>
      </c>
      <c r="O772" t="str">
        <f>TEXT(Table1[[#This Row],[Date]],"mmm")</f>
        <v>Dec</v>
      </c>
      <c r="P772">
        <f>MONTH(Table1[[#This Row],[Date]])</f>
        <v>12</v>
      </c>
    </row>
    <row r="773" spans="1:16" x14ac:dyDescent="0.25">
      <c r="A773" t="s">
        <v>792</v>
      </c>
      <c r="B773" t="s">
        <v>47</v>
      </c>
      <c r="C773" t="s">
        <v>19</v>
      </c>
      <c r="D773" s="1">
        <v>45399</v>
      </c>
      <c r="E773">
        <v>118946</v>
      </c>
      <c r="F773">
        <v>3282</v>
      </c>
      <c r="G773">
        <v>328</v>
      </c>
      <c r="H773" s="4">
        <v>4472.38</v>
      </c>
      <c r="I773" s="4">
        <v>21423.24</v>
      </c>
      <c r="J773" s="7">
        <f>Table1[[#This Row],[Clicks]]/Table1[[#This Row],[Impressions]]</f>
        <v>2.7592352832377716E-2</v>
      </c>
      <c r="K773" s="7">
        <f>IFERROR(Table1[[#This Row],[Conversions]]/Table1[[#This Row],[Clicks]],0)</f>
        <v>9.9939061547836688E-2</v>
      </c>
      <c r="L773" s="6">
        <f>IF(Table1[[#This Row],[Conversions]]=0,0,Table1[[#This Row],[Ad Spend]]/Table1[[#This Row],[Conversions]])</f>
        <v>13.63530487804878</v>
      </c>
      <c r="M773" s="8">
        <f>IF(Table1[[#This Row],[Ad Spend]]=0,0,Table1[[#This Row],[Revenue]]/Table1[[#This Row],[Ad Spend]])</f>
        <v>4.7901206963630107</v>
      </c>
      <c r="N773">
        <f>YEAR(Table1[[#This Row],[Date]])</f>
        <v>2024</v>
      </c>
      <c r="O773" t="str">
        <f>TEXT(Table1[[#This Row],[Date]],"mmm")</f>
        <v>Apr</v>
      </c>
      <c r="P773">
        <f>MONTH(Table1[[#This Row],[Date]])</f>
        <v>4</v>
      </c>
    </row>
    <row r="774" spans="1:16" x14ac:dyDescent="0.25">
      <c r="A774" t="s">
        <v>793</v>
      </c>
      <c r="B774" t="s">
        <v>9</v>
      </c>
      <c r="C774" t="s">
        <v>10</v>
      </c>
      <c r="D774" s="1">
        <v>45567</v>
      </c>
      <c r="E774">
        <v>51107</v>
      </c>
      <c r="F774">
        <v>1076</v>
      </c>
      <c r="G774">
        <v>25</v>
      </c>
      <c r="H774" s="4">
        <v>2671.54</v>
      </c>
      <c r="I774" s="4">
        <v>677.15</v>
      </c>
      <c r="J774" s="7">
        <f>Table1[[#This Row],[Clicks]]/Table1[[#This Row],[Impressions]]</f>
        <v>2.1053867376288962E-2</v>
      </c>
      <c r="K774" s="7">
        <f>IFERROR(Table1[[#This Row],[Conversions]]/Table1[[#This Row],[Clicks]],0)</f>
        <v>2.3234200743494422E-2</v>
      </c>
      <c r="L774" s="6">
        <f>IF(Table1[[#This Row],[Conversions]]=0,0,Table1[[#This Row],[Ad Spend]]/Table1[[#This Row],[Conversions]])</f>
        <v>106.8616</v>
      </c>
      <c r="M774" s="8">
        <f>IF(Table1[[#This Row],[Ad Spend]]=0,0,Table1[[#This Row],[Revenue]]/Table1[[#This Row],[Ad Spend]])</f>
        <v>0.25346803716208627</v>
      </c>
      <c r="N774">
        <f>YEAR(Table1[[#This Row],[Date]])</f>
        <v>2024</v>
      </c>
      <c r="O774" t="str">
        <f>TEXT(Table1[[#This Row],[Date]],"mmm")</f>
        <v>Oct</v>
      </c>
      <c r="P774">
        <f>MONTH(Table1[[#This Row],[Date]])</f>
        <v>10</v>
      </c>
    </row>
    <row r="775" spans="1:16" x14ac:dyDescent="0.25">
      <c r="A775" t="s">
        <v>794</v>
      </c>
      <c r="B775" t="s">
        <v>14</v>
      </c>
      <c r="C775" t="s">
        <v>17</v>
      </c>
      <c r="D775" s="1">
        <v>45595</v>
      </c>
      <c r="E775">
        <v>90451</v>
      </c>
      <c r="F775">
        <v>3557</v>
      </c>
      <c r="G775">
        <v>416</v>
      </c>
      <c r="H775" s="4">
        <v>4512.1899999999996</v>
      </c>
      <c r="I775" s="4">
        <v>17890.63</v>
      </c>
      <c r="J775" s="7">
        <f>Table1[[#This Row],[Clicks]]/Table1[[#This Row],[Impressions]]</f>
        <v>3.9325159478612731E-2</v>
      </c>
      <c r="K775" s="7">
        <f>IFERROR(Table1[[#This Row],[Conversions]]/Table1[[#This Row],[Clicks]],0)</f>
        <v>0.11695248805172899</v>
      </c>
      <c r="L775" s="6">
        <f>IF(Table1[[#This Row],[Conversions]]=0,0,Table1[[#This Row],[Ad Spend]]/Table1[[#This Row],[Conversions]])</f>
        <v>10.846610576923077</v>
      </c>
      <c r="M775" s="8">
        <f>IF(Table1[[#This Row],[Ad Spend]]=0,0,Table1[[#This Row],[Revenue]]/Table1[[#This Row],[Ad Spend]])</f>
        <v>3.9649549331920868</v>
      </c>
      <c r="N775">
        <f>YEAR(Table1[[#This Row],[Date]])</f>
        <v>2024</v>
      </c>
      <c r="O775" t="str">
        <f>TEXT(Table1[[#This Row],[Date]],"mmm")</f>
        <v>Oct</v>
      </c>
      <c r="P775">
        <f>MONTH(Table1[[#This Row],[Date]])</f>
        <v>10</v>
      </c>
    </row>
    <row r="776" spans="1:16" x14ac:dyDescent="0.25">
      <c r="A776" t="s">
        <v>795</v>
      </c>
      <c r="B776" t="s">
        <v>9</v>
      </c>
      <c r="C776" t="s">
        <v>19</v>
      </c>
      <c r="D776" s="1">
        <v>45408</v>
      </c>
      <c r="E776">
        <v>30706</v>
      </c>
      <c r="F776">
        <v>816</v>
      </c>
      <c r="G776">
        <v>60</v>
      </c>
      <c r="H776" s="4">
        <v>1159.79</v>
      </c>
      <c r="I776" s="4">
        <v>6548.19</v>
      </c>
      <c r="J776" s="7">
        <f>Table1[[#This Row],[Clicks]]/Table1[[#This Row],[Impressions]]</f>
        <v>2.6574610825245881E-2</v>
      </c>
      <c r="K776" s="7">
        <f>IFERROR(Table1[[#This Row],[Conversions]]/Table1[[#This Row],[Clicks]],0)</f>
        <v>7.3529411764705885E-2</v>
      </c>
      <c r="L776" s="6">
        <f>IF(Table1[[#This Row],[Conversions]]=0,0,Table1[[#This Row],[Ad Spend]]/Table1[[#This Row],[Conversions]])</f>
        <v>19.329833333333333</v>
      </c>
      <c r="M776" s="8">
        <f>IF(Table1[[#This Row],[Ad Spend]]=0,0,Table1[[#This Row],[Revenue]]/Table1[[#This Row],[Ad Spend]])</f>
        <v>5.6460135024444078</v>
      </c>
      <c r="N776">
        <f>YEAR(Table1[[#This Row],[Date]])</f>
        <v>2024</v>
      </c>
      <c r="O776" t="str">
        <f>TEXT(Table1[[#This Row],[Date]],"mmm")</f>
        <v>Apr</v>
      </c>
      <c r="P776">
        <f>MONTH(Table1[[#This Row],[Date]])</f>
        <v>4</v>
      </c>
    </row>
    <row r="777" spans="1:16" x14ac:dyDescent="0.25">
      <c r="A777" t="s">
        <v>796</v>
      </c>
      <c r="B777" t="s">
        <v>9</v>
      </c>
      <c r="C777" t="s">
        <v>17</v>
      </c>
      <c r="D777" s="1">
        <v>45591</v>
      </c>
      <c r="E777">
        <v>131984</v>
      </c>
      <c r="F777">
        <v>1821</v>
      </c>
      <c r="G777">
        <v>139</v>
      </c>
      <c r="H777" s="4">
        <v>1237.5899999999999</v>
      </c>
      <c r="I777" s="4">
        <v>11251.13</v>
      </c>
      <c r="J777" s="7">
        <f>Table1[[#This Row],[Clicks]]/Table1[[#This Row],[Impressions]]</f>
        <v>1.3797126924475694E-2</v>
      </c>
      <c r="K777" s="7">
        <f>IFERROR(Table1[[#This Row],[Conversions]]/Table1[[#This Row],[Clicks]],0)</f>
        <v>7.6331685886875347E-2</v>
      </c>
      <c r="L777" s="6">
        <f>IF(Table1[[#This Row],[Conversions]]=0,0,Table1[[#This Row],[Ad Spend]]/Table1[[#This Row],[Conversions]])</f>
        <v>8.9035251798561141</v>
      </c>
      <c r="M777" s="8">
        <f>IF(Table1[[#This Row],[Ad Spend]]=0,0,Table1[[#This Row],[Revenue]]/Table1[[#This Row],[Ad Spend]])</f>
        <v>9.0911610468733581</v>
      </c>
      <c r="N777">
        <f>YEAR(Table1[[#This Row],[Date]])</f>
        <v>2024</v>
      </c>
      <c r="O777" t="str">
        <f>TEXT(Table1[[#This Row],[Date]],"mmm")</f>
        <v>Oct</v>
      </c>
      <c r="P777">
        <f>MONTH(Table1[[#This Row],[Date]])</f>
        <v>10</v>
      </c>
    </row>
    <row r="778" spans="1:16" x14ac:dyDescent="0.25">
      <c r="A778" t="s">
        <v>797</v>
      </c>
      <c r="B778" t="s">
        <v>16</v>
      </c>
      <c r="C778" t="s">
        <v>17</v>
      </c>
      <c r="D778" s="1">
        <v>45483</v>
      </c>
      <c r="E778">
        <v>40757</v>
      </c>
      <c r="F778">
        <v>1713</v>
      </c>
      <c r="G778">
        <v>77</v>
      </c>
      <c r="H778" s="4">
        <v>1921.23</v>
      </c>
      <c r="I778" s="4">
        <v>3616.65</v>
      </c>
      <c r="J778" s="7">
        <f>Table1[[#This Row],[Clicks]]/Table1[[#This Row],[Impressions]]</f>
        <v>4.2029590009078195E-2</v>
      </c>
      <c r="K778" s="7">
        <f>IFERROR(Table1[[#This Row],[Conversions]]/Table1[[#This Row],[Clicks]],0)</f>
        <v>4.4950379451255108E-2</v>
      </c>
      <c r="L778" s="6">
        <f>IF(Table1[[#This Row],[Conversions]]=0,0,Table1[[#This Row],[Ad Spend]]/Table1[[#This Row],[Conversions]])</f>
        <v>24.951038961038961</v>
      </c>
      <c r="M778" s="8">
        <f>IF(Table1[[#This Row],[Ad Spend]]=0,0,Table1[[#This Row],[Revenue]]/Table1[[#This Row],[Ad Spend]])</f>
        <v>1.8824659202698271</v>
      </c>
      <c r="N778">
        <f>YEAR(Table1[[#This Row],[Date]])</f>
        <v>2024</v>
      </c>
      <c r="O778" t="str">
        <f>TEXT(Table1[[#This Row],[Date]],"mmm")</f>
        <v>Jul</v>
      </c>
      <c r="P778">
        <f>MONTH(Table1[[#This Row],[Date]])</f>
        <v>7</v>
      </c>
    </row>
    <row r="779" spans="1:16" x14ac:dyDescent="0.25">
      <c r="A779" t="s">
        <v>798</v>
      </c>
      <c r="B779" t="s">
        <v>47</v>
      </c>
      <c r="C779" t="s">
        <v>37</v>
      </c>
      <c r="D779" s="1">
        <v>45308</v>
      </c>
      <c r="E779">
        <v>20637</v>
      </c>
      <c r="F779">
        <v>611</v>
      </c>
      <c r="G779">
        <v>21</v>
      </c>
      <c r="H779" s="4">
        <v>2434.56</v>
      </c>
      <c r="I779" s="4">
        <v>1298.27</v>
      </c>
      <c r="J779" s="7">
        <f>Table1[[#This Row],[Clicks]]/Table1[[#This Row],[Impressions]]</f>
        <v>2.9607016523719533E-2</v>
      </c>
      <c r="K779" s="7">
        <f>IFERROR(Table1[[#This Row],[Conversions]]/Table1[[#This Row],[Clicks]],0)</f>
        <v>3.4369885433715219E-2</v>
      </c>
      <c r="L779" s="6">
        <f>IF(Table1[[#This Row],[Conversions]]=0,0,Table1[[#This Row],[Ad Spend]]/Table1[[#This Row],[Conversions]])</f>
        <v>115.93142857142857</v>
      </c>
      <c r="M779" s="8">
        <f>IF(Table1[[#This Row],[Ad Spend]]=0,0,Table1[[#This Row],[Revenue]]/Table1[[#This Row],[Ad Spend]])</f>
        <v>0.53326679153522605</v>
      </c>
      <c r="N779">
        <f>YEAR(Table1[[#This Row],[Date]])</f>
        <v>2024</v>
      </c>
      <c r="O779" t="str">
        <f>TEXT(Table1[[#This Row],[Date]],"mmm")</f>
        <v>Jan</v>
      </c>
      <c r="P779">
        <f>MONTH(Table1[[#This Row],[Date]])</f>
        <v>1</v>
      </c>
    </row>
    <row r="780" spans="1:16" x14ac:dyDescent="0.25">
      <c r="A780" t="s">
        <v>799</v>
      </c>
      <c r="B780" t="s">
        <v>47</v>
      </c>
      <c r="C780" t="s">
        <v>37</v>
      </c>
      <c r="D780" s="1">
        <v>45443</v>
      </c>
      <c r="E780">
        <v>46101</v>
      </c>
      <c r="F780">
        <v>3008</v>
      </c>
      <c r="G780">
        <v>309</v>
      </c>
      <c r="H780" s="4">
        <v>3135.33</v>
      </c>
      <c r="I780" s="4">
        <v>11431.01</v>
      </c>
      <c r="J780" s="7">
        <f>Table1[[#This Row],[Clicks]]/Table1[[#This Row],[Impressions]]</f>
        <v>6.5248042341814708E-2</v>
      </c>
      <c r="K780" s="7">
        <f>IFERROR(Table1[[#This Row],[Conversions]]/Table1[[#This Row],[Clicks]],0)</f>
        <v>0.10272606382978723</v>
      </c>
      <c r="L780" s="6">
        <f>IF(Table1[[#This Row],[Conversions]]=0,0,Table1[[#This Row],[Ad Spend]]/Table1[[#This Row],[Conversions]])</f>
        <v>10.146699029126214</v>
      </c>
      <c r="M780" s="8">
        <f>IF(Table1[[#This Row],[Ad Spend]]=0,0,Table1[[#This Row],[Revenue]]/Table1[[#This Row],[Ad Spend]])</f>
        <v>3.6458714074754495</v>
      </c>
      <c r="N780">
        <f>YEAR(Table1[[#This Row],[Date]])</f>
        <v>2024</v>
      </c>
      <c r="O780" t="str">
        <f>TEXT(Table1[[#This Row],[Date]],"mmm")</f>
        <v>May</v>
      </c>
      <c r="P780">
        <f>MONTH(Table1[[#This Row],[Date]])</f>
        <v>5</v>
      </c>
    </row>
    <row r="781" spans="1:16" x14ac:dyDescent="0.25">
      <c r="A781" t="s">
        <v>800</v>
      </c>
      <c r="B781" t="s">
        <v>14</v>
      </c>
      <c r="C781" t="s">
        <v>10</v>
      </c>
      <c r="D781" s="1">
        <v>45502</v>
      </c>
      <c r="E781">
        <v>141778</v>
      </c>
      <c r="F781">
        <v>6272</v>
      </c>
      <c r="G781">
        <v>937</v>
      </c>
      <c r="H781" s="4">
        <v>3039.59</v>
      </c>
      <c r="I781" s="4">
        <v>97165.87</v>
      </c>
      <c r="J781" s="7">
        <f>Table1[[#This Row],[Clicks]]/Table1[[#This Row],[Impressions]]</f>
        <v>4.4238175175274022E-2</v>
      </c>
      <c r="K781" s="7">
        <f>IFERROR(Table1[[#This Row],[Conversions]]/Table1[[#This Row],[Clicks]],0)</f>
        <v>0.14939413265306123</v>
      </c>
      <c r="L781" s="6">
        <f>IF(Table1[[#This Row],[Conversions]]=0,0,Table1[[#This Row],[Ad Spend]]/Table1[[#This Row],[Conversions]])</f>
        <v>3.2439594450373535</v>
      </c>
      <c r="M781" s="8">
        <f>IF(Table1[[#This Row],[Ad Spend]]=0,0,Table1[[#This Row],[Revenue]]/Table1[[#This Row],[Ad Spend]])</f>
        <v>31.966768544441845</v>
      </c>
      <c r="N781">
        <f>YEAR(Table1[[#This Row],[Date]])</f>
        <v>2024</v>
      </c>
      <c r="O781" t="str">
        <f>TEXT(Table1[[#This Row],[Date]],"mmm")</f>
        <v>Jul</v>
      </c>
      <c r="P781">
        <f>MONTH(Table1[[#This Row],[Date]])</f>
        <v>7</v>
      </c>
    </row>
    <row r="782" spans="1:16" x14ac:dyDescent="0.25">
      <c r="A782" t="s">
        <v>801</v>
      </c>
      <c r="B782" t="s">
        <v>34</v>
      </c>
      <c r="C782" t="s">
        <v>10</v>
      </c>
      <c r="D782" s="1">
        <v>45665</v>
      </c>
      <c r="E782">
        <v>117226</v>
      </c>
      <c r="F782">
        <v>7213</v>
      </c>
      <c r="G782">
        <v>375</v>
      </c>
      <c r="H782" s="4">
        <v>1771.02</v>
      </c>
      <c r="I782" s="4">
        <v>29230.01</v>
      </c>
      <c r="J782" s="7">
        <f>Table1[[#This Row],[Clicks]]/Table1[[#This Row],[Impressions]]</f>
        <v>6.1530718441301417E-2</v>
      </c>
      <c r="K782" s="7">
        <f>IFERROR(Table1[[#This Row],[Conversions]]/Table1[[#This Row],[Clicks]],0)</f>
        <v>5.1989463468737E-2</v>
      </c>
      <c r="L782" s="6">
        <f>IF(Table1[[#This Row],[Conversions]]=0,0,Table1[[#This Row],[Ad Spend]]/Table1[[#This Row],[Conversions]])</f>
        <v>4.7227199999999998</v>
      </c>
      <c r="M782" s="8">
        <f>IF(Table1[[#This Row],[Ad Spend]]=0,0,Table1[[#This Row],[Revenue]]/Table1[[#This Row],[Ad Spend]])</f>
        <v>16.504618807241023</v>
      </c>
      <c r="N782">
        <f>YEAR(Table1[[#This Row],[Date]])</f>
        <v>2025</v>
      </c>
      <c r="O782" t="str">
        <f>TEXT(Table1[[#This Row],[Date]],"mmm")</f>
        <v>Jan</v>
      </c>
      <c r="P782">
        <f>MONTH(Table1[[#This Row],[Date]])</f>
        <v>1</v>
      </c>
    </row>
    <row r="783" spans="1:16" x14ac:dyDescent="0.25">
      <c r="A783" t="s">
        <v>802</v>
      </c>
      <c r="B783" t="s">
        <v>16</v>
      </c>
      <c r="C783" t="s">
        <v>12</v>
      </c>
      <c r="D783" s="1">
        <v>45294</v>
      </c>
      <c r="E783">
        <v>114516</v>
      </c>
      <c r="F783">
        <v>9002</v>
      </c>
      <c r="G783">
        <v>226</v>
      </c>
      <c r="H783" s="4">
        <v>2459.13</v>
      </c>
      <c r="I783" s="4">
        <v>21890.5</v>
      </c>
      <c r="J783" s="7">
        <f>Table1[[#This Row],[Clicks]]/Table1[[#This Row],[Impressions]]</f>
        <v>7.8609102658143845E-2</v>
      </c>
      <c r="K783" s="7">
        <f>IFERROR(Table1[[#This Row],[Conversions]]/Table1[[#This Row],[Clicks]],0)</f>
        <v>2.5105532103976893E-2</v>
      </c>
      <c r="L783" s="6">
        <f>IF(Table1[[#This Row],[Conversions]]=0,0,Table1[[#This Row],[Ad Spend]]/Table1[[#This Row],[Conversions]])</f>
        <v>10.881106194690267</v>
      </c>
      <c r="M783" s="8">
        <f>IF(Table1[[#This Row],[Ad Spend]]=0,0,Table1[[#This Row],[Revenue]]/Table1[[#This Row],[Ad Spend]])</f>
        <v>8.9017254069528651</v>
      </c>
      <c r="N783">
        <f>YEAR(Table1[[#This Row],[Date]])</f>
        <v>2024</v>
      </c>
      <c r="O783" t="str">
        <f>TEXT(Table1[[#This Row],[Date]],"mmm")</f>
        <v>Jan</v>
      </c>
      <c r="P783">
        <f>MONTH(Table1[[#This Row],[Date]])</f>
        <v>1</v>
      </c>
    </row>
    <row r="784" spans="1:16" x14ac:dyDescent="0.25">
      <c r="A784" t="s">
        <v>803</v>
      </c>
      <c r="B784" t="s">
        <v>31</v>
      </c>
      <c r="C784" t="s">
        <v>17</v>
      </c>
      <c r="D784" s="1">
        <v>45563</v>
      </c>
      <c r="E784">
        <v>108368</v>
      </c>
      <c r="F784">
        <v>4719</v>
      </c>
      <c r="G784">
        <v>583</v>
      </c>
      <c r="H784" s="4">
        <v>4142.2</v>
      </c>
      <c r="I784" s="4">
        <v>38037.33</v>
      </c>
      <c r="J784" s="7">
        <f>Table1[[#This Row],[Clicks]]/Table1[[#This Row],[Impressions]]</f>
        <v>4.3546065259117084E-2</v>
      </c>
      <c r="K784" s="7">
        <f>IFERROR(Table1[[#This Row],[Conversions]]/Table1[[#This Row],[Clicks]],0)</f>
        <v>0.12354312354312354</v>
      </c>
      <c r="L784" s="6">
        <f>IF(Table1[[#This Row],[Conversions]]=0,0,Table1[[#This Row],[Ad Spend]]/Table1[[#This Row],[Conversions]])</f>
        <v>7.104974271012007</v>
      </c>
      <c r="M784" s="8">
        <f>IF(Table1[[#This Row],[Ad Spend]]=0,0,Table1[[#This Row],[Revenue]]/Table1[[#This Row],[Ad Spend]])</f>
        <v>9.1828810776881866</v>
      </c>
      <c r="N784">
        <f>YEAR(Table1[[#This Row],[Date]])</f>
        <v>2024</v>
      </c>
      <c r="O784" t="str">
        <f>TEXT(Table1[[#This Row],[Date]],"mmm")</f>
        <v>Sept</v>
      </c>
      <c r="P784">
        <f>MONTH(Table1[[#This Row],[Date]])</f>
        <v>9</v>
      </c>
    </row>
    <row r="785" spans="1:16" x14ac:dyDescent="0.25">
      <c r="A785" t="s">
        <v>804</v>
      </c>
      <c r="B785" t="s">
        <v>14</v>
      </c>
      <c r="C785" t="s">
        <v>10</v>
      </c>
      <c r="D785" s="1">
        <v>45577</v>
      </c>
      <c r="E785">
        <v>8256</v>
      </c>
      <c r="F785">
        <v>483</v>
      </c>
      <c r="G785">
        <v>35</v>
      </c>
      <c r="H785" s="4">
        <v>1246.43</v>
      </c>
      <c r="I785" s="4">
        <v>1954.42</v>
      </c>
      <c r="J785" s="7">
        <f>Table1[[#This Row],[Clicks]]/Table1[[#This Row],[Impressions]]</f>
        <v>5.8502906976744186E-2</v>
      </c>
      <c r="K785" s="7">
        <f>IFERROR(Table1[[#This Row],[Conversions]]/Table1[[#This Row],[Clicks]],0)</f>
        <v>7.2463768115942032E-2</v>
      </c>
      <c r="L785" s="6">
        <f>IF(Table1[[#This Row],[Conversions]]=0,0,Table1[[#This Row],[Ad Spend]]/Table1[[#This Row],[Conversions]])</f>
        <v>35.612285714285719</v>
      </c>
      <c r="M785" s="8">
        <f>IF(Table1[[#This Row],[Ad Spend]]=0,0,Table1[[#This Row],[Revenue]]/Table1[[#This Row],[Ad Spend]])</f>
        <v>1.5680142486942708</v>
      </c>
      <c r="N785">
        <f>YEAR(Table1[[#This Row],[Date]])</f>
        <v>2024</v>
      </c>
      <c r="O785" t="str">
        <f>TEXT(Table1[[#This Row],[Date]],"mmm")</f>
        <v>Oct</v>
      </c>
      <c r="P785">
        <f>MONTH(Table1[[#This Row],[Date]])</f>
        <v>10</v>
      </c>
    </row>
    <row r="786" spans="1:16" x14ac:dyDescent="0.25">
      <c r="A786" t="s">
        <v>805</v>
      </c>
      <c r="B786" t="s">
        <v>14</v>
      </c>
      <c r="C786" t="s">
        <v>10</v>
      </c>
      <c r="D786" s="1">
        <v>45300</v>
      </c>
      <c r="E786">
        <v>130772</v>
      </c>
      <c r="F786">
        <v>7432</v>
      </c>
      <c r="G786">
        <v>304</v>
      </c>
      <c r="H786" s="4">
        <v>2404.56</v>
      </c>
      <c r="I786" s="4">
        <v>23419.58</v>
      </c>
      <c r="J786" s="7">
        <f>Table1[[#This Row],[Clicks]]/Table1[[#This Row],[Impressions]]</f>
        <v>5.6831737680849113E-2</v>
      </c>
      <c r="K786" s="7">
        <f>IFERROR(Table1[[#This Row],[Conversions]]/Table1[[#This Row],[Clicks]],0)</f>
        <v>4.0904198062432721E-2</v>
      </c>
      <c r="L786" s="6">
        <f>IF(Table1[[#This Row],[Conversions]]=0,0,Table1[[#This Row],[Ad Spend]]/Table1[[#This Row],[Conversions]])</f>
        <v>7.9097368421052634</v>
      </c>
      <c r="M786" s="8">
        <f>IF(Table1[[#This Row],[Ad Spend]]=0,0,Table1[[#This Row],[Revenue]]/Table1[[#This Row],[Ad Spend]])</f>
        <v>9.7396529926473043</v>
      </c>
      <c r="N786">
        <f>YEAR(Table1[[#This Row],[Date]])</f>
        <v>2024</v>
      </c>
      <c r="O786" t="str">
        <f>TEXT(Table1[[#This Row],[Date]],"mmm")</f>
        <v>Jan</v>
      </c>
      <c r="P786">
        <f>MONTH(Table1[[#This Row],[Date]])</f>
        <v>1</v>
      </c>
    </row>
    <row r="787" spans="1:16" x14ac:dyDescent="0.25">
      <c r="A787" t="s">
        <v>806</v>
      </c>
      <c r="B787" t="s">
        <v>31</v>
      </c>
      <c r="C787" t="s">
        <v>17</v>
      </c>
      <c r="D787" s="1">
        <v>45529</v>
      </c>
      <c r="E787">
        <v>41339</v>
      </c>
      <c r="F787">
        <v>2943</v>
      </c>
      <c r="G787">
        <v>213</v>
      </c>
      <c r="H787" s="4">
        <v>3991.32</v>
      </c>
      <c r="I787" s="4">
        <v>12149.96</v>
      </c>
      <c r="J787" s="7">
        <f>Table1[[#This Row],[Clicks]]/Table1[[#This Row],[Impressions]]</f>
        <v>7.119185272986768E-2</v>
      </c>
      <c r="K787" s="7">
        <f>IFERROR(Table1[[#This Row],[Conversions]]/Table1[[#This Row],[Clicks]],0)</f>
        <v>7.2375127420998983E-2</v>
      </c>
      <c r="L787" s="6">
        <f>IF(Table1[[#This Row],[Conversions]]=0,0,Table1[[#This Row],[Ad Spend]]/Table1[[#This Row],[Conversions]])</f>
        <v>18.738591549295776</v>
      </c>
      <c r="M787" s="8">
        <f>IF(Table1[[#This Row],[Ad Spend]]=0,0,Table1[[#This Row],[Revenue]]/Table1[[#This Row],[Ad Spend]])</f>
        <v>3.0440956876421832</v>
      </c>
      <c r="N787">
        <f>YEAR(Table1[[#This Row],[Date]])</f>
        <v>2024</v>
      </c>
      <c r="O787" t="str">
        <f>TEXT(Table1[[#This Row],[Date]],"mmm")</f>
        <v>Aug</v>
      </c>
      <c r="P787">
        <f>MONTH(Table1[[#This Row],[Date]])</f>
        <v>8</v>
      </c>
    </row>
    <row r="788" spans="1:16" x14ac:dyDescent="0.25">
      <c r="A788" t="s">
        <v>807</v>
      </c>
      <c r="B788" t="s">
        <v>41</v>
      </c>
      <c r="C788" t="s">
        <v>10</v>
      </c>
      <c r="D788" s="1">
        <v>45613</v>
      </c>
      <c r="E788">
        <v>23533</v>
      </c>
      <c r="F788">
        <v>869</v>
      </c>
      <c r="G788">
        <v>95</v>
      </c>
      <c r="H788" s="4">
        <v>2748.42</v>
      </c>
      <c r="I788" s="4">
        <v>4717.6000000000004</v>
      </c>
      <c r="J788" s="7">
        <f>Table1[[#This Row],[Clicks]]/Table1[[#This Row],[Impressions]]</f>
        <v>3.692686865253049E-2</v>
      </c>
      <c r="K788" s="7">
        <f>IFERROR(Table1[[#This Row],[Conversions]]/Table1[[#This Row],[Clicks]],0)</f>
        <v>0.1093210586881473</v>
      </c>
      <c r="L788" s="6">
        <f>IF(Table1[[#This Row],[Conversions]]=0,0,Table1[[#This Row],[Ad Spend]]/Table1[[#This Row],[Conversions]])</f>
        <v>28.930736842105265</v>
      </c>
      <c r="M788" s="8">
        <f>IF(Table1[[#This Row],[Ad Spend]]=0,0,Table1[[#This Row],[Revenue]]/Table1[[#This Row],[Ad Spend]])</f>
        <v>1.716477103208389</v>
      </c>
      <c r="N788">
        <f>YEAR(Table1[[#This Row],[Date]])</f>
        <v>2024</v>
      </c>
      <c r="O788" t="str">
        <f>TEXT(Table1[[#This Row],[Date]],"mmm")</f>
        <v>Nov</v>
      </c>
      <c r="P788">
        <f>MONTH(Table1[[#This Row],[Date]])</f>
        <v>11</v>
      </c>
    </row>
    <row r="789" spans="1:16" x14ac:dyDescent="0.25">
      <c r="A789" t="s">
        <v>808</v>
      </c>
      <c r="B789" t="s">
        <v>34</v>
      </c>
      <c r="C789" t="s">
        <v>12</v>
      </c>
      <c r="D789" s="1">
        <v>45569</v>
      </c>
      <c r="E789">
        <v>59302</v>
      </c>
      <c r="F789">
        <v>3862</v>
      </c>
      <c r="G789">
        <v>117</v>
      </c>
      <c r="H789" s="4">
        <v>4428.07</v>
      </c>
      <c r="I789" s="4">
        <v>10948.4</v>
      </c>
      <c r="J789" s="7">
        <f>Table1[[#This Row],[Clicks]]/Table1[[#This Row],[Impressions]]</f>
        <v>6.5124279113689246E-2</v>
      </c>
      <c r="K789" s="7">
        <f>IFERROR(Table1[[#This Row],[Conversions]]/Table1[[#This Row],[Clicks]],0)</f>
        <v>3.0295183842568619E-2</v>
      </c>
      <c r="L789" s="6">
        <f>IF(Table1[[#This Row],[Conversions]]=0,0,Table1[[#This Row],[Ad Spend]]/Table1[[#This Row],[Conversions]])</f>
        <v>37.846752136752137</v>
      </c>
      <c r="M789" s="8">
        <f>IF(Table1[[#This Row],[Ad Spend]]=0,0,Table1[[#This Row],[Revenue]]/Table1[[#This Row],[Ad Spend]])</f>
        <v>2.4724993055665334</v>
      </c>
      <c r="N789">
        <f>YEAR(Table1[[#This Row],[Date]])</f>
        <v>2024</v>
      </c>
      <c r="O789" t="str">
        <f>TEXT(Table1[[#This Row],[Date]],"mmm")</f>
        <v>Oct</v>
      </c>
      <c r="P789">
        <f>MONTH(Table1[[#This Row],[Date]])</f>
        <v>10</v>
      </c>
    </row>
    <row r="790" spans="1:16" x14ac:dyDescent="0.25">
      <c r="A790" t="s">
        <v>809</v>
      </c>
      <c r="B790" t="s">
        <v>31</v>
      </c>
      <c r="C790" t="s">
        <v>12</v>
      </c>
      <c r="D790" s="1">
        <v>45637</v>
      </c>
      <c r="E790">
        <v>100417</v>
      </c>
      <c r="F790">
        <v>7245</v>
      </c>
      <c r="G790">
        <v>249</v>
      </c>
      <c r="H790" s="4">
        <v>1954.84</v>
      </c>
      <c r="I790" s="4">
        <v>20396.419999999998</v>
      </c>
      <c r="J790" s="7">
        <f>Table1[[#This Row],[Clicks]]/Table1[[#This Row],[Impressions]]</f>
        <v>7.21491380941474E-2</v>
      </c>
      <c r="K790" s="7">
        <f>IFERROR(Table1[[#This Row],[Conversions]]/Table1[[#This Row],[Clicks]],0)</f>
        <v>3.4368530020703933E-2</v>
      </c>
      <c r="L790" s="6">
        <f>IF(Table1[[#This Row],[Conversions]]=0,0,Table1[[#This Row],[Ad Spend]]/Table1[[#This Row],[Conversions]])</f>
        <v>7.8507630522088352</v>
      </c>
      <c r="M790" s="8">
        <f>IF(Table1[[#This Row],[Ad Spend]]=0,0,Table1[[#This Row],[Revenue]]/Table1[[#This Row],[Ad Spend]])</f>
        <v>10.433805324220907</v>
      </c>
      <c r="N790">
        <f>YEAR(Table1[[#This Row],[Date]])</f>
        <v>2024</v>
      </c>
      <c r="O790" t="str">
        <f>TEXT(Table1[[#This Row],[Date]],"mmm")</f>
        <v>Dec</v>
      </c>
      <c r="P790">
        <f>MONTH(Table1[[#This Row],[Date]])</f>
        <v>12</v>
      </c>
    </row>
    <row r="791" spans="1:16" x14ac:dyDescent="0.25">
      <c r="A791" t="s">
        <v>810</v>
      </c>
      <c r="B791" t="s">
        <v>47</v>
      </c>
      <c r="C791" t="s">
        <v>19</v>
      </c>
      <c r="D791" s="1">
        <v>45381</v>
      </c>
      <c r="E791">
        <v>22565</v>
      </c>
      <c r="F791">
        <v>1111</v>
      </c>
      <c r="G791">
        <v>133</v>
      </c>
      <c r="H791" s="4">
        <v>864.35</v>
      </c>
      <c r="I791" s="4">
        <v>7114.56</v>
      </c>
      <c r="J791" s="7">
        <f>Table1[[#This Row],[Clicks]]/Table1[[#This Row],[Impressions]]</f>
        <v>4.923554176822513E-2</v>
      </c>
      <c r="K791" s="7">
        <f>IFERROR(Table1[[#This Row],[Conversions]]/Table1[[#This Row],[Clicks]],0)</f>
        <v>0.11971197119711971</v>
      </c>
      <c r="L791" s="6">
        <f>IF(Table1[[#This Row],[Conversions]]=0,0,Table1[[#This Row],[Ad Spend]]/Table1[[#This Row],[Conversions]])</f>
        <v>6.4988721804511282</v>
      </c>
      <c r="M791" s="8">
        <f>IF(Table1[[#This Row],[Ad Spend]]=0,0,Table1[[#This Row],[Revenue]]/Table1[[#This Row],[Ad Spend]])</f>
        <v>8.2311100827211199</v>
      </c>
      <c r="N791">
        <f>YEAR(Table1[[#This Row],[Date]])</f>
        <v>2024</v>
      </c>
      <c r="O791" t="str">
        <f>TEXT(Table1[[#This Row],[Date]],"mmm")</f>
        <v>Mar</v>
      </c>
      <c r="P791">
        <f>MONTH(Table1[[#This Row],[Date]])</f>
        <v>3</v>
      </c>
    </row>
    <row r="792" spans="1:16" x14ac:dyDescent="0.25">
      <c r="A792" t="s">
        <v>811</v>
      </c>
      <c r="B792" t="s">
        <v>9</v>
      </c>
      <c r="C792" t="s">
        <v>17</v>
      </c>
      <c r="D792" s="1">
        <v>45669</v>
      </c>
      <c r="E792">
        <v>59996</v>
      </c>
      <c r="F792">
        <v>3763</v>
      </c>
      <c r="G792">
        <v>447</v>
      </c>
      <c r="H792" s="4">
        <v>1738.23</v>
      </c>
      <c r="I792" s="4">
        <v>49077.61</v>
      </c>
      <c r="J792" s="7">
        <f>Table1[[#This Row],[Clicks]]/Table1[[#This Row],[Impressions]]</f>
        <v>6.2720848056537104E-2</v>
      </c>
      <c r="K792" s="7">
        <f>IFERROR(Table1[[#This Row],[Conversions]]/Table1[[#This Row],[Clicks]],0)</f>
        <v>0.11878820090353441</v>
      </c>
      <c r="L792" s="6">
        <f>IF(Table1[[#This Row],[Conversions]]=0,0,Table1[[#This Row],[Ad Spend]]/Table1[[#This Row],[Conversions]])</f>
        <v>3.8886577181208053</v>
      </c>
      <c r="M792" s="8">
        <f>IF(Table1[[#This Row],[Ad Spend]]=0,0,Table1[[#This Row],[Revenue]]/Table1[[#This Row],[Ad Spend]])</f>
        <v>28.234244029846455</v>
      </c>
      <c r="N792">
        <f>YEAR(Table1[[#This Row],[Date]])</f>
        <v>2025</v>
      </c>
      <c r="O792" t="str">
        <f>TEXT(Table1[[#This Row],[Date]],"mmm")</f>
        <v>Jan</v>
      </c>
      <c r="P792">
        <f>MONTH(Table1[[#This Row],[Date]])</f>
        <v>1</v>
      </c>
    </row>
    <row r="793" spans="1:16" x14ac:dyDescent="0.25">
      <c r="A793" t="s">
        <v>812</v>
      </c>
      <c r="B793" t="s">
        <v>21</v>
      </c>
      <c r="C793" t="s">
        <v>19</v>
      </c>
      <c r="D793" s="1">
        <v>45319</v>
      </c>
      <c r="E793">
        <v>21611</v>
      </c>
      <c r="F793">
        <v>780</v>
      </c>
      <c r="G793">
        <v>61</v>
      </c>
      <c r="H793" s="4">
        <v>2606.96</v>
      </c>
      <c r="I793" s="4">
        <v>6280.31</v>
      </c>
      <c r="J793" s="7">
        <f>Table1[[#This Row],[Clicks]]/Table1[[#This Row],[Impressions]]</f>
        <v>3.6092730553884594E-2</v>
      </c>
      <c r="K793" s="7">
        <f>IFERROR(Table1[[#This Row],[Conversions]]/Table1[[#This Row],[Clicks]],0)</f>
        <v>7.8205128205128205E-2</v>
      </c>
      <c r="L793" s="6">
        <f>IF(Table1[[#This Row],[Conversions]]=0,0,Table1[[#This Row],[Ad Spend]]/Table1[[#This Row],[Conversions]])</f>
        <v>42.737049180327872</v>
      </c>
      <c r="M793" s="8">
        <f>IF(Table1[[#This Row],[Ad Spend]]=0,0,Table1[[#This Row],[Revenue]]/Table1[[#This Row],[Ad Spend]])</f>
        <v>2.4090549912541812</v>
      </c>
      <c r="N793">
        <f>YEAR(Table1[[#This Row],[Date]])</f>
        <v>2024</v>
      </c>
      <c r="O793" t="str">
        <f>TEXT(Table1[[#This Row],[Date]],"mmm")</f>
        <v>Jan</v>
      </c>
      <c r="P793">
        <f>MONTH(Table1[[#This Row],[Date]])</f>
        <v>1</v>
      </c>
    </row>
    <row r="794" spans="1:16" x14ac:dyDescent="0.25">
      <c r="A794" t="s">
        <v>813</v>
      </c>
      <c r="B794" t="s">
        <v>41</v>
      </c>
      <c r="C794" t="s">
        <v>12</v>
      </c>
      <c r="D794" s="1">
        <v>45639</v>
      </c>
      <c r="E794">
        <v>144684</v>
      </c>
      <c r="F794">
        <v>10556</v>
      </c>
      <c r="G794">
        <v>831</v>
      </c>
      <c r="H794" s="4">
        <v>1967.1</v>
      </c>
      <c r="I794" s="4">
        <v>72571.77</v>
      </c>
      <c r="J794" s="7">
        <f>Table1[[#This Row],[Clicks]]/Table1[[#This Row],[Impressions]]</f>
        <v>7.2959000304111024E-2</v>
      </c>
      <c r="K794" s="7">
        <f>IFERROR(Table1[[#This Row],[Conversions]]/Table1[[#This Row],[Clicks]],0)</f>
        <v>7.8723001136794243E-2</v>
      </c>
      <c r="L794" s="6">
        <f>IF(Table1[[#This Row],[Conversions]]=0,0,Table1[[#This Row],[Ad Spend]]/Table1[[#This Row],[Conversions]])</f>
        <v>2.3671480144404331</v>
      </c>
      <c r="M794" s="8">
        <f>IF(Table1[[#This Row],[Ad Spend]]=0,0,Table1[[#This Row],[Revenue]]/Table1[[#This Row],[Ad Spend]])</f>
        <v>36.892771084337355</v>
      </c>
      <c r="N794">
        <f>YEAR(Table1[[#This Row],[Date]])</f>
        <v>2024</v>
      </c>
      <c r="O794" t="str">
        <f>TEXT(Table1[[#This Row],[Date]],"mmm")</f>
        <v>Dec</v>
      </c>
      <c r="P794">
        <f>MONTH(Table1[[#This Row],[Date]])</f>
        <v>12</v>
      </c>
    </row>
    <row r="795" spans="1:16" x14ac:dyDescent="0.25">
      <c r="A795" t="s">
        <v>814</v>
      </c>
      <c r="B795" t="s">
        <v>9</v>
      </c>
      <c r="C795" t="s">
        <v>37</v>
      </c>
      <c r="D795" s="1">
        <v>45526</v>
      </c>
      <c r="E795">
        <v>27887</v>
      </c>
      <c r="F795">
        <v>435</v>
      </c>
      <c r="G795">
        <v>59</v>
      </c>
      <c r="H795" s="4">
        <v>1584.19</v>
      </c>
      <c r="I795" s="4">
        <v>6824.1</v>
      </c>
      <c r="J795" s="7">
        <f>Table1[[#This Row],[Clicks]]/Table1[[#This Row],[Impressions]]</f>
        <v>1.5598666045110624E-2</v>
      </c>
      <c r="K795" s="7">
        <f>IFERROR(Table1[[#This Row],[Conversions]]/Table1[[#This Row],[Clicks]],0)</f>
        <v>0.13563218390804599</v>
      </c>
      <c r="L795" s="6">
        <f>IF(Table1[[#This Row],[Conversions]]=0,0,Table1[[#This Row],[Ad Spend]]/Table1[[#This Row],[Conversions]])</f>
        <v>26.850677966101696</v>
      </c>
      <c r="M795" s="8">
        <f>IF(Table1[[#This Row],[Ad Spend]]=0,0,Table1[[#This Row],[Revenue]]/Table1[[#This Row],[Ad Spend]])</f>
        <v>4.3076272416818693</v>
      </c>
      <c r="N795">
        <f>YEAR(Table1[[#This Row],[Date]])</f>
        <v>2024</v>
      </c>
      <c r="O795" t="str">
        <f>TEXT(Table1[[#This Row],[Date]],"mmm")</f>
        <v>Aug</v>
      </c>
      <c r="P795">
        <f>MONTH(Table1[[#This Row],[Date]])</f>
        <v>8</v>
      </c>
    </row>
    <row r="796" spans="1:16" x14ac:dyDescent="0.25">
      <c r="A796" t="s">
        <v>815</v>
      </c>
      <c r="B796" t="s">
        <v>9</v>
      </c>
      <c r="C796" t="s">
        <v>37</v>
      </c>
      <c r="D796" s="1">
        <v>45433</v>
      </c>
      <c r="E796">
        <v>34366</v>
      </c>
      <c r="F796">
        <v>2020</v>
      </c>
      <c r="G796">
        <v>170</v>
      </c>
      <c r="H796" s="4">
        <v>4399.97</v>
      </c>
      <c r="I796" s="4">
        <v>12251.69</v>
      </c>
      <c r="J796" s="7">
        <f>Table1[[#This Row],[Clicks]]/Table1[[#This Row],[Impressions]]</f>
        <v>5.8779025781295464E-2</v>
      </c>
      <c r="K796" s="7">
        <f>IFERROR(Table1[[#This Row],[Conversions]]/Table1[[#This Row],[Clicks]],0)</f>
        <v>8.4158415841584164E-2</v>
      </c>
      <c r="L796" s="6">
        <f>IF(Table1[[#This Row],[Conversions]]=0,0,Table1[[#This Row],[Ad Spend]]/Table1[[#This Row],[Conversions]])</f>
        <v>25.882176470588238</v>
      </c>
      <c r="M796" s="8">
        <f>IF(Table1[[#This Row],[Ad Spend]]=0,0,Table1[[#This Row],[Revenue]]/Table1[[#This Row],[Ad Spend]])</f>
        <v>2.7844939851862627</v>
      </c>
      <c r="N796">
        <f>YEAR(Table1[[#This Row],[Date]])</f>
        <v>2024</v>
      </c>
      <c r="O796" t="str">
        <f>TEXT(Table1[[#This Row],[Date]],"mmm")</f>
        <v>May</v>
      </c>
      <c r="P796">
        <f>MONTH(Table1[[#This Row],[Date]])</f>
        <v>5</v>
      </c>
    </row>
    <row r="797" spans="1:16" x14ac:dyDescent="0.25">
      <c r="A797" t="s">
        <v>816</v>
      </c>
      <c r="B797" t="s">
        <v>31</v>
      </c>
      <c r="C797" t="s">
        <v>19</v>
      </c>
      <c r="D797" s="1">
        <v>45505</v>
      </c>
      <c r="E797">
        <v>146933</v>
      </c>
      <c r="F797">
        <v>11052</v>
      </c>
      <c r="G797">
        <v>901</v>
      </c>
      <c r="H797" s="4">
        <v>2216.62</v>
      </c>
      <c r="I797" s="4">
        <v>84487.6</v>
      </c>
      <c r="J797" s="7">
        <f>Table1[[#This Row],[Clicks]]/Table1[[#This Row],[Impressions]]</f>
        <v>7.5217956483567341E-2</v>
      </c>
      <c r="K797" s="7">
        <f>IFERROR(Table1[[#This Row],[Conversions]]/Table1[[#This Row],[Clicks]],0)</f>
        <v>8.1523706116539987E-2</v>
      </c>
      <c r="L797" s="6">
        <f>IF(Table1[[#This Row],[Conversions]]=0,0,Table1[[#This Row],[Ad Spend]]/Table1[[#This Row],[Conversions]])</f>
        <v>2.4601775804661488</v>
      </c>
      <c r="M797" s="8">
        <f>IF(Table1[[#This Row],[Ad Spend]]=0,0,Table1[[#This Row],[Revenue]]/Table1[[#This Row],[Ad Spend]])</f>
        <v>38.1155091986899</v>
      </c>
      <c r="N797">
        <f>YEAR(Table1[[#This Row],[Date]])</f>
        <v>2024</v>
      </c>
      <c r="O797" t="str">
        <f>TEXT(Table1[[#This Row],[Date]],"mmm")</f>
        <v>Aug</v>
      </c>
      <c r="P797">
        <f>MONTH(Table1[[#This Row],[Date]])</f>
        <v>8</v>
      </c>
    </row>
    <row r="798" spans="1:16" x14ac:dyDescent="0.25">
      <c r="A798" t="s">
        <v>817</v>
      </c>
      <c r="B798" t="s">
        <v>31</v>
      </c>
      <c r="C798" t="s">
        <v>19</v>
      </c>
      <c r="D798" s="1">
        <v>45388</v>
      </c>
      <c r="E798">
        <v>21501</v>
      </c>
      <c r="F798">
        <v>248</v>
      </c>
      <c r="G798">
        <v>30</v>
      </c>
      <c r="H798" s="4">
        <v>4207.75</v>
      </c>
      <c r="I798" s="4">
        <v>2158.86</v>
      </c>
      <c r="J798" s="7">
        <f>Table1[[#This Row],[Clicks]]/Table1[[#This Row],[Impressions]]</f>
        <v>1.1534347239663272E-2</v>
      </c>
      <c r="K798" s="7">
        <f>IFERROR(Table1[[#This Row],[Conversions]]/Table1[[#This Row],[Clicks]],0)</f>
        <v>0.12096774193548387</v>
      </c>
      <c r="L798" s="6">
        <f>IF(Table1[[#This Row],[Conversions]]=0,0,Table1[[#This Row],[Ad Spend]]/Table1[[#This Row],[Conversions]])</f>
        <v>140.25833333333333</v>
      </c>
      <c r="M798" s="8">
        <f>IF(Table1[[#This Row],[Ad Spend]]=0,0,Table1[[#This Row],[Revenue]]/Table1[[#This Row],[Ad Spend]])</f>
        <v>0.513067553918365</v>
      </c>
      <c r="N798">
        <f>YEAR(Table1[[#This Row],[Date]])</f>
        <v>2024</v>
      </c>
      <c r="O798" t="str">
        <f>TEXT(Table1[[#This Row],[Date]],"mmm")</f>
        <v>Apr</v>
      </c>
      <c r="P798">
        <f>MONTH(Table1[[#This Row],[Date]])</f>
        <v>4</v>
      </c>
    </row>
    <row r="799" spans="1:16" x14ac:dyDescent="0.25">
      <c r="A799" t="s">
        <v>818</v>
      </c>
      <c r="B799" t="s">
        <v>47</v>
      </c>
      <c r="C799" t="s">
        <v>17</v>
      </c>
      <c r="D799" s="1">
        <v>45588</v>
      </c>
      <c r="E799">
        <v>94860</v>
      </c>
      <c r="F799">
        <v>5302</v>
      </c>
      <c r="G799">
        <v>648</v>
      </c>
      <c r="H799" s="4">
        <v>2533.5100000000002</v>
      </c>
      <c r="I799" s="4">
        <v>56107.43</v>
      </c>
      <c r="J799" s="7">
        <f>Table1[[#This Row],[Clicks]]/Table1[[#This Row],[Impressions]]</f>
        <v>5.589289479232553E-2</v>
      </c>
      <c r="K799" s="7">
        <f>IFERROR(Table1[[#This Row],[Conversions]]/Table1[[#This Row],[Clicks]],0)</f>
        <v>0.12221803093172388</v>
      </c>
      <c r="L799" s="6">
        <f>IF(Table1[[#This Row],[Conversions]]=0,0,Table1[[#This Row],[Ad Spend]]/Table1[[#This Row],[Conversions]])</f>
        <v>3.9097376543209879</v>
      </c>
      <c r="M799" s="8">
        <f>IF(Table1[[#This Row],[Ad Spend]]=0,0,Table1[[#This Row],[Revenue]]/Table1[[#This Row],[Ad Spend]])</f>
        <v>22.146125335996302</v>
      </c>
      <c r="N799">
        <f>YEAR(Table1[[#This Row],[Date]])</f>
        <v>2024</v>
      </c>
      <c r="O799" t="str">
        <f>TEXT(Table1[[#This Row],[Date]],"mmm")</f>
        <v>Oct</v>
      </c>
      <c r="P799">
        <f>MONTH(Table1[[#This Row],[Date]])</f>
        <v>10</v>
      </c>
    </row>
    <row r="800" spans="1:16" x14ac:dyDescent="0.25">
      <c r="A800" t="s">
        <v>819</v>
      </c>
      <c r="B800" t="s">
        <v>41</v>
      </c>
      <c r="C800" t="s">
        <v>17</v>
      </c>
      <c r="D800" s="1">
        <v>45447</v>
      </c>
      <c r="E800">
        <v>39591</v>
      </c>
      <c r="F800">
        <v>2885</v>
      </c>
      <c r="G800">
        <v>172</v>
      </c>
      <c r="H800" s="4">
        <v>3988.48</v>
      </c>
      <c r="I800" s="4">
        <v>7340.65</v>
      </c>
      <c r="J800" s="7">
        <f>Table1[[#This Row],[Clicks]]/Table1[[#This Row],[Impressions]]</f>
        <v>7.2870096739157883E-2</v>
      </c>
      <c r="K800" s="7">
        <f>IFERROR(Table1[[#This Row],[Conversions]]/Table1[[#This Row],[Clicks]],0)</f>
        <v>5.9618717504332758E-2</v>
      </c>
      <c r="L800" s="6">
        <f>IF(Table1[[#This Row],[Conversions]]=0,0,Table1[[#This Row],[Ad Spend]]/Table1[[#This Row],[Conversions]])</f>
        <v>23.188837209302324</v>
      </c>
      <c r="M800" s="8">
        <f>IF(Table1[[#This Row],[Ad Spend]]=0,0,Table1[[#This Row],[Revenue]]/Table1[[#This Row],[Ad Spend]])</f>
        <v>1.8404630335365852</v>
      </c>
      <c r="N800">
        <f>YEAR(Table1[[#This Row],[Date]])</f>
        <v>2024</v>
      </c>
      <c r="O800" t="str">
        <f>TEXT(Table1[[#This Row],[Date]],"mmm")</f>
        <v>Jun</v>
      </c>
      <c r="P800">
        <f>MONTH(Table1[[#This Row],[Date]])</f>
        <v>6</v>
      </c>
    </row>
    <row r="801" spans="1:16" x14ac:dyDescent="0.25">
      <c r="A801" t="s">
        <v>820</v>
      </c>
      <c r="B801" t="s">
        <v>47</v>
      </c>
      <c r="C801" t="s">
        <v>19</v>
      </c>
      <c r="D801" s="1">
        <v>45686</v>
      </c>
      <c r="E801">
        <v>17404</v>
      </c>
      <c r="F801">
        <v>354</v>
      </c>
      <c r="G801">
        <v>20</v>
      </c>
      <c r="H801" s="4">
        <v>4789.83</v>
      </c>
      <c r="I801" s="4">
        <v>1637.26</v>
      </c>
      <c r="J801" s="7">
        <f>Table1[[#This Row],[Clicks]]/Table1[[#This Row],[Impressions]]</f>
        <v>2.0340151689266835E-2</v>
      </c>
      <c r="K801" s="7">
        <f>IFERROR(Table1[[#This Row],[Conversions]]/Table1[[#This Row],[Clicks]],0)</f>
        <v>5.6497175141242938E-2</v>
      </c>
      <c r="L801" s="6">
        <f>IF(Table1[[#This Row],[Conversions]]=0,0,Table1[[#This Row],[Ad Spend]]/Table1[[#This Row],[Conversions]])</f>
        <v>239.4915</v>
      </c>
      <c r="M801" s="8">
        <f>IF(Table1[[#This Row],[Ad Spend]]=0,0,Table1[[#This Row],[Revenue]]/Table1[[#This Row],[Ad Spend]])</f>
        <v>0.34182006459519443</v>
      </c>
      <c r="N801">
        <f>YEAR(Table1[[#This Row],[Date]])</f>
        <v>2025</v>
      </c>
      <c r="O801" t="str">
        <f>TEXT(Table1[[#This Row],[Date]],"mmm")</f>
        <v>Jan</v>
      </c>
      <c r="P801">
        <f>MONTH(Table1[[#This Row],[Date]])</f>
        <v>1</v>
      </c>
    </row>
    <row r="802" spans="1:16" x14ac:dyDescent="0.25">
      <c r="A802" t="s">
        <v>821</v>
      </c>
      <c r="B802" t="s">
        <v>16</v>
      </c>
      <c r="C802" t="s">
        <v>12</v>
      </c>
      <c r="D802" s="1">
        <v>45438</v>
      </c>
      <c r="E802">
        <v>52783</v>
      </c>
      <c r="F802">
        <v>4123</v>
      </c>
      <c r="G802">
        <v>532</v>
      </c>
      <c r="H802" s="4">
        <v>3525.72</v>
      </c>
      <c r="I802" s="4">
        <v>46090.14</v>
      </c>
      <c r="J802" s="7">
        <f>Table1[[#This Row],[Clicks]]/Table1[[#This Row],[Impressions]]</f>
        <v>7.8112270996343519E-2</v>
      </c>
      <c r="K802" s="7">
        <f>IFERROR(Table1[[#This Row],[Conversions]]/Table1[[#This Row],[Clicks]],0)</f>
        <v>0.12903225806451613</v>
      </c>
      <c r="L802" s="6">
        <f>IF(Table1[[#This Row],[Conversions]]=0,0,Table1[[#This Row],[Ad Spend]]/Table1[[#This Row],[Conversions]])</f>
        <v>6.6272932330827068</v>
      </c>
      <c r="M802" s="8">
        <f>IF(Table1[[#This Row],[Ad Spend]]=0,0,Table1[[#This Row],[Revenue]]/Table1[[#This Row],[Ad Spend]])</f>
        <v>13.072546884040706</v>
      </c>
      <c r="N802">
        <f>YEAR(Table1[[#This Row],[Date]])</f>
        <v>2024</v>
      </c>
      <c r="O802" t="str">
        <f>TEXT(Table1[[#This Row],[Date]],"mmm")</f>
        <v>May</v>
      </c>
      <c r="P802">
        <f>MONTH(Table1[[#This Row],[Date]])</f>
        <v>5</v>
      </c>
    </row>
    <row r="803" spans="1:16" x14ac:dyDescent="0.25">
      <c r="A803" t="s">
        <v>822</v>
      </c>
      <c r="B803" t="s">
        <v>16</v>
      </c>
      <c r="C803" t="s">
        <v>37</v>
      </c>
      <c r="D803" s="1">
        <v>45413</v>
      </c>
      <c r="E803">
        <v>35649</v>
      </c>
      <c r="F803">
        <v>459</v>
      </c>
      <c r="G803">
        <v>28</v>
      </c>
      <c r="H803" s="4">
        <v>807.07</v>
      </c>
      <c r="I803" s="4">
        <v>1289.1400000000001</v>
      </c>
      <c r="J803" s="7">
        <f>Table1[[#This Row],[Clicks]]/Table1[[#This Row],[Impressions]]</f>
        <v>1.2875536480686695E-2</v>
      </c>
      <c r="K803" s="7">
        <f>IFERROR(Table1[[#This Row],[Conversions]]/Table1[[#This Row],[Clicks]],0)</f>
        <v>6.1002178649237473E-2</v>
      </c>
      <c r="L803" s="6">
        <f>IF(Table1[[#This Row],[Conversions]]=0,0,Table1[[#This Row],[Ad Spend]]/Table1[[#This Row],[Conversions]])</f>
        <v>28.823928571428574</v>
      </c>
      <c r="M803" s="8">
        <f>IF(Table1[[#This Row],[Ad Spend]]=0,0,Table1[[#This Row],[Revenue]]/Table1[[#This Row],[Ad Spend]])</f>
        <v>1.5973087836247166</v>
      </c>
      <c r="N803">
        <f>YEAR(Table1[[#This Row],[Date]])</f>
        <v>2024</v>
      </c>
      <c r="O803" t="str">
        <f>TEXT(Table1[[#This Row],[Date]],"mmm")</f>
        <v>May</v>
      </c>
      <c r="P803">
        <f>MONTH(Table1[[#This Row],[Date]])</f>
        <v>5</v>
      </c>
    </row>
    <row r="804" spans="1:16" x14ac:dyDescent="0.25">
      <c r="A804" t="s">
        <v>823</v>
      </c>
      <c r="B804" t="s">
        <v>16</v>
      </c>
      <c r="C804" t="s">
        <v>37</v>
      </c>
      <c r="D804" s="1">
        <v>45579</v>
      </c>
      <c r="E804">
        <v>14093</v>
      </c>
      <c r="F804">
        <v>797</v>
      </c>
      <c r="G804">
        <v>117</v>
      </c>
      <c r="H804" s="4">
        <v>910.13</v>
      </c>
      <c r="I804" s="4">
        <v>7586.62</v>
      </c>
      <c r="J804" s="7">
        <f>Table1[[#This Row],[Clicks]]/Table1[[#This Row],[Impressions]]</f>
        <v>5.6552898602142909E-2</v>
      </c>
      <c r="K804" s="7">
        <f>IFERROR(Table1[[#This Row],[Conversions]]/Table1[[#This Row],[Clicks]],0)</f>
        <v>0.1468005018820577</v>
      </c>
      <c r="L804" s="6">
        <f>IF(Table1[[#This Row],[Conversions]]=0,0,Table1[[#This Row],[Ad Spend]]/Table1[[#This Row],[Conversions]])</f>
        <v>7.778888888888889</v>
      </c>
      <c r="M804" s="8">
        <f>IF(Table1[[#This Row],[Ad Spend]]=0,0,Table1[[#This Row],[Revenue]]/Table1[[#This Row],[Ad Spend]])</f>
        <v>8.335754232911782</v>
      </c>
      <c r="N804">
        <f>YEAR(Table1[[#This Row],[Date]])</f>
        <v>2024</v>
      </c>
      <c r="O804" t="str">
        <f>TEXT(Table1[[#This Row],[Date]],"mmm")</f>
        <v>Oct</v>
      </c>
      <c r="P804">
        <f>MONTH(Table1[[#This Row],[Date]])</f>
        <v>10</v>
      </c>
    </row>
    <row r="805" spans="1:16" x14ac:dyDescent="0.25">
      <c r="A805" t="s">
        <v>824</v>
      </c>
      <c r="B805" t="s">
        <v>16</v>
      </c>
      <c r="C805" t="s">
        <v>12</v>
      </c>
      <c r="D805" s="1">
        <v>45446</v>
      </c>
      <c r="E805">
        <v>36847</v>
      </c>
      <c r="F805">
        <v>2742</v>
      </c>
      <c r="G805">
        <v>199</v>
      </c>
      <c r="H805" s="4">
        <v>2597.1999999999998</v>
      </c>
      <c r="I805" s="4">
        <v>6873.14</v>
      </c>
      <c r="J805" s="7">
        <f>Table1[[#This Row],[Clicks]]/Table1[[#This Row],[Impressions]]</f>
        <v>7.4415827611474472E-2</v>
      </c>
      <c r="K805" s="7">
        <f>IFERROR(Table1[[#This Row],[Conversions]]/Table1[[#This Row],[Clicks]],0)</f>
        <v>7.257476294675419E-2</v>
      </c>
      <c r="L805" s="6">
        <f>IF(Table1[[#This Row],[Conversions]]=0,0,Table1[[#This Row],[Ad Spend]]/Table1[[#This Row],[Conversions]])</f>
        <v>13.051256281407035</v>
      </c>
      <c r="M805" s="8">
        <f>IF(Table1[[#This Row],[Ad Spend]]=0,0,Table1[[#This Row],[Revenue]]/Table1[[#This Row],[Ad Spend]])</f>
        <v>2.6463653164946868</v>
      </c>
      <c r="N805">
        <f>YEAR(Table1[[#This Row],[Date]])</f>
        <v>2024</v>
      </c>
      <c r="O805" t="str">
        <f>TEXT(Table1[[#This Row],[Date]],"mmm")</f>
        <v>Jun</v>
      </c>
      <c r="P805">
        <f>MONTH(Table1[[#This Row],[Date]])</f>
        <v>6</v>
      </c>
    </row>
    <row r="806" spans="1:16" x14ac:dyDescent="0.25">
      <c r="A806" t="s">
        <v>825</v>
      </c>
      <c r="B806" t="s">
        <v>41</v>
      </c>
      <c r="C806" t="s">
        <v>19</v>
      </c>
      <c r="D806" s="1">
        <v>45371</v>
      </c>
      <c r="E806">
        <v>6125</v>
      </c>
      <c r="F806">
        <v>477</v>
      </c>
      <c r="G806">
        <v>43</v>
      </c>
      <c r="H806" s="4">
        <v>2635.56</v>
      </c>
      <c r="I806" s="4">
        <v>3643.15</v>
      </c>
      <c r="J806" s="7">
        <f>Table1[[#This Row],[Clicks]]/Table1[[#This Row],[Impressions]]</f>
        <v>7.7877551020408164E-2</v>
      </c>
      <c r="K806" s="7">
        <f>IFERROR(Table1[[#This Row],[Conversions]]/Table1[[#This Row],[Clicks]],0)</f>
        <v>9.0146750524109018E-2</v>
      </c>
      <c r="L806" s="6">
        <f>IF(Table1[[#This Row],[Conversions]]=0,0,Table1[[#This Row],[Ad Spend]]/Table1[[#This Row],[Conversions]])</f>
        <v>61.292093023255809</v>
      </c>
      <c r="M806" s="8">
        <f>IF(Table1[[#This Row],[Ad Spend]]=0,0,Table1[[#This Row],[Revenue]]/Table1[[#This Row],[Ad Spend]])</f>
        <v>1.382305847713579</v>
      </c>
      <c r="N806">
        <f>YEAR(Table1[[#This Row],[Date]])</f>
        <v>2024</v>
      </c>
      <c r="O806" t="str">
        <f>TEXT(Table1[[#This Row],[Date]],"mmm")</f>
        <v>Mar</v>
      </c>
      <c r="P806">
        <f>MONTH(Table1[[#This Row],[Date]])</f>
        <v>3</v>
      </c>
    </row>
    <row r="807" spans="1:16" x14ac:dyDescent="0.25">
      <c r="A807" t="s">
        <v>826</v>
      </c>
      <c r="B807" t="s">
        <v>34</v>
      </c>
      <c r="C807" t="s">
        <v>17</v>
      </c>
      <c r="D807" s="1">
        <v>45440</v>
      </c>
      <c r="E807">
        <v>43557</v>
      </c>
      <c r="F807">
        <v>2873</v>
      </c>
      <c r="G807">
        <v>329</v>
      </c>
      <c r="H807" s="4">
        <v>4627</v>
      </c>
      <c r="I807" s="4">
        <v>17722.72</v>
      </c>
      <c r="J807" s="7">
        <f>Table1[[#This Row],[Clicks]]/Table1[[#This Row],[Impressions]]</f>
        <v>6.5959547259912293E-2</v>
      </c>
      <c r="K807" s="7">
        <f>IFERROR(Table1[[#This Row],[Conversions]]/Table1[[#This Row],[Clicks]],0)</f>
        <v>0.11451444483118692</v>
      </c>
      <c r="L807" s="6">
        <f>IF(Table1[[#This Row],[Conversions]]=0,0,Table1[[#This Row],[Ad Spend]]/Table1[[#This Row],[Conversions]])</f>
        <v>14.063829787234043</v>
      </c>
      <c r="M807" s="8">
        <f>IF(Table1[[#This Row],[Ad Spend]]=0,0,Table1[[#This Row],[Revenue]]/Table1[[#This Row],[Ad Spend]])</f>
        <v>3.8302831208126218</v>
      </c>
      <c r="N807">
        <f>YEAR(Table1[[#This Row],[Date]])</f>
        <v>2024</v>
      </c>
      <c r="O807" t="str">
        <f>TEXT(Table1[[#This Row],[Date]],"mmm")</f>
        <v>May</v>
      </c>
      <c r="P807">
        <f>MONTH(Table1[[#This Row],[Date]])</f>
        <v>5</v>
      </c>
    </row>
    <row r="808" spans="1:16" x14ac:dyDescent="0.25">
      <c r="A808" t="s">
        <v>827</v>
      </c>
      <c r="B808" t="s">
        <v>9</v>
      </c>
      <c r="C808" t="s">
        <v>17</v>
      </c>
      <c r="D808" s="1">
        <v>45312</v>
      </c>
      <c r="E808">
        <v>41548</v>
      </c>
      <c r="F808">
        <v>2387</v>
      </c>
      <c r="G808">
        <v>84</v>
      </c>
      <c r="H808" s="4">
        <v>319.02</v>
      </c>
      <c r="I808" s="4">
        <v>6867.18</v>
      </c>
      <c r="J808" s="7">
        <f>Table1[[#This Row],[Clicks]]/Table1[[#This Row],[Impressions]]</f>
        <v>5.7451622220082793E-2</v>
      </c>
      <c r="K808" s="7">
        <f>IFERROR(Table1[[#This Row],[Conversions]]/Table1[[#This Row],[Clicks]],0)</f>
        <v>3.519061583577713E-2</v>
      </c>
      <c r="L808" s="6">
        <f>IF(Table1[[#This Row],[Conversions]]=0,0,Table1[[#This Row],[Ad Spend]]/Table1[[#This Row],[Conversions]])</f>
        <v>3.7978571428571426</v>
      </c>
      <c r="M808" s="8">
        <f>IF(Table1[[#This Row],[Ad Spend]]=0,0,Table1[[#This Row],[Revenue]]/Table1[[#This Row],[Ad Spend]])</f>
        <v>21.52586044762084</v>
      </c>
      <c r="N808">
        <f>YEAR(Table1[[#This Row],[Date]])</f>
        <v>2024</v>
      </c>
      <c r="O808" t="str">
        <f>TEXT(Table1[[#This Row],[Date]],"mmm")</f>
        <v>Jan</v>
      </c>
      <c r="P808">
        <f>MONTH(Table1[[#This Row],[Date]])</f>
        <v>1</v>
      </c>
    </row>
    <row r="809" spans="1:16" x14ac:dyDescent="0.25">
      <c r="A809" t="s">
        <v>828</v>
      </c>
      <c r="B809" t="s">
        <v>14</v>
      </c>
      <c r="C809" t="s">
        <v>17</v>
      </c>
      <c r="D809" s="1">
        <v>45474</v>
      </c>
      <c r="E809">
        <v>29243</v>
      </c>
      <c r="F809">
        <v>960</v>
      </c>
      <c r="G809">
        <v>95</v>
      </c>
      <c r="H809" s="4">
        <v>1136.72</v>
      </c>
      <c r="I809" s="4">
        <v>6901.12</v>
      </c>
      <c r="J809" s="7">
        <f>Table1[[#This Row],[Clicks]]/Table1[[#This Row],[Impressions]]</f>
        <v>3.2828369182368429E-2</v>
      </c>
      <c r="K809" s="7">
        <f>IFERROR(Table1[[#This Row],[Conversions]]/Table1[[#This Row],[Clicks]],0)</f>
        <v>9.8958333333333329E-2</v>
      </c>
      <c r="L809" s="6">
        <f>IF(Table1[[#This Row],[Conversions]]=0,0,Table1[[#This Row],[Ad Spend]]/Table1[[#This Row],[Conversions]])</f>
        <v>11.965473684210526</v>
      </c>
      <c r="M809" s="8">
        <f>IF(Table1[[#This Row],[Ad Spend]]=0,0,Table1[[#This Row],[Revenue]]/Table1[[#This Row],[Ad Spend]])</f>
        <v>6.071081708776128</v>
      </c>
      <c r="N809">
        <f>YEAR(Table1[[#This Row],[Date]])</f>
        <v>2024</v>
      </c>
      <c r="O809" t="str">
        <f>TEXT(Table1[[#This Row],[Date]],"mmm")</f>
        <v>Jul</v>
      </c>
      <c r="P809">
        <f>MONTH(Table1[[#This Row],[Date]])</f>
        <v>7</v>
      </c>
    </row>
    <row r="810" spans="1:16" x14ac:dyDescent="0.25">
      <c r="A810" t="s">
        <v>829</v>
      </c>
      <c r="B810" t="s">
        <v>34</v>
      </c>
      <c r="C810" t="s">
        <v>37</v>
      </c>
      <c r="D810" s="1">
        <v>45303</v>
      </c>
      <c r="E810">
        <v>26912</v>
      </c>
      <c r="F810">
        <v>1283</v>
      </c>
      <c r="G810">
        <v>99</v>
      </c>
      <c r="H810" s="4">
        <v>3423.48</v>
      </c>
      <c r="I810" s="4">
        <v>2845.03</v>
      </c>
      <c r="J810" s="7">
        <f>Table1[[#This Row],[Clicks]]/Table1[[#This Row],[Impressions]]</f>
        <v>4.7673900118906064E-2</v>
      </c>
      <c r="K810" s="7">
        <f>IFERROR(Table1[[#This Row],[Conversions]]/Table1[[#This Row],[Clicks]],0)</f>
        <v>7.7162899454403744E-2</v>
      </c>
      <c r="L810" s="6">
        <f>IF(Table1[[#This Row],[Conversions]]=0,0,Table1[[#This Row],[Ad Spend]]/Table1[[#This Row],[Conversions]])</f>
        <v>34.580606060606058</v>
      </c>
      <c r="M810" s="8">
        <f>IF(Table1[[#This Row],[Ad Spend]]=0,0,Table1[[#This Row],[Revenue]]/Table1[[#This Row],[Ad Spend]])</f>
        <v>0.83103450290347836</v>
      </c>
      <c r="N810">
        <f>YEAR(Table1[[#This Row],[Date]])</f>
        <v>2024</v>
      </c>
      <c r="O810" t="str">
        <f>TEXT(Table1[[#This Row],[Date]],"mmm")</f>
        <v>Jan</v>
      </c>
      <c r="P810">
        <f>MONTH(Table1[[#This Row],[Date]])</f>
        <v>1</v>
      </c>
    </row>
    <row r="811" spans="1:16" x14ac:dyDescent="0.25">
      <c r="A811" t="s">
        <v>830</v>
      </c>
      <c r="B811" t="s">
        <v>21</v>
      </c>
      <c r="C811" t="s">
        <v>37</v>
      </c>
      <c r="D811" s="1">
        <v>45543</v>
      </c>
      <c r="E811">
        <v>88298</v>
      </c>
      <c r="F811">
        <v>4611</v>
      </c>
      <c r="G811">
        <v>398</v>
      </c>
      <c r="H811" s="4">
        <v>469.03</v>
      </c>
      <c r="I811" s="4">
        <v>34497.300000000003</v>
      </c>
      <c r="J811" s="7">
        <f>Table1[[#This Row],[Clicks]]/Table1[[#This Row],[Impressions]]</f>
        <v>5.2220888355342138E-2</v>
      </c>
      <c r="K811" s="7">
        <f>IFERROR(Table1[[#This Row],[Conversions]]/Table1[[#This Row],[Clicks]],0)</f>
        <v>8.631533289958794E-2</v>
      </c>
      <c r="L811" s="6">
        <f>IF(Table1[[#This Row],[Conversions]]=0,0,Table1[[#This Row],[Ad Spend]]/Table1[[#This Row],[Conversions]])</f>
        <v>1.1784673366834171</v>
      </c>
      <c r="M811" s="8">
        <f>IF(Table1[[#This Row],[Ad Spend]]=0,0,Table1[[#This Row],[Revenue]]/Table1[[#This Row],[Ad Spend]])</f>
        <v>73.55030595057886</v>
      </c>
      <c r="N811">
        <f>YEAR(Table1[[#This Row],[Date]])</f>
        <v>2024</v>
      </c>
      <c r="O811" t="str">
        <f>TEXT(Table1[[#This Row],[Date]],"mmm")</f>
        <v>Sept</v>
      </c>
      <c r="P811">
        <f>MONTH(Table1[[#This Row],[Date]])</f>
        <v>9</v>
      </c>
    </row>
    <row r="812" spans="1:16" x14ac:dyDescent="0.25">
      <c r="A812" t="s">
        <v>831</v>
      </c>
      <c r="B812" t="s">
        <v>21</v>
      </c>
      <c r="C812" t="s">
        <v>37</v>
      </c>
      <c r="D812" s="1">
        <v>45658</v>
      </c>
      <c r="E812">
        <v>117103</v>
      </c>
      <c r="F812">
        <v>4200</v>
      </c>
      <c r="G812">
        <v>287</v>
      </c>
      <c r="H812" s="4">
        <v>1566.32</v>
      </c>
      <c r="I812" s="4">
        <v>15823.89</v>
      </c>
      <c r="J812" s="7">
        <f>Table1[[#This Row],[Clicks]]/Table1[[#This Row],[Impressions]]</f>
        <v>3.5865861677326798E-2</v>
      </c>
      <c r="K812" s="7">
        <f>IFERROR(Table1[[#This Row],[Conversions]]/Table1[[#This Row],[Clicks]],0)</f>
        <v>6.8333333333333329E-2</v>
      </c>
      <c r="L812" s="6">
        <f>IF(Table1[[#This Row],[Conversions]]=0,0,Table1[[#This Row],[Ad Spend]]/Table1[[#This Row],[Conversions]])</f>
        <v>5.4575609756097556</v>
      </c>
      <c r="M812" s="8">
        <f>IF(Table1[[#This Row],[Ad Spend]]=0,0,Table1[[#This Row],[Revenue]]/Table1[[#This Row],[Ad Spend]])</f>
        <v>10.102590786046274</v>
      </c>
      <c r="N812">
        <f>YEAR(Table1[[#This Row],[Date]])</f>
        <v>2025</v>
      </c>
      <c r="O812" t="str">
        <f>TEXT(Table1[[#This Row],[Date]],"mmm")</f>
        <v>Jan</v>
      </c>
      <c r="P812">
        <f>MONTH(Table1[[#This Row],[Date]])</f>
        <v>1</v>
      </c>
    </row>
    <row r="813" spans="1:16" x14ac:dyDescent="0.25">
      <c r="A813" t="s">
        <v>832</v>
      </c>
      <c r="B813" t="s">
        <v>41</v>
      </c>
      <c r="C813" t="s">
        <v>12</v>
      </c>
      <c r="D813" s="1">
        <v>45336</v>
      </c>
      <c r="E813">
        <v>61543</v>
      </c>
      <c r="F813">
        <v>3751</v>
      </c>
      <c r="G813">
        <v>291</v>
      </c>
      <c r="H813" s="4">
        <v>4964.47</v>
      </c>
      <c r="I813" s="4">
        <v>29207.25</v>
      </c>
      <c r="J813" s="7">
        <f>Table1[[#This Row],[Clicks]]/Table1[[#This Row],[Impressions]]</f>
        <v>6.0949254992444309E-2</v>
      </c>
      <c r="K813" s="7">
        <f>IFERROR(Table1[[#This Row],[Conversions]]/Table1[[#This Row],[Clicks]],0)</f>
        <v>7.7579312183417751E-2</v>
      </c>
      <c r="L813" s="6">
        <f>IF(Table1[[#This Row],[Conversions]]=0,0,Table1[[#This Row],[Ad Spend]]/Table1[[#This Row],[Conversions]])</f>
        <v>17.06003436426117</v>
      </c>
      <c r="M813" s="8">
        <f>IF(Table1[[#This Row],[Ad Spend]]=0,0,Table1[[#This Row],[Revenue]]/Table1[[#This Row],[Ad Spend]])</f>
        <v>5.8832564201213824</v>
      </c>
      <c r="N813">
        <f>YEAR(Table1[[#This Row],[Date]])</f>
        <v>2024</v>
      </c>
      <c r="O813" t="str">
        <f>TEXT(Table1[[#This Row],[Date]],"mmm")</f>
        <v>Feb</v>
      </c>
      <c r="P813">
        <f>MONTH(Table1[[#This Row],[Date]])</f>
        <v>2</v>
      </c>
    </row>
    <row r="814" spans="1:16" x14ac:dyDescent="0.25">
      <c r="A814" t="s">
        <v>833</v>
      </c>
      <c r="B814" t="s">
        <v>34</v>
      </c>
      <c r="C814" t="s">
        <v>37</v>
      </c>
      <c r="D814" s="1">
        <v>45704</v>
      </c>
      <c r="E814">
        <v>116105</v>
      </c>
      <c r="F814">
        <v>7082</v>
      </c>
      <c r="G814">
        <v>522</v>
      </c>
      <c r="H814" s="4">
        <v>4210.46</v>
      </c>
      <c r="I814" s="4">
        <v>41652.239999999998</v>
      </c>
      <c r="J814" s="7">
        <f>Table1[[#This Row],[Clicks]]/Table1[[#This Row],[Impressions]]</f>
        <v>6.0996511778131861E-2</v>
      </c>
      <c r="K814" s="7">
        <f>IFERROR(Table1[[#This Row],[Conversions]]/Table1[[#This Row],[Clicks]],0)</f>
        <v>7.3707992092629196E-2</v>
      </c>
      <c r="L814" s="6">
        <f>IF(Table1[[#This Row],[Conversions]]=0,0,Table1[[#This Row],[Ad Spend]]/Table1[[#This Row],[Conversions]])</f>
        <v>8.0660153256704987</v>
      </c>
      <c r="M814" s="8">
        <f>IF(Table1[[#This Row],[Ad Spend]]=0,0,Table1[[#This Row],[Revenue]]/Table1[[#This Row],[Ad Spend]])</f>
        <v>9.8925628078642234</v>
      </c>
      <c r="N814">
        <f>YEAR(Table1[[#This Row],[Date]])</f>
        <v>2025</v>
      </c>
      <c r="O814" t="str">
        <f>TEXT(Table1[[#This Row],[Date]],"mmm")</f>
        <v>Feb</v>
      </c>
      <c r="P814">
        <f>MONTH(Table1[[#This Row],[Date]])</f>
        <v>2</v>
      </c>
    </row>
    <row r="815" spans="1:16" x14ac:dyDescent="0.25">
      <c r="A815" t="s">
        <v>834</v>
      </c>
      <c r="B815" t="s">
        <v>16</v>
      </c>
      <c r="C815" t="s">
        <v>37</v>
      </c>
      <c r="D815" s="1">
        <v>45447</v>
      </c>
      <c r="E815">
        <v>129416</v>
      </c>
      <c r="F815">
        <v>10248</v>
      </c>
      <c r="G815">
        <v>904</v>
      </c>
      <c r="H815" s="4">
        <v>1810</v>
      </c>
      <c r="I815" s="4">
        <v>102437.03</v>
      </c>
      <c r="J815" s="7">
        <f>Table1[[#This Row],[Clicks]]/Table1[[#This Row],[Impressions]]</f>
        <v>7.9186499350930334E-2</v>
      </c>
      <c r="K815" s="7">
        <f>IFERROR(Table1[[#This Row],[Conversions]]/Table1[[#This Row],[Clicks]],0)</f>
        <v>8.8212334113973459E-2</v>
      </c>
      <c r="L815" s="6">
        <f>IF(Table1[[#This Row],[Conversions]]=0,0,Table1[[#This Row],[Ad Spend]]/Table1[[#This Row],[Conversions]])</f>
        <v>2.002212389380531</v>
      </c>
      <c r="M815" s="8">
        <f>IF(Table1[[#This Row],[Ad Spend]]=0,0,Table1[[#This Row],[Revenue]]/Table1[[#This Row],[Ad Spend]])</f>
        <v>56.595044198895025</v>
      </c>
      <c r="N815">
        <f>YEAR(Table1[[#This Row],[Date]])</f>
        <v>2024</v>
      </c>
      <c r="O815" t="str">
        <f>TEXT(Table1[[#This Row],[Date]],"mmm")</f>
        <v>Jun</v>
      </c>
      <c r="P815">
        <f>MONTH(Table1[[#This Row],[Date]])</f>
        <v>6</v>
      </c>
    </row>
    <row r="816" spans="1:16" x14ac:dyDescent="0.25">
      <c r="A816" t="s">
        <v>835</v>
      </c>
      <c r="B816" t="s">
        <v>21</v>
      </c>
      <c r="C816" t="s">
        <v>10</v>
      </c>
      <c r="D816" s="1">
        <v>45295</v>
      </c>
      <c r="E816">
        <v>112337</v>
      </c>
      <c r="F816">
        <v>6146</v>
      </c>
      <c r="G816">
        <v>341</v>
      </c>
      <c r="H816" s="4">
        <v>1039.49</v>
      </c>
      <c r="I816" s="4">
        <v>22578.29</v>
      </c>
      <c r="J816" s="7">
        <f>Table1[[#This Row],[Clicks]]/Table1[[#This Row],[Impressions]]</f>
        <v>5.4710380373340931E-2</v>
      </c>
      <c r="K816" s="7">
        <f>IFERROR(Table1[[#This Row],[Conversions]]/Table1[[#This Row],[Clicks]],0)</f>
        <v>5.5483241132443864E-2</v>
      </c>
      <c r="L816" s="6">
        <f>IF(Table1[[#This Row],[Conversions]]=0,0,Table1[[#This Row],[Ad Spend]]/Table1[[#This Row],[Conversions]])</f>
        <v>3.0483577712609971</v>
      </c>
      <c r="M816" s="8">
        <f>IF(Table1[[#This Row],[Ad Spend]]=0,0,Table1[[#This Row],[Revenue]]/Table1[[#This Row],[Ad Spend]])</f>
        <v>21.720545652194826</v>
      </c>
      <c r="N816">
        <f>YEAR(Table1[[#This Row],[Date]])</f>
        <v>2024</v>
      </c>
      <c r="O816" t="str">
        <f>TEXT(Table1[[#This Row],[Date]],"mmm")</f>
        <v>Jan</v>
      </c>
      <c r="P816">
        <f>MONTH(Table1[[#This Row],[Date]])</f>
        <v>1</v>
      </c>
    </row>
    <row r="817" spans="1:16" x14ac:dyDescent="0.25">
      <c r="A817" t="s">
        <v>836</v>
      </c>
      <c r="B817" t="s">
        <v>16</v>
      </c>
      <c r="C817" t="s">
        <v>37</v>
      </c>
      <c r="D817" s="1">
        <v>45387</v>
      </c>
      <c r="E817">
        <v>105078</v>
      </c>
      <c r="F817">
        <v>3179</v>
      </c>
      <c r="G817">
        <v>266</v>
      </c>
      <c r="H817" s="4">
        <v>4149.4399999999996</v>
      </c>
      <c r="I817" s="4">
        <v>13353.01</v>
      </c>
      <c r="J817" s="7">
        <f>Table1[[#This Row],[Clicks]]/Table1[[#This Row],[Impressions]]</f>
        <v>3.0253716286948742E-2</v>
      </c>
      <c r="K817" s="7">
        <f>IFERROR(Table1[[#This Row],[Conversions]]/Table1[[#This Row],[Clicks]],0)</f>
        <v>8.3674111355772254E-2</v>
      </c>
      <c r="L817" s="6">
        <f>IF(Table1[[#This Row],[Conversions]]=0,0,Table1[[#This Row],[Ad Spend]]/Table1[[#This Row],[Conversions]])</f>
        <v>15.5993984962406</v>
      </c>
      <c r="M817" s="8">
        <f>IF(Table1[[#This Row],[Ad Spend]]=0,0,Table1[[#This Row],[Revenue]]/Table1[[#This Row],[Ad Spend]])</f>
        <v>3.2180270108737568</v>
      </c>
      <c r="N817">
        <f>YEAR(Table1[[#This Row],[Date]])</f>
        <v>2024</v>
      </c>
      <c r="O817" t="str">
        <f>TEXT(Table1[[#This Row],[Date]],"mmm")</f>
        <v>Apr</v>
      </c>
      <c r="P817">
        <f>MONTH(Table1[[#This Row],[Date]])</f>
        <v>4</v>
      </c>
    </row>
    <row r="818" spans="1:16" x14ac:dyDescent="0.25">
      <c r="A818" t="s">
        <v>837</v>
      </c>
      <c r="B818" t="s">
        <v>34</v>
      </c>
      <c r="C818" t="s">
        <v>17</v>
      </c>
      <c r="D818" s="1">
        <v>45578</v>
      </c>
      <c r="E818">
        <v>126491</v>
      </c>
      <c r="F818">
        <v>3252</v>
      </c>
      <c r="G818">
        <v>399</v>
      </c>
      <c r="H818" s="4">
        <v>939.32</v>
      </c>
      <c r="I818" s="4">
        <v>19956.759999999998</v>
      </c>
      <c r="J818" s="7">
        <f>Table1[[#This Row],[Clicks]]/Table1[[#This Row],[Impressions]]</f>
        <v>2.5709339004356041E-2</v>
      </c>
      <c r="K818" s="7">
        <f>IFERROR(Table1[[#This Row],[Conversions]]/Table1[[#This Row],[Clicks]],0)</f>
        <v>0.12269372693726938</v>
      </c>
      <c r="L818" s="6">
        <f>IF(Table1[[#This Row],[Conversions]]=0,0,Table1[[#This Row],[Ad Spend]]/Table1[[#This Row],[Conversions]])</f>
        <v>2.3541854636591482</v>
      </c>
      <c r="M818" s="8">
        <f>IF(Table1[[#This Row],[Ad Spend]]=0,0,Table1[[#This Row],[Revenue]]/Table1[[#This Row],[Ad Spend]])</f>
        <v>21.245965166290507</v>
      </c>
      <c r="N818">
        <f>YEAR(Table1[[#This Row],[Date]])</f>
        <v>2024</v>
      </c>
      <c r="O818" t="str">
        <f>TEXT(Table1[[#This Row],[Date]],"mmm")</f>
        <v>Oct</v>
      </c>
      <c r="P818">
        <f>MONTH(Table1[[#This Row],[Date]])</f>
        <v>10</v>
      </c>
    </row>
    <row r="819" spans="1:16" x14ac:dyDescent="0.25">
      <c r="A819" t="s">
        <v>838</v>
      </c>
      <c r="B819" t="s">
        <v>41</v>
      </c>
      <c r="C819" t="s">
        <v>10</v>
      </c>
      <c r="D819" s="1">
        <v>45626</v>
      </c>
      <c r="E819">
        <v>80415</v>
      </c>
      <c r="F819">
        <v>3152</v>
      </c>
      <c r="G819">
        <v>264</v>
      </c>
      <c r="H819" s="4">
        <v>3501.65</v>
      </c>
      <c r="I819" s="4">
        <v>11741.41</v>
      </c>
      <c r="J819" s="7">
        <f>Table1[[#This Row],[Clicks]]/Table1[[#This Row],[Impressions]]</f>
        <v>3.9196667288441213E-2</v>
      </c>
      <c r="K819" s="7">
        <f>IFERROR(Table1[[#This Row],[Conversions]]/Table1[[#This Row],[Clicks]],0)</f>
        <v>8.3756345177664976E-2</v>
      </c>
      <c r="L819" s="6">
        <f>IF(Table1[[#This Row],[Conversions]]=0,0,Table1[[#This Row],[Ad Spend]]/Table1[[#This Row],[Conversions]])</f>
        <v>13.263825757575757</v>
      </c>
      <c r="M819" s="8">
        <f>IF(Table1[[#This Row],[Ad Spend]]=0,0,Table1[[#This Row],[Revenue]]/Table1[[#This Row],[Ad Spend]])</f>
        <v>3.3531078205988605</v>
      </c>
      <c r="N819">
        <f>YEAR(Table1[[#This Row],[Date]])</f>
        <v>2024</v>
      </c>
      <c r="O819" t="str">
        <f>TEXT(Table1[[#This Row],[Date]],"mmm")</f>
        <v>Nov</v>
      </c>
      <c r="P819">
        <f>MONTH(Table1[[#This Row],[Date]])</f>
        <v>11</v>
      </c>
    </row>
    <row r="820" spans="1:16" x14ac:dyDescent="0.25">
      <c r="A820" t="s">
        <v>839</v>
      </c>
      <c r="B820" t="s">
        <v>9</v>
      </c>
      <c r="C820" t="s">
        <v>19</v>
      </c>
      <c r="D820" s="1">
        <v>45544</v>
      </c>
      <c r="E820">
        <v>22491</v>
      </c>
      <c r="F820">
        <v>1167</v>
      </c>
      <c r="G820">
        <v>78</v>
      </c>
      <c r="H820" s="4">
        <v>2506.33</v>
      </c>
      <c r="I820" s="4">
        <v>4961.33</v>
      </c>
      <c r="J820" s="7">
        <f>Table1[[#This Row],[Clicks]]/Table1[[#This Row],[Impressions]]</f>
        <v>5.1887421635320792E-2</v>
      </c>
      <c r="K820" s="7">
        <f>IFERROR(Table1[[#This Row],[Conversions]]/Table1[[#This Row],[Clicks]],0)</f>
        <v>6.6838046272493568E-2</v>
      </c>
      <c r="L820" s="6">
        <f>IF(Table1[[#This Row],[Conversions]]=0,0,Table1[[#This Row],[Ad Spend]]/Table1[[#This Row],[Conversions]])</f>
        <v>32.132435897435897</v>
      </c>
      <c r="M820" s="8">
        <f>IF(Table1[[#This Row],[Ad Spend]]=0,0,Table1[[#This Row],[Revenue]]/Table1[[#This Row],[Ad Spend]])</f>
        <v>1.9795198557253035</v>
      </c>
      <c r="N820">
        <f>YEAR(Table1[[#This Row],[Date]])</f>
        <v>2024</v>
      </c>
      <c r="O820" t="str">
        <f>TEXT(Table1[[#This Row],[Date]],"mmm")</f>
        <v>Sept</v>
      </c>
      <c r="P820">
        <f>MONTH(Table1[[#This Row],[Date]])</f>
        <v>9</v>
      </c>
    </row>
    <row r="821" spans="1:16" x14ac:dyDescent="0.25">
      <c r="A821" t="s">
        <v>840</v>
      </c>
      <c r="B821" t="s">
        <v>34</v>
      </c>
      <c r="C821" t="s">
        <v>17</v>
      </c>
      <c r="D821" s="1">
        <v>45647</v>
      </c>
      <c r="E821">
        <v>36348</v>
      </c>
      <c r="F821">
        <v>1313</v>
      </c>
      <c r="G821">
        <v>151</v>
      </c>
      <c r="H821" s="4">
        <v>284.22000000000003</v>
      </c>
      <c r="I821" s="4">
        <v>6939.01</v>
      </c>
      <c r="J821" s="7">
        <f>Table1[[#This Row],[Clicks]]/Table1[[#This Row],[Impressions]]</f>
        <v>3.6123032904148783E-2</v>
      </c>
      <c r="K821" s="7">
        <f>IFERROR(Table1[[#This Row],[Conversions]]/Table1[[#This Row],[Clicks]],0)</f>
        <v>0.115003808073115</v>
      </c>
      <c r="L821" s="6">
        <f>IF(Table1[[#This Row],[Conversions]]=0,0,Table1[[#This Row],[Ad Spend]]/Table1[[#This Row],[Conversions]])</f>
        <v>1.8822516556291393</v>
      </c>
      <c r="M821" s="8">
        <f>IF(Table1[[#This Row],[Ad Spend]]=0,0,Table1[[#This Row],[Revenue]]/Table1[[#This Row],[Ad Spend]])</f>
        <v>24.414221377805923</v>
      </c>
      <c r="N821">
        <f>YEAR(Table1[[#This Row],[Date]])</f>
        <v>2024</v>
      </c>
      <c r="O821" t="str">
        <f>TEXT(Table1[[#This Row],[Date]],"mmm")</f>
        <v>Dec</v>
      </c>
      <c r="P821">
        <f>MONTH(Table1[[#This Row],[Date]])</f>
        <v>12</v>
      </c>
    </row>
    <row r="822" spans="1:16" x14ac:dyDescent="0.25">
      <c r="A822" t="s">
        <v>841</v>
      </c>
      <c r="B822" t="s">
        <v>31</v>
      </c>
      <c r="C822" t="s">
        <v>37</v>
      </c>
      <c r="D822" s="1">
        <v>45455</v>
      </c>
      <c r="E822">
        <v>125859</v>
      </c>
      <c r="F822">
        <v>8996</v>
      </c>
      <c r="G822">
        <v>338</v>
      </c>
      <c r="H822" s="4">
        <v>983.88</v>
      </c>
      <c r="I822" s="4">
        <v>15976.26</v>
      </c>
      <c r="J822" s="7">
        <f>Table1[[#This Row],[Clicks]]/Table1[[#This Row],[Impressions]]</f>
        <v>7.1476811352386399E-2</v>
      </c>
      <c r="K822" s="7">
        <f>IFERROR(Table1[[#This Row],[Conversions]]/Table1[[#This Row],[Clicks]],0)</f>
        <v>3.7572254335260118E-2</v>
      </c>
      <c r="L822" s="6">
        <f>IF(Table1[[#This Row],[Conversions]]=0,0,Table1[[#This Row],[Ad Spend]]/Table1[[#This Row],[Conversions]])</f>
        <v>2.910887573964497</v>
      </c>
      <c r="M822" s="8">
        <f>IF(Table1[[#This Row],[Ad Spend]]=0,0,Table1[[#This Row],[Revenue]]/Table1[[#This Row],[Ad Spend]])</f>
        <v>16.238016831320895</v>
      </c>
      <c r="N822">
        <f>YEAR(Table1[[#This Row],[Date]])</f>
        <v>2024</v>
      </c>
      <c r="O822" t="str">
        <f>TEXT(Table1[[#This Row],[Date]],"mmm")</f>
        <v>Jun</v>
      </c>
      <c r="P822">
        <f>MONTH(Table1[[#This Row],[Date]])</f>
        <v>6</v>
      </c>
    </row>
    <row r="823" spans="1:16" x14ac:dyDescent="0.25">
      <c r="A823" t="s">
        <v>842</v>
      </c>
      <c r="B823" t="s">
        <v>21</v>
      </c>
      <c r="C823" t="s">
        <v>19</v>
      </c>
      <c r="D823" s="1">
        <v>45316</v>
      </c>
      <c r="E823">
        <v>80984</v>
      </c>
      <c r="F823">
        <v>2463</v>
      </c>
      <c r="G823">
        <v>253</v>
      </c>
      <c r="H823" s="4">
        <v>568.77</v>
      </c>
      <c r="I823" s="4">
        <v>9963.52</v>
      </c>
      <c r="J823" s="7">
        <f>Table1[[#This Row],[Clicks]]/Table1[[#This Row],[Impressions]]</f>
        <v>3.0413414995554677E-2</v>
      </c>
      <c r="K823" s="7">
        <f>IFERROR(Table1[[#This Row],[Conversions]]/Table1[[#This Row],[Clicks]],0)</f>
        <v>0.1027202598457166</v>
      </c>
      <c r="L823" s="6">
        <f>IF(Table1[[#This Row],[Conversions]]=0,0,Table1[[#This Row],[Ad Spend]]/Table1[[#This Row],[Conversions]])</f>
        <v>2.2481027667984188</v>
      </c>
      <c r="M823" s="8">
        <f>IF(Table1[[#This Row],[Ad Spend]]=0,0,Table1[[#This Row],[Revenue]]/Table1[[#This Row],[Ad Spend]])</f>
        <v>17.51766091741829</v>
      </c>
      <c r="N823">
        <f>YEAR(Table1[[#This Row],[Date]])</f>
        <v>2024</v>
      </c>
      <c r="O823" t="str">
        <f>TEXT(Table1[[#This Row],[Date]],"mmm")</f>
        <v>Jan</v>
      </c>
      <c r="P823">
        <f>MONTH(Table1[[#This Row],[Date]])</f>
        <v>1</v>
      </c>
    </row>
    <row r="824" spans="1:16" x14ac:dyDescent="0.25">
      <c r="A824" t="s">
        <v>843</v>
      </c>
      <c r="B824" t="s">
        <v>16</v>
      </c>
      <c r="C824" t="s">
        <v>10</v>
      </c>
      <c r="D824" s="1">
        <v>45598</v>
      </c>
      <c r="E824">
        <v>48813</v>
      </c>
      <c r="F824">
        <v>2345</v>
      </c>
      <c r="G824">
        <v>312</v>
      </c>
      <c r="H824" s="4">
        <v>4168.75</v>
      </c>
      <c r="I824" s="4">
        <v>27610.98</v>
      </c>
      <c r="J824" s="7">
        <f>Table1[[#This Row],[Clicks]]/Table1[[#This Row],[Impressions]]</f>
        <v>4.8040481019400567E-2</v>
      </c>
      <c r="K824" s="7">
        <f>IFERROR(Table1[[#This Row],[Conversions]]/Table1[[#This Row],[Clicks]],0)</f>
        <v>0.13304904051172708</v>
      </c>
      <c r="L824" s="6">
        <f>IF(Table1[[#This Row],[Conversions]]=0,0,Table1[[#This Row],[Ad Spend]]/Table1[[#This Row],[Conversions]])</f>
        <v>13.361378205128204</v>
      </c>
      <c r="M824" s="8">
        <f>IF(Table1[[#This Row],[Ad Spend]]=0,0,Table1[[#This Row],[Revenue]]/Table1[[#This Row],[Ad Spend]])</f>
        <v>6.6233235382308848</v>
      </c>
      <c r="N824">
        <f>YEAR(Table1[[#This Row],[Date]])</f>
        <v>2024</v>
      </c>
      <c r="O824" t="str">
        <f>TEXT(Table1[[#This Row],[Date]],"mmm")</f>
        <v>Nov</v>
      </c>
      <c r="P824">
        <f>MONTH(Table1[[#This Row],[Date]])</f>
        <v>11</v>
      </c>
    </row>
    <row r="825" spans="1:16" x14ac:dyDescent="0.25">
      <c r="A825" t="s">
        <v>844</v>
      </c>
      <c r="B825" t="s">
        <v>34</v>
      </c>
      <c r="C825" t="s">
        <v>19</v>
      </c>
      <c r="D825" s="1">
        <v>45642</v>
      </c>
      <c r="E825">
        <v>100033</v>
      </c>
      <c r="F825">
        <v>1671</v>
      </c>
      <c r="G825">
        <v>159</v>
      </c>
      <c r="H825" s="4">
        <v>4151.91</v>
      </c>
      <c r="I825" s="4">
        <v>3385.07</v>
      </c>
      <c r="J825" s="7">
        <f>Table1[[#This Row],[Clicks]]/Table1[[#This Row],[Impressions]]</f>
        <v>1.670448751911869E-2</v>
      </c>
      <c r="K825" s="7">
        <f>IFERROR(Table1[[#This Row],[Conversions]]/Table1[[#This Row],[Clicks]],0)</f>
        <v>9.515260323159784E-2</v>
      </c>
      <c r="L825" s="6">
        <f>IF(Table1[[#This Row],[Conversions]]=0,0,Table1[[#This Row],[Ad Spend]]/Table1[[#This Row],[Conversions]])</f>
        <v>26.11264150943396</v>
      </c>
      <c r="M825" s="8">
        <f>IF(Table1[[#This Row],[Ad Spend]]=0,0,Table1[[#This Row],[Revenue]]/Table1[[#This Row],[Ad Spend]])</f>
        <v>0.81530428164387003</v>
      </c>
      <c r="N825">
        <f>YEAR(Table1[[#This Row],[Date]])</f>
        <v>2024</v>
      </c>
      <c r="O825" t="str">
        <f>TEXT(Table1[[#This Row],[Date]],"mmm")</f>
        <v>Dec</v>
      </c>
      <c r="P825">
        <f>MONTH(Table1[[#This Row],[Date]])</f>
        <v>12</v>
      </c>
    </row>
    <row r="826" spans="1:16" x14ac:dyDescent="0.25">
      <c r="A826" t="s">
        <v>845</v>
      </c>
      <c r="B826" t="s">
        <v>34</v>
      </c>
      <c r="C826" t="s">
        <v>19</v>
      </c>
      <c r="D826" s="1">
        <v>45690</v>
      </c>
      <c r="E826">
        <v>132113</v>
      </c>
      <c r="F826">
        <v>5131</v>
      </c>
      <c r="G826">
        <v>716</v>
      </c>
      <c r="H826" s="4">
        <v>982.54</v>
      </c>
      <c r="I826" s="4">
        <v>29919.94</v>
      </c>
      <c r="J826" s="7">
        <f>Table1[[#This Row],[Clicks]]/Table1[[#This Row],[Impressions]]</f>
        <v>3.8837964469809937E-2</v>
      </c>
      <c r="K826" s="7">
        <f>IFERROR(Table1[[#This Row],[Conversions]]/Table1[[#This Row],[Clicks]],0)</f>
        <v>0.13954394854804131</v>
      </c>
      <c r="L826" s="6">
        <f>IF(Table1[[#This Row],[Conversions]]=0,0,Table1[[#This Row],[Ad Spend]]/Table1[[#This Row],[Conversions]])</f>
        <v>1.3722625698324022</v>
      </c>
      <c r="M826" s="8">
        <f>IF(Table1[[#This Row],[Ad Spend]]=0,0,Table1[[#This Row],[Revenue]]/Table1[[#This Row],[Ad Spend]])</f>
        <v>30.451625379119424</v>
      </c>
      <c r="N826">
        <f>YEAR(Table1[[#This Row],[Date]])</f>
        <v>2025</v>
      </c>
      <c r="O826" t="str">
        <f>TEXT(Table1[[#This Row],[Date]],"mmm")</f>
        <v>Feb</v>
      </c>
      <c r="P826">
        <f>MONTH(Table1[[#This Row],[Date]])</f>
        <v>2</v>
      </c>
    </row>
    <row r="827" spans="1:16" x14ac:dyDescent="0.25">
      <c r="A827" t="s">
        <v>846</v>
      </c>
      <c r="B827" t="s">
        <v>14</v>
      </c>
      <c r="C827" t="s">
        <v>37</v>
      </c>
      <c r="D827" s="1">
        <v>45699</v>
      </c>
      <c r="E827">
        <v>142796</v>
      </c>
      <c r="F827">
        <v>9885</v>
      </c>
      <c r="G827">
        <v>1113</v>
      </c>
      <c r="H827" s="4">
        <v>3570.87</v>
      </c>
      <c r="I827" s="4">
        <v>111587.19</v>
      </c>
      <c r="J827" s="7">
        <f>Table1[[#This Row],[Clicks]]/Table1[[#This Row],[Impressions]]</f>
        <v>6.9224628140844277E-2</v>
      </c>
      <c r="K827" s="7">
        <f>IFERROR(Table1[[#This Row],[Conversions]]/Table1[[#This Row],[Clicks]],0)</f>
        <v>0.1125948406676783</v>
      </c>
      <c r="L827" s="6">
        <f>IF(Table1[[#This Row],[Conversions]]=0,0,Table1[[#This Row],[Ad Spend]]/Table1[[#This Row],[Conversions]])</f>
        <v>3.2083288409703501</v>
      </c>
      <c r="M827" s="8">
        <f>IF(Table1[[#This Row],[Ad Spend]]=0,0,Table1[[#This Row],[Revenue]]/Table1[[#This Row],[Ad Spend]])</f>
        <v>31.249300590612375</v>
      </c>
      <c r="N827">
        <f>YEAR(Table1[[#This Row],[Date]])</f>
        <v>2025</v>
      </c>
      <c r="O827" t="str">
        <f>TEXT(Table1[[#This Row],[Date]],"mmm")</f>
        <v>Feb</v>
      </c>
      <c r="P827">
        <f>MONTH(Table1[[#This Row],[Date]])</f>
        <v>2</v>
      </c>
    </row>
    <row r="828" spans="1:16" x14ac:dyDescent="0.25">
      <c r="A828" t="s">
        <v>847</v>
      </c>
      <c r="B828" t="s">
        <v>21</v>
      </c>
      <c r="C828" t="s">
        <v>17</v>
      </c>
      <c r="D828" s="1">
        <v>45331</v>
      </c>
      <c r="E828">
        <v>35556</v>
      </c>
      <c r="F828">
        <v>2393</v>
      </c>
      <c r="G828">
        <v>335</v>
      </c>
      <c r="H828" s="4">
        <v>2501.69</v>
      </c>
      <c r="I828" s="4">
        <v>17137.71</v>
      </c>
      <c r="J828" s="7">
        <f>Table1[[#This Row],[Clicks]]/Table1[[#This Row],[Impressions]]</f>
        <v>6.7302283721453485E-2</v>
      </c>
      <c r="K828" s="7">
        <f>IFERROR(Table1[[#This Row],[Conversions]]/Table1[[#This Row],[Clicks]],0)</f>
        <v>0.13999164229001254</v>
      </c>
      <c r="L828" s="6">
        <f>IF(Table1[[#This Row],[Conversions]]=0,0,Table1[[#This Row],[Ad Spend]]/Table1[[#This Row],[Conversions]])</f>
        <v>7.4677313432835826</v>
      </c>
      <c r="M828" s="8">
        <f>IF(Table1[[#This Row],[Ad Spend]]=0,0,Table1[[#This Row],[Revenue]]/Table1[[#This Row],[Ad Spend]])</f>
        <v>6.8504530937086523</v>
      </c>
      <c r="N828">
        <f>YEAR(Table1[[#This Row],[Date]])</f>
        <v>2024</v>
      </c>
      <c r="O828" t="str">
        <f>TEXT(Table1[[#This Row],[Date]],"mmm")</f>
        <v>Feb</v>
      </c>
      <c r="P828">
        <f>MONTH(Table1[[#This Row],[Date]])</f>
        <v>2</v>
      </c>
    </row>
    <row r="829" spans="1:16" x14ac:dyDescent="0.25">
      <c r="A829" t="s">
        <v>848</v>
      </c>
      <c r="B829" t="s">
        <v>47</v>
      </c>
      <c r="C829" t="s">
        <v>37</v>
      </c>
      <c r="D829" s="1">
        <v>45710</v>
      </c>
      <c r="E829">
        <v>120851</v>
      </c>
      <c r="F829">
        <v>8735</v>
      </c>
      <c r="G829">
        <v>853</v>
      </c>
      <c r="H829" s="4">
        <v>3865.23</v>
      </c>
      <c r="I829" s="4">
        <v>46236.45</v>
      </c>
      <c r="J829" s="7">
        <f>Table1[[#This Row],[Clicks]]/Table1[[#This Row],[Impressions]]</f>
        <v>7.2279087471349021E-2</v>
      </c>
      <c r="K829" s="7">
        <f>IFERROR(Table1[[#This Row],[Conversions]]/Table1[[#This Row],[Clicks]],0)</f>
        <v>9.7653119633657692E-2</v>
      </c>
      <c r="L829" s="6">
        <f>IF(Table1[[#This Row],[Conversions]]=0,0,Table1[[#This Row],[Ad Spend]]/Table1[[#This Row],[Conversions]])</f>
        <v>4.5313364595545131</v>
      </c>
      <c r="M829" s="8">
        <f>IF(Table1[[#This Row],[Ad Spend]]=0,0,Table1[[#This Row],[Revenue]]/Table1[[#This Row],[Ad Spend]])</f>
        <v>11.962147142602122</v>
      </c>
      <c r="N829">
        <f>YEAR(Table1[[#This Row],[Date]])</f>
        <v>2025</v>
      </c>
      <c r="O829" t="str">
        <f>TEXT(Table1[[#This Row],[Date]],"mmm")</f>
        <v>Feb</v>
      </c>
      <c r="P829">
        <f>MONTH(Table1[[#This Row],[Date]])</f>
        <v>2</v>
      </c>
    </row>
    <row r="830" spans="1:16" x14ac:dyDescent="0.25">
      <c r="A830" t="s">
        <v>849</v>
      </c>
      <c r="B830" t="s">
        <v>34</v>
      </c>
      <c r="C830" t="s">
        <v>10</v>
      </c>
      <c r="D830" s="1">
        <v>45673</v>
      </c>
      <c r="E830">
        <v>36089</v>
      </c>
      <c r="F830">
        <v>922</v>
      </c>
      <c r="G830">
        <v>121</v>
      </c>
      <c r="H830" s="4">
        <v>883.32</v>
      </c>
      <c r="I830" s="4">
        <v>5161.55</v>
      </c>
      <c r="J830" s="7">
        <f>Table1[[#This Row],[Clicks]]/Table1[[#This Row],[Impressions]]</f>
        <v>2.554795089916595E-2</v>
      </c>
      <c r="K830" s="7">
        <f>IFERROR(Table1[[#This Row],[Conversions]]/Table1[[#This Row],[Clicks]],0)</f>
        <v>0.13123644251626898</v>
      </c>
      <c r="L830" s="6">
        <f>IF(Table1[[#This Row],[Conversions]]=0,0,Table1[[#This Row],[Ad Spend]]/Table1[[#This Row],[Conversions]])</f>
        <v>7.3001652892561983</v>
      </c>
      <c r="M830" s="8">
        <f>IF(Table1[[#This Row],[Ad Spend]]=0,0,Table1[[#This Row],[Revenue]]/Table1[[#This Row],[Ad Spend]])</f>
        <v>5.8433523524883393</v>
      </c>
      <c r="N830">
        <f>YEAR(Table1[[#This Row],[Date]])</f>
        <v>2025</v>
      </c>
      <c r="O830" t="str">
        <f>TEXT(Table1[[#This Row],[Date]],"mmm")</f>
        <v>Jan</v>
      </c>
      <c r="P830">
        <f>MONTH(Table1[[#This Row],[Date]])</f>
        <v>1</v>
      </c>
    </row>
    <row r="831" spans="1:16" x14ac:dyDescent="0.25">
      <c r="A831" t="s">
        <v>850</v>
      </c>
      <c r="B831" t="s">
        <v>16</v>
      </c>
      <c r="C831" t="s">
        <v>37</v>
      </c>
      <c r="D831" s="1">
        <v>45358</v>
      </c>
      <c r="E831">
        <v>25605</v>
      </c>
      <c r="F831">
        <v>1017</v>
      </c>
      <c r="G831">
        <v>121</v>
      </c>
      <c r="H831" s="4">
        <v>736.27</v>
      </c>
      <c r="I831" s="4">
        <v>2647.56</v>
      </c>
      <c r="J831" s="7">
        <f>Table1[[#This Row],[Clicks]]/Table1[[#This Row],[Impressions]]</f>
        <v>3.9718804920913883E-2</v>
      </c>
      <c r="K831" s="7">
        <f>IFERROR(Table1[[#This Row],[Conversions]]/Table1[[#This Row],[Clicks]],0)</f>
        <v>0.11897738446411013</v>
      </c>
      <c r="L831" s="6">
        <f>IF(Table1[[#This Row],[Conversions]]=0,0,Table1[[#This Row],[Ad Spend]]/Table1[[#This Row],[Conversions]])</f>
        <v>6.0848760330578511</v>
      </c>
      <c r="M831" s="8">
        <f>IF(Table1[[#This Row],[Ad Spend]]=0,0,Table1[[#This Row],[Revenue]]/Table1[[#This Row],[Ad Spend]])</f>
        <v>3.5959091094299644</v>
      </c>
      <c r="N831">
        <f>YEAR(Table1[[#This Row],[Date]])</f>
        <v>2024</v>
      </c>
      <c r="O831" t="str">
        <f>TEXT(Table1[[#This Row],[Date]],"mmm")</f>
        <v>Mar</v>
      </c>
      <c r="P831">
        <f>MONTH(Table1[[#This Row],[Date]])</f>
        <v>3</v>
      </c>
    </row>
    <row r="832" spans="1:16" x14ac:dyDescent="0.25">
      <c r="A832" t="s">
        <v>851</v>
      </c>
      <c r="B832" t="s">
        <v>41</v>
      </c>
      <c r="C832" t="s">
        <v>17</v>
      </c>
      <c r="D832" s="1">
        <v>45313</v>
      </c>
      <c r="E832">
        <v>56472</v>
      </c>
      <c r="F832">
        <v>990</v>
      </c>
      <c r="G832">
        <v>121</v>
      </c>
      <c r="H832" s="4">
        <v>2664.7</v>
      </c>
      <c r="I832" s="4">
        <v>3137.11</v>
      </c>
      <c r="J832" s="7">
        <f>Table1[[#This Row],[Clicks]]/Table1[[#This Row],[Impressions]]</f>
        <v>1.7530811729706757E-2</v>
      </c>
      <c r="K832" s="7">
        <f>IFERROR(Table1[[#This Row],[Conversions]]/Table1[[#This Row],[Clicks]],0)</f>
        <v>0.12222222222222222</v>
      </c>
      <c r="L832" s="6">
        <f>IF(Table1[[#This Row],[Conversions]]=0,0,Table1[[#This Row],[Ad Spend]]/Table1[[#This Row],[Conversions]])</f>
        <v>22.022314049586775</v>
      </c>
      <c r="M832" s="8">
        <f>IF(Table1[[#This Row],[Ad Spend]]=0,0,Table1[[#This Row],[Revenue]]/Table1[[#This Row],[Ad Spend]])</f>
        <v>1.1772844973167713</v>
      </c>
      <c r="N832">
        <f>YEAR(Table1[[#This Row],[Date]])</f>
        <v>2024</v>
      </c>
      <c r="O832" t="str">
        <f>TEXT(Table1[[#This Row],[Date]],"mmm")</f>
        <v>Jan</v>
      </c>
      <c r="P832">
        <f>MONTH(Table1[[#This Row],[Date]])</f>
        <v>1</v>
      </c>
    </row>
    <row r="833" spans="1:16" x14ac:dyDescent="0.25">
      <c r="A833" t="s">
        <v>852</v>
      </c>
      <c r="B833" t="s">
        <v>9</v>
      </c>
      <c r="C833" t="s">
        <v>19</v>
      </c>
      <c r="D833" s="1">
        <v>45314</v>
      </c>
      <c r="E833">
        <v>22366</v>
      </c>
      <c r="F833">
        <v>695</v>
      </c>
      <c r="G833">
        <v>14</v>
      </c>
      <c r="H833" s="4">
        <v>663.22</v>
      </c>
      <c r="I833" s="4">
        <v>453.31</v>
      </c>
      <c r="J833" s="7">
        <f>Table1[[#This Row],[Clicks]]/Table1[[#This Row],[Impressions]]</f>
        <v>3.107395153357775E-2</v>
      </c>
      <c r="K833" s="7">
        <f>IFERROR(Table1[[#This Row],[Conversions]]/Table1[[#This Row],[Clicks]],0)</f>
        <v>2.0143884892086329E-2</v>
      </c>
      <c r="L833" s="6">
        <f>IF(Table1[[#This Row],[Conversions]]=0,0,Table1[[#This Row],[Ad Spend]]/Table1[[#This Row],[Conversions]])</f>
        <v>47.372857142857143</v>
      </c>
      <c r="M833" s="8">
        <f>IF(Table1[[#This Row],[Ad Spend]]=0,0,Table1[[#This Row],[Revenue]]/Table1[[#This Row],[Ad Spend]])</f>
        <v>0.68349868821808746</v>
      </c>
      <c r="N833">
        <f>YEAR(Table1[[#This Row],[Date]])</f>
        <v>2024</v>
      </c>
      <c r="O833" t="str">
        <f>TEXT(Table1[[#This Row],[Date]],"mmm")</f>
        <v>Jan</v>
      </c>
      <c r="P833">
        <f>MONTH(Table1[[#This Row],[Date]])</f>
        <v>1</v>
      </c>
    </row>
    <row r="834" spans="1:16" x14ac:dyDescent="0.25">
      <c r="A834" t="s">
        <v>853</v>
      </c>
      <c r="B834" t="s">
        <v>14</v>
      </c>
      <c r="C834" t="s">
        <v>12</v>
      </c>
      <c r="D834" s="1">
        <v>45394</v>
      </c>
      <c r="E834">
        <v>53439</v>
      </c>
      <c r="F834">
        <v>3042</v>
      </c>
      <c r="G834">
        <v>72</v>
      </c>
      <c r="H834" s="4">
        <v>898.67</v>
      </c>
      <c r="I834" s="4">
        <v>6812.63</v>
      </c>
      <c r="J834" s="7">
        <f>Table1[[#This Row],[Clicks]]/Table1[[#This Row],[Impressions]]</f>
        <v>5.6924717902655367E-2</v>
      </c>
      <c r="K834" s="7">
        <f>IFERROR(Table1[[#This Row],[Conversions]]/Table1[[#This Row],[Clicks]],0)</f>
        <v>2.3668639053254437E-2</v>
      </c>
      <c r="L834" s="6">
        <f>IF(Table1[[#This Row],[Conversions]]=0,0,Table1[[#This Row],[Ad Spend]]/Table1[[#This Row],[Conversions]])</f>
        <v>12.481527777777778</v>
      </c>
      <c r="M834" s="8">
        <f>IF(Table1[[#This Row],[Ad Spend]]=0,0,Table1[[#This Row],[Revenue]]/Table1[[#This Row],[Ad Spend]])</f>
        <v>7.5807916142744283</v>
      </c>
      <c r="N834">
        <f>YEAR(Table1[[#This Row],[Date]])</f>
        <v>2024</v>
      </c>
      <c r="O834" t="str">
        <f>TEXT(Table1[[#This Row],[Date]],"mmm")</f>
        <v>Apr</v>
      </c>
      <c r="P834">
        <f>MONTH(Table1[[#This Row],[Date]])</f>
        <v>4</v>
      </c>
    </row>
    <row r="835" spans="1:16" x14ac:dyDescent="0.25">
      <c r="A835" t="s">
        <v>854</v>
      </c>
      <c r="B835" t="s">
        <v>34</v>
      </c>
      <c r="C835" t="s">
        <v>12</v>
      </c>
      <c r="D835" s="1">
        <v>45470</v>
      </c>
      <c r="E835">
        <v>97327</v>
      </c>
      <c r="F835">
        <v>2067</v>
      </c>
      <c r="G835">
        <v>175</v>
      </c>
      <c r="H835" s="4">
        <v>3697.06</v>
      </c>
      <c r="I835" s="4">
        <v>7731.89</v>
      </c>
      <c r="J835" s="7">
        <f>Table1[[#This Row],[Clicks]]/Table1[[#This Row],[Impressions]]</f>
        <v>2.1237683273911657E-2</v>
      </c>
      <c r="K835" s="7">
        <f>IFERROR(Table1[[#This Row],[Conversions]]/Table1[[#This Row],[Clicks]],0)</f>
        <v>8.4663763909046924E-2</v>
      </c>
      <c r="L835" s="6">
        <f>IF(Table1[[#This Row],[Conversions]]=0,0,Table1[[#This Row],[Ad Spend]]/Table1[[#This Row],[Conversions]])</f>
        <v>21.126057142857142</v>
      </c>
      <c r="M835" s="8">
        <f>IF(Table1[[#This Row],[Ad Spend]]=0,0,Table1[[#This Row],[Revenue]]/Table1[[#This Row],[Ad Spend]])</f>
        <v>2.0913617847695196</v>
      </c>
      <c r="N835">
        <f>YEAR(Table1[[#This Row],[Date]])</f>
        <v>2024</v>
      </c>
      <c r="O835" t="str">
        <f>TEXT(Table1[[#This Row],[Date]],"mmm")</f>
        <v>Jun</v>
      </c>
      <c r="P835">
        <f>MONTH(Table1[[#This Row],[Date]])</f>
        <v>6</v>
      </c>
    </row>
    <row r="836" spans="1:16" x14ac:dyDescent="0.25">
      <c r="A836" t="s">
        <v>855</v>
      </c>
      <c r="B836" t="s">
        <v>9</v>
      </c>
      <c r="C836" t="s">
        <v>10</v>
      </c>
      <c r="D836" s="1">
        <v>45711</v>
      </c>
      <c r="E836">
        <v>8665</v>
      </c>
      <c r="F836">
        <v>407</v>
      </c>
      <c r="G836">
        <v>46</v>
      </c>
      <c r="H836" s="4">
        <v>4828.47</v>
      </c>
      <c r="I836" s="4">
        <v>1710.16</v>
      </c>
      <c r="J836" s="7">
        <f>Table1[[#This Row],[Clicks]]/Table1[[#This Row],[Impressions]]</f>
        <v>4.6970571263704561E-2</v>
      </c>
      <c r="K836" s="7">
        <f>IFERROR(Table1[[#This Row],[Conversions]]/Table1[[#This Row],[Clicks]],0)</f>
        <v>0.11302211302211303</v>
      </c>
      <c r="L836" s="6">
        <f>IF(Table1[[#This Row],[Conversions]]=0,0,Table1[[#This Row],[Ad Spend]]/Table1[[#This Row],[Conversions]])</f>
        <v>104.96673913043479</v>
      </c>
      <c r="M836" s="8">
        <f>IF(Table1[[#This Row],[Ad Spend]]=0,0,Table1[[#This Row],[Revenue]]/Table1[[#This Row],[Ad Spend]])</f>
        <v>0.35418258785909407</v>
      </c>
      <c r="N836">
        <f>YEAR(Table1[[#This Row],[Date]])</f>
        <v>2025</v>
      </c>
      <c r="O836" t="str">
        <f>TEXT(Table1[[#This Row],[Date]],"mmm")</f>
        <v>Feb</v>
      </c>
      <c r="P836">
        <f>MONTH(Table1[[#This Row],[Date]])</f>
        <v>2</v>
      </c>
    </row>
    <row r="837" spans="1:16" x14ac:dyDescent="0.25">
      <c r="A837" t="s">
        <v>856</v>
      </c>
      <c r="B837" t="s">
        <v>31</v>
      </c>
      <c r="C837" t="s">
        <v>10</v>
      </c>
      <c r="D837" s="1">
        <v>45401</v>
      </c>
      <c r="E837">
        <v>137171</v>
      </c>
      <c r="F837">
        <v>9545</v>
      </c>
      <c r="G837">
        <v>779</v>
      </c>
      <c r="H837" s="4">
        <v>3551.04</v>
      </c>
      <c r="I837" s="4">
        <v>30001.3</v>
      </c>
      <c r="J837" s="7">
        <f>Table1[[#This Row],[Clicks]]/Table1[[#This Row],[Impressions]]</f>
        <v>6.9584678977334863E-2</v>
      </c>
      <c r="K837" s="7">
        <f>IFERROR(Table1[[#This Row],[Conversions]]/Table1[[#This Row],[Clicks]],0)</f>
        <v>8.1613410162388683E-2</v>
      </c>
      <c r="L837" s="6">
        <f>IF(Table1[[#This Row],[Conversions]]=0,0,Table1[[#This Row],[Ad Spend]]/Table1[[#This Row],[Conversions]])</f>
        <v>4.5584595635430034</v>
      </c>
      <c r="M837" s="8">
        <f>IF(Table1[[#This Row],[Ad Spend]]=0,0,Table1[[#This Row],[Revenue]]/Table1[[#This Row],[Ad Spend]])</f>
        <v>8.4485953410831751</v>
      </c>
      <c r="N837">
        <f>YEAR(Table1[[#This Row],[Date]])</f>
        <v>2024</v>
      </c>
      <c r="O837" t="str">
        <f>TEXT(Table1[[#This Row],[Date]],"mmm")</f>
        <v>Apr</v>
      </c>
      <c r="P837">
        <f>MONTH(Table1[[#This Row],[Date]])</f>
        <v>4</v>
      </c>
    </row>
    <row r="838" spans="1:16" x14ac:dyDescent="0.25">
      <c r="A838" t="s">
        <v>857</v>
      </c>
      <c r="B838" t="s">
        <v>9</v>
      </c>
      <c r="C838" t="s">
        <v>37</v>
      </c>
      <c r="D838" s="1">
        <v>45473</v>
      </c>
      <c r="E838">
        <v>104513</v>
      </c>
      <c r="F838">
        <v>4147</v>
      </c>
      <c r="G838">
        <v>360</v>
      </c>
      <c r="H838" s="4">
        <v>2156.37</v>
      </c>
      <c r="I838" s="4">
        <v>34610.74</v>
      </c>
      <c r="J838" s="7">
        <f>Table1[[#This Row],[Clicks]]/Table1[[#This Row],[Impressions]]</f>
        <v>3.967927434864562E-2</v>
      </c>
      <c r="K838" s="7">
        <f>IFERROR(Table1[[#This Row],[Conversions]]/Table1[[#This Row],[Clicks]],0)</f>
        <v>8.6809741982155769E-2</v>
      </c>
      <c r="L838" s="6">
        <f>IF(Table1[[#This Row],[Conversions]]=0,0,Table1[[#This Row],[Ad Spend]]/Table1[[#This Row],[Conversions]])</f>
        <v>5.9899166666666668</v>
      </c>
      <c r="M838" s="8">
        <f>IF(Table1[[#This Row],[Ad Spend]]=0,0,Table1[[#This Row],[Revenue]]/Table1[[#This Row],[Ad Spend]])</f>
        <v>16.050464437921136</v>
      </c>
      <c r="N838">
        <f>YEAR(Table1[[#This Row],[Date]])</f>
        <v>2024</v>
      </c>
      <c r="O838" t="str">
        <f>TEXT(Table1[[#This Row],[Date]],"mmm")</f>
        <v>Jun</v>
      </c>
      <c r="P838">
        <f>MONTH(Table1[[#This Row],[Date]])</f>
        <v>6</v>
      </c>
    </row>
    <row r="839" spans="1:16" x14ac:dyDescent="0.25">
      <c r="A839" t="s">
        <v>858</v>
      </c>
      <c r="B839" t="s">
        <v>47</v>
      </c>
      <c r="C839" t="s">
        <v>10</v>
      </c>
      <c r="D839" s="1">
        <v>45530</v>
      </c>
      <c r="E839">
        <v>33918</v>
      </c>
      <c r="F839">
        <v>1573</v>
      </c>
      <c r="G839">
        <v>132</v>
      </c>
      <c r="H839" s="4">
        <v>1934</v>
      </c>
      <c r="I839" s="4">
        <v>6445.18</v>
      </c>
      <c r="J839" s="7">
        <f>Table1[[#This Row],[Clicks]]/Table1[[#This Row],[Impressions]]</f>
        <v>4.6376555221416357E-2</v>
      </c>
      <c r="K839" s="7">
        <f>IFERROR(Table1[[#This Row],[Conversions]]/Table1[[#This Row],[Clicks]],0)</f>
        <v>8.3916083916083919E-2</v>
      </c>
      <c r="L839" s="6">
        <f>IF(Table1[[#This Row],[Conversions]]=0,0,Table1[[#This Row],[Ad Spend]]/Table1[[#This Row],[Conversions]])</f>
        <v>14.651515151515152</v>
      </c>
      <c r="M839" s="8">
        <f>IF(Table1[[#This Row],[Ad Spend]]=0,0,Table1[[#This Row],[Revenue]]/Table1[[#This Row],[Ad Spend]])</f>
        <v>3.3325646328852123</v>
      </c>
      <c r="N839">
        <f>YEAR(Table1[[#This Row],[Date]])</f>
        <v>2024</v>
      </c>
      <c r="O839" t="str">
        <f>TEXT(Table1[[#This Row],[Date]],"mmm")</f>
        <v>Aug</v>
      </c>
      <c r="P839">
        <f>MONTH(Table1[[#This Row],[Date]])</f>
        <v>8</v>
      </c>
    </row>
    <row r="840" spans="1:16" x14ac:dyDescent="0.25">
      <c r="A840" t="s">
        <v>859</v>
      </c>
      <c r="B840" t="s">
        <v>31</v>
      </c>
      <c r="C840" t="s">
        <v>10</v>
      </c>
      <c r="D840" s="1">
        <v>45459</v>
      </c>
      <c r="E840">
        <v>134423</v>
      </c>
      <c r="F840">
        <v>2433</v>
      </c>
      <c r="G840">
        <v>138</v>
      </c>
      <c r="H840" s="4">
        <v>3081.87</v>
      </c>
      <c r="I840" s="4">
        <v>7065.7</v>
      </c>
      <c r="J840" s="7">
        <f>Table1[[#This Row],[Clicks]]/Table1[[#This Row],[Impressions]]</f>
        <v>1.8099581172864764E-2</v>
      </c>
      <c r="K840" s="7">
        <f>IFERROR(Table1[[#This Row],[Conversions]]/Table1[[#This Row],[Clicks]],0)</f>
        <v>5.6720098643649818E-2</v>
      </c>
      <c r="L840" s="6">
        <f>IF(Table1[[#This Row],[Conversions]]=0,0,Table1[[#This Row],[Ad Spend]]/Table1[[#This Row],[Conversions]])</f>
        <v>22.332391304347826</v>
      </c>
      <c r="M840" s="8">
        <f>IF(Table1[[#This Row],[Ad Spend]]=0,0,Table1[[#This Row],[Revenue]]/Table1[[#This Row],[Ad Spend]])</f>
        <v>2.2926664654901083</v>
      </c>
      <c r="N840">
        <f>YEAR(Table1[[#This Row],[Date]])</f>
        <v>2024</v>
      </c>
      <c r="O840" t="str">
        <f>TEXT(Table1[[#This Row],[Date]],"mmm")</f>
        <v>Jun</v>
      </c>
      <c r="P840">
        <f>MONTH(Table1[[#This Row],[Date]])</f>
        <v>6</v>
      </c>
    </row>
    <row r="841" spans="1:16" x14ac:dyDescent="0.25">
      <c r="A841" t="s">
        <v>860</v>
      </c>
      <c r="B841" t="s">
        <v>41</v>
      </c>
      <c r="C841" t="s">
        <v>37</v>
      </c>
      <c r="D841" s="1">
        <v>45575</v>
      </c>
      <c r="E841">
        <v>111766</v>
      </c>
      <c r="F841">
        <v>3391</v>
      </c>
      <c r="G841">
        <v>444</v>
      </c>
      <c r="H841" s="4">
        <v>1106.17</v>
      </c>
      <c r="I841" s="4">
        <v>11970.65</v>
      </c>
      <c r="J841" s="7">
        <f>Table1[[#This Row],[Clicks]]/Table1[[#This Row],[Impressions]]</f>
        <v>3.0340175008499903E-2</v>
      </c>
      <c r="K841" s="7">
        <f>IFERROR(Table1[[#This Row],[Conversions]]/Table1[[#This Row],[Clicks]],0)</f>
        <v>0.13093482748451785</v>
      </c>
      <c r="L841" s="6">
        <f>IF(Table1[[#This Row],[Conversions]]=0,0,Table1[[#This Row],[Ad Spend]]/Table1[[#This Row],[Conversions]])</f>
        <v>2.491373873873874</v>
      </c>
      <c r="M841" s="8">
        <f>IF(Table1[[#This Row],[Ad Spend]]=0,0,Table1[[#This Row],[Revenue]]/Table1[[#This Row],[Ad Spend]])</f>
        <v>10.821709140548016</v>
      </c>
      <c r="N841">
        <f>YEAR(Table1[[#This Row],[Date]])</f>
        <v>2024</v>
      </c>
      <c r="O841" t="str">
        <f>TEXT(Table1[[#This Row],[Date]],"mmm")</f>
        <v>Oct</v>
      </c>
      <c r="P841">
        <f>MONTH(Table1[[#This Row],[Date]])</f>
        <v>10</v>
      </c>
    </row>
    <row r="842" spans="1:16" x14ac:dyDescent="0.25">
      <c r="A842" t="s">
        <v>861</v>
      </c>
      <c r="B842" t="s">
        <v>41</v>
      </c>
      <c r="C842" t="s">
        <v>19</v>
      </c>
      <c r="D842" s="1">
        <v>45383</v>
      </c>
      <c r="E842">
        <v>8351</v>
      </c>
      <c r="F842">
        <v>667</v>
      </c>
      <c r="G842">
        <v>55</v>
      </c>
      <c r="H842" s="4">
        <v>704.83</v>
      </c>
      <c r="I842" s="4">
        <v>3509.32</v>
      </c>
      <c r="J842" s="7">
        <f>Table1[[#This Row],[Clicks]]/Table1[[#This Row],[Impressions]]</f>
        <v>7.9870674170757994E-2</v>
      </c>
      <c r="K842" s="7">
        <f>IFERROR(Table1[[#This Row],[Conversions]]/Table1[[#This Row],[Clicks]],0)</f>
        <v>8.2458770614692659E-2</v>
      </c>
      <c r="L842" s="6">
        <f>IF(Table1[[#This Row],[Conversions]]=0,0,Table1[[#This Row],[Ad Spend]]/Table1[[#This Row],[Conversions]])</f>
        <v>12.815090909090911</v>
      </c>
      <c r="M842" s="8">
        <f>IF(Table1[[#This Row],[Ad Spend]]=0,0,Table1[[#This Row],[Revenue]]/Table1[[#This Row],[Ad Spend]])</f>
        <v>4.9789594654030047</v>
      </c>
      <c r="N842">
        <f>YEAR(Table1[[#This Row],[Date]])</f>
        <v>2024</v>
      </c>
      <c r="O842" t="str">
        <f>TEXT(Table1[[#This Row],[Date]],"mmm")</f>
        <v>Apr</v>
      </c>
      <c r="P842">
        <f>MONTH(Table1[[#This Row],[Date]])</f>
        <v>4</v>
      </c>
    </row>
    <row r="843" spans="1:16" x14ac:dyDescent="0.25">
      <c r="A843" t="s">
        <v>862</v>
      </c>
      <c r="B843" t="s">
        <v>9</v>
      </c>
      <c r="C843" t="s">
        <v>10</v>
      </c>
      <c r="D843" s="1">
        <v>45365</v>
      </c>
      <c r="E843">
        <v>108497</v>
      </c>
      <c r="F843">
        <v>4127</v>
      </c>
      <c r="G843">
        <v>399</v>
      </c>
      <c r="H843" s="4">
        <v>688.27</v>
      </c>
      <c r="I843" s="4">
        <v>44899.08</v>
      </c>
      <c r="J843" s="7">
        <f>Table1[[#This Row],[Clicks]]/Table1[[#This Row],[Impressions]]</f>
        <v>3.8037918099117947E-2</v>
      </c>
      <c r="K843" s="7">
        <f>IFERROR(Table1[[#This Row],[Conversions]]/Table1[[#This Row],[Clicks]],0)</f>
        <v>9.6680397383086994E-2</v>
      </c>
      <c r="L843" s="6">
        <f>IF(Table1[[#This Row],[Conversions]]=0,0,Table1[[#This Row],[Ad Spend]]/Table1[[#This Row],[Conversions]])</f>
        <v>1.7249874686716791</v>
      </c>
      <c r="M843" s="8">
        <f>IF(Table1[[#This Row],[Ad Spend]]=0,0,Table1[[#This Row],[Revenue]]/Table1[[#This Row],[Ad Spend]])</f>
        <v>65.234689874613167</v>
      </c>
      <c r="N843">
        <f>YEAR(Table1[[#This Row],[Date]])</f>
        <v>2024</v>
      </c>
      <c r="O843" t="str">
        <f>TEXT(Table1[[#This Row],[Date]],"mmm")</f>
        <v>Mar</v>
      </c>
      <c r="P843">
        <f>MONTH(Table1[[#This Row],[Date]])</f>
        <v>3</v>
      </c>
    </row>
    <row r="844" spans="1:16" x14ac:dyDescent="0.25">
      <c r="A844" t="s">
        <v>863</v>
      </c>
      <c r="B844" t="s">
        <v>16</v>
      </c>
      <c r="C844" t="s">
        <v>10</v>
      </c>
      <c r="D844" s="1">
        <v>45478</v>
      </c>
      <c r="E844">
        <v>57189</v>
      </c>
      <c r="F844">
        <v>1927</v>
      </c>
      <c r="G844">
        <v>187</v>
      </c>
      <c r="H844" s="4">
        <v>4955.17</v>
      </c>
      <c r="I844" s="4">
        <v>6035.65</v>
      </c>
      <c r="J844" s="7">
        <f>Table1[[#This Row],[Clicks]]/Table1[[#This Row],[Impressions]]</f>
        <v>3.3695291052475124E-2</v>
      </c>
      <c r="K844" s="7">
        <f>IFERROR(Table1[[#This Row],[Conversions]]/Table1[[#This Row],[Clicks]],0)</f>
        <v>9.7042034250129736E-2</v>
      </c>
      <c r="L844" s="6">
        <f>IF(Table1[[#This Row],[Conversions]]=0,0,Table1[[#This Row],[Ad Spend]]/Table1[[#This Row],[Conversions]])</f>
        <v>26.498235294117649</v>
      </c>
      <c r="M844" s="8">
        <f>IF(Table1[[#This Row],[Ad Spend]]=0,0,Table1[[#This Row],[Revenue]]/Table1[[#This Row],[Ad Spend]])</f>
        <v>1.2180510456755267</v>
      </c>
      <c r="N844">
        <f>YEAR(Table1[[#This Row],[Date]])</f>
        <v>2024</v>
      </c>
      <c r="O844" t="str">
        <f>TEXT(Table1[[#This Row],[Date]],"mmm")</f>
        <v>Jul</v>
      </c>
      <c r="P844">
        <f>MONTH(Table1[[#This Row],[Date]])</f>
        <v>7</v>
      </c>
    </row>
    <row r="845" spans="1:16" x14ac:dyDescent="0.25">
      <c r="A845" t="s">
        <v>864</v>
      </c>
      <c r="B845" t="s">
        <v>21</v>
      </c>
      <c r="C845" t="s">
        <v>17</v>
      </c>
      <c r="D845" s="1">
        <v>45434</v>
      </c>
      <c r="E845">
        <v>76558</v>
      </c>
      <c r="F845">
        <v>4818</v>
      </c>
      <c r="G845">
        <v>598</v>
      </c>
      <c r="H845" s="4">
        <v>4727.4799999999996</v>
      </c>
      <c r="I845" s="4">
        <v>33254.620000000003</v>
      </c>
      <c r="J845" s="7">
        <f>Table1[[#This Row],[Clicks]]/Table1[[#This Row],[Impressions]]</f>
        <v>6.2932678492123625E-2</v>
      </c>
      <c r="K845" s="7">
        <f>IFERROR(Table1[[#This Row],[Conversions]]/Table1[[#This Row],[Clicks]],0)</f>
        <v>0.12411789124117892</v>
      </c>
      <c r="L845" s="6">
        <f>IF(Table1[[#This Row],[Conversions]]=0,0,Table1[[#This Row],[Ad Spend]]/Table1[[#This Row],[Conversions]])</f>
        <v>7.9054849498327755</v>
      </c>
      <c r="M845" s="8">
        <f>IF(Table1[[#This Row],[Ad Spend]]=0,0,Table1[[#This Row],[Revenue]]/Table1[[#This Row],[Ad Spend]])</f>
        <v>7.0343227258497141</v>
      </c>
      <c r="N845">
        <f>YEAR(Table1[[#This Row],[Date]])</f>
        <v>2024</v>
      </c>
      <c r="O845" t="str">
        <f>TEXT(Table1[[#This Row],[Date]],"mmm")</f>
        <v>May</v>
      </c>
      <c r="P845">
        <f>MONTH(Table1[[#This Row],[Date]])</f>
        <v>5</v>
      </c>
    </row>
    <row r="846" spans="1:16" x14ac:dyDescent="0.25">
      <c r="A846" t="s">
        <v>865</v>
      </c>
      <c r="B846" t="s">
        <v>21</v>
      </c>
      <c r="C846" t="s">
        <v>17</v>
      </c>
      <c r="D846" s="1">
        <v>45553</v>
      </c>
      <c r="E846">
        <v>78109</v>
      </c>
      <c r="F846">
        <v>1586</v>
      </c>
      <c r="G846">
        <v>125</v>
      </c>
      <c r="H846" s="4">
        <v>786.51</v>
      </c>
      <c r="I846" s="4">
        <v>8616.77</v>
      </c>
      <c r="J846" s="7">
        <f>Table1[[#This Row],[Clicks]]/Table1[[#This Row],[Impressions]]</f>
        <v>2.0304958455491684E-2</v>
      </c>
      <c r="K846" s="7">
        <f>IFERROR(Table1[[#This Row],[Conversions]]/Table1[[#This Row],[Clicks]],0)</f>
        <v>7.8814627994955866E-2</v>
      </c>
      <c r="L846" s="6">
        <f>IF(Table1[[#This Row],[Conversions]]=0,0,Table1[[#This Row],[Ad Spend]]/Table1[[#This Row],[Conversions]])</f>
        <v>6.2920800000000003</v>
      </c>
      <c r="M846" s="8">
        <f>IF(Table1[[#This Row],[Ad Spend]]=0,0,Table1[[#This Row],[Revenue]]/Table1[[#This Row],[Ad Spend]])</f>
        <v>10.955703042555086</v>
      </c>
      <c r="N846">
        <f>YEAR(Table1[[#This Row],[Date]])</f>
        <v>2024</v>
      </c>
      <c r="O846" t="str">
        <f>TEXT(Table1[[#This Row],[Date]],"mmm")</f>
        <v>Sept</v>
      </c>
      <c r="P846">
        <f>MONTH(Table1[[#This Row],[Date]])</f>
        <v>9</v>
      </c>
    </row>
    <row r="847" spans="1:16" x14ac:dyDescent="0.25">
      <c r="A847" t="s">
        <v>866</v>
      </c>
      <c r="B847" t="s">
        <v>14</v>
      </c>
      <c r="C847" t="s">
        <v>37</v>
      </c>
      <c r="D847" s="1">
        <v>45307</v>
      </c>
      <c r="E847">
        <v>31110</v>
      </c>
      <c r="F847">
        <v>1917</v>
      </c>
      <c r="G847">
        <v>245</v>
      </c>
      <c r="H847" s="4">
        <v>2591.0500000000002</v>
      </c>
      <c r="I847" s="4">
        <v>5555.35</v>
      </c>
      <c r="J847" s="7">
        <f>Table1[[#This Row],[Clicks]]/Table1[[#This Row],[Impressions]]</f>
        <v>6.1620057859209258E-2</v>
      </c>
      <c r="K847" s="7">
        <f>IFERROR(Table1[[#This Row],[Conversions]]/Table1[[#This Row],[Clicks]],0)</f>
        <v>0.1278038601982264</v>
      </c>
      <c r="L847" s="6">
        <f>IF(Table1[[#This Row],[Conversions]]=0,0,Table1[[#This Row],[Ad Spend]]/Table1[[#This Row],[Conversions]])</f>
        <v>10.575714285714286</v>
      </c>
      <c r="M847" s="8">
        <f>IF(Table1[[#This Row],[Ad Spend]]=0,0,Table1[[#This Row],[Revenue]]/Table1[[#This Row],[Ad Spend]])</f>
        <v>2.144053569016422</v>
      </c>
      <c r="N847">
        <f>YEAR(Table1[[#This Row],[Date]])</f>
        <v>2024</v>
      </c>
      <c r="O847" t="str">
        <f>TEXT(Table1[[#This Row],[Date]],"mmm")</f>
        <v>Jan</v>
      </c>
      <c r="P847">
        <f>MONTH(Table1[[#This Row],[Date]])</f>
        <v>1</v>
      </c>
    </row>
    <row r="848" spans="1:16" x14ac:dyDescent="0.25">
      <c r="A848" t="s">
        <v>867</v>
      </c>
      <c r="B848" t="s">
        <v>16</v>
      </c>
      <c r="C848" t="s">
        <v>17</v>
      </c>
      <c r="D848" s="1">
        <v>45601</v>
      </c>
      <c r="E848">
        <v>90709</v>
      </c>
      <c r="F848">
        <v>1876</v>
      </c>
      <c r="G848">
        <v>189</v>
      </c>
      <c r="H848" s="4">
        <v>662.4</v>
      </c>
      <c r="I848" s="4">
        <v>5226.18</v>
      </c>
      <c r="J848" s="7">
        <f>Table1[[#This Row],[Clicks]]/Table1[[#This Row],[Impressions]]</f>
        <v>2.0681520025576293E-2</v>
      </c>
      <c r="K848" s="7">
        <f>IFERROR(Table1[[#This Row],[Conversions]]/Table1[[#This Row],[Clicks]],0)</f>
        <v>0.10074626865671642</v>
      </c>
      <c r="L848" s="6">
        <f>IF(Table1[[#This Row],[Conversions]]=0,0,Table1[[#This Row],[Ad Spend]]/Table1[[#This Row],[Conversions]])</f>
        <v>3.5047619047619047</v>
      </c>
      <c r="M848" s="8">
        <f>IF(Table1[[#This Row],[Ad Spend]]=0,0,Table1[[#This Row],[Revenue]]/Table1[[#This Row],[Ad Spend]])</f>
        <v>7.8897644927536241</v>
      </c>
      <c r="N848">
        <f>YEAR(Table1[[#This Row],[Date]])</f>
        <v>2024</v>
      </c>
      <c r="O848" t="str">
        <f>TEXT(Table1[[#This Row],[Date]],"mmm")</f>
        <v>Nov</v>
      </c>
      <c r="P848">
        <f>MONTH(Table1[[#This Row],[Date]])</f>
        <v>11</v>
      </c>
    </row>
    <row r="849" spans="1:16" x14ac:dyDescent="0.25">
      <c r="A849" t="s">
        <v>868</v>
      </c>
      <c r="B849" t="s">
        <v>41</v>
      </c>
      <c r="C849" t="s">
        <v>17</v>
      </c>
      <c r="D849" s="1">
        <v>45395</v>
      </c>
      <c r="E849">
        <v>81955</v>
      </c>
      <c r="F849">
        <v>4617</v>
      </c>
      <c r="G849">
        <v>386</v>
      </c>
      <c r="H849" s="4">
        <v>1455.99</v>
      </c>
      <c r="I849" s="4">
        <v>20983.56</v>
      </c>
      <c r="J849" s="7">
        <f>Table1[[#This Row],[Clicks]]/Table1[[#This Row],[Impressions]]</f>
        <v>5.6335794033310967E-2</v>
      </c>
      <c r="K849" s="7">
        <f>IFERROR(Table1[[#This Row],[Conversions]]/Table1[[#This Row],[Clicks]],0)</f>
        <v>8.3604071908165475E-2</v>
      </c>
      <c r="L849" s="6">
        <f>IF(Table1[[#This Row],[Conversions]]=0,0,Table1[[#This Row],[Ad Spend]]/Table1[[#This Row],[Conversions]])</f>
        <v>3.7719948186528498</v>
      </c>
      <c r="M849" s="8">
        <f>IF(Table1[[#This Row],[Ad Spend]]=0,0,Table1[[#This Row],[Revenue]]/Table1[[#This Row],[Ad Spend]])</f>
        <v>14.411884697010283</v>
      </c>
      <c r="N849">
        <f>YEAR(Table1[[#This Row],[Date]])</f>
        <v>2024</v>
      </c>
      <c r="O849" t="str">
        <f>TEXT(Table1[[#This Row],[Date]],"mmm")</f>
        <v>Apr</v>
      </c>
      <c r="P849">
        <f>MONTH(Table1[[#This Row],[Date]])</f>
        <v>4</v>
      </c>
    </row>
    <row r="850" spans="1:16" x14ac:dyDescent="0.25">
      <c r="A850" t="s">
        <v>869</v>
      </c>
      <c r="B850" t="s">
        <v>31</v>
      </c>
      <c r="C850" t="s">
        <v>10</v>
      </c>
      <c r="D850" s="1">
        <v>45512</v>
      </c>
      <c r="E850">
        <v>36230</v>
      </c>
      <c r="F850">
        <v>1335</v>
      </c>
      <c r="G850">
        <v>81</v>
      </c>
      <c r="H850" s="4">
        <v>2006.42</v>
      </c>
      <c r="I850" s="4">
        <v>5343.22</v>
      </c>
      <c r="J850" s="7">
        <f>Table1[[#This Row],[Clicks]]/Table1[[#This Row],[Impressions]]</f>
        <v>3.6847916091636762E-2</v>
      </c>
      <c r="K850" s="7">
        <f>IFERROR(Table1[[#This Row],[Conversions]]/Table1[[#This Row],[Clicks]],0)</f>
        <v>6.0674157303370786E-2</v>
      </c>
      <c r="L850" s="6">
        <f>IF(Table1[[#This Row],[Conversions]]=0,0,Table1[[#This Row],[Ad Spend]]/Table1[[#This Row],[Conversions]])</f>
        <v>24.770617283950617</v>
      </c>
      <c r="M850" s="8">
        <f>IF(Table1[[#This Row],[Ad Spend]]=0,0,Table1[[#This Row],[Revenue]]/Table1[[#This Row],[Ad Spend]])</f>
        <v>2.6630615723527478</v>
      </c>
      <c r="N850">
        <f>YEAR(Table1[[#This Row],[Date]])</f>
        <v>2024</v>
      </c>
      <c r="O850" t="str">
        <f>TEXT(Table1[[#This Row],[Date]],"mmm")</f>
        <v>Aug</v>
      </c>
      <c r="P850">
        <f>MONTH(Table1[[#This Row],[Date]])</f>
        <v>8</v>
      </c>
    </row>
    <row r="851" spans="1:16" x14ac:dyDescent="0.25">
      <c r="A851" t="s">
        <v>870</v>
      </c>
      <c r="B851" t="s">
        <v>31</v>
      </c>
      <c r="C851" t="s">
        <v>37</v>
      </c>
      <c r="D851" s="1">
        <v>45577</v>
      </c>
      <c r="E851">
        <v>84441</v>
      </c>
      <c r="F851">
        <v>6073</v>
      </c>
      <c r="G851">
        <v>251</v>
      </c>
      <c r="H851" s="4">
        <v>2267.27</v>
      </c>
      <c r="I851" s="4">
        <v>12862.74</v>
      </c>
      <c r="J851" s="7">
        <f>Table1[[#This Row],[Clicks]]/Table1[[#This Row],[Impressions]]</f>
        <v>7.1920038843689679E-2</v>
      </c>
      <c r="K851" s="7">
        <f>IFERROR(Table1[[#This Row],[Conversions]]/Table1[[#This Row],[Clicks]],0)</f>
        <v>4.1330479170097148E-2</v>
      </c>
      <c r="L851" s="6">
        <f>IF(Table1[[#This Row],[Conversions]]=0,0,Table1[[#This Row],[Ad Spend]]/Table1[[#This Row],[Conversions]])</f>
        <v>9.0329482071713141</v>
      </c>
      <c r="M851" s="8">
        <f>IF(Table1[[#This Row],[Ad Spend]]=0,0,Table1[[#This Row],[Revenue]]/Table1[[#This Row],[Ad Spend]])</f>
        <v>5.6732281554468589</v>
      </c>
      <c r="N851">
        <f>YEAR(Table1[[#This Row],[Date]])</f>
        <v>2024</v>
      </c>
      <c r="O851" t="str">
        <f>TEXT(Table1[[#This Row],[Date]],"mmm")</f>
        <v>Oct</v>
      </c>
      <c r="P851">
        <f>MONTH(Table1[[#This Row],[Date]])</f>
        <v>10</v>
      </c>
    </row>
    <row r="852" spans="1:16" x14ac:dyDescent="0.25">
      <c r="A852" t="s">
        <v>871</v>
      </c>
      <c r="B852" t="s">
        <v>21</v>
      </c>
      <c r="C852" t="s">
        <v>17</v>
      </c>
      <c r="D852" s="1">
        <v>45683</v>
      </c>
      <c r="E852">
        <v>33673</v>
      </c>
      <c r="F852">
        <v>1677</v>
      </c>
      <c r="G852">
        <v>140</v>
      </c>
      <c r="H852" s="4">
        <v>2858.16</v>
      </c>
      <c r="I852" s="4">
        <v>10351.49</v>
      </c>
      <c r="J852" s="7">
        <f>Table1[[#This Row],[Clicks]]/Table1[[#This Row],[Impressions]]</f>
        <v>4.9802512398657676E-2</v>
      </c>
      <c r="K852" s="7">
        <f>IFERROR(Table1[[#This Row],[Conversions]]/Table1[[#This Row],[Clicks]],0)</f>
        <v>8.3482409063804414E-2</v>
      </c>
      <c r="L852" s="6">
        <f>IF(Table1[[#This Row],[Conversions]]=0,0,Table1[[#This Row],[Ad Spend]]/Table1[[#This Row],[Conversions]])</f>
        <v>20.415428571428571</v>
      </c>
      <c r="M852" s="8">
        <f>IF(Table1[[#This Row],[Ad Spend]]=0,0,Table1[[#This Row],[Revenue]]/Table1[[#This Row],[Ad Spend]])</f>
        <v>3.6217321633498476</v>
      </c>
      <c r="N852">
        <f>YEAR(Table1[[#This Row],[Date]])</f>
        <v>2025</v>
      </c>
      <c r="O852" t="str">
        <f>TEXT(Table1[[#This Row],[Date]],"mmm")</f>
        <v>Jan</v>
      </c>
      <c r="P852">
        <f>MONTH(Table1[[#This Row],[Date]])</f>
        <v>1</v>
      </c>
    </row>
    <row r="853" spans="1:16" x14ac:dyDescent="0.25">
      <c r="A853" t="s">
        <v>872</v>
      </c>
      <c r="B853" t="s">
        <v>41</v>
      </c>
      <c r="C853" t="s">
        <v>17</v>
      </c>
      <c r="D853" s="1">
        <v>45579</v>
      </c>
      <c r="E853">
        <v>45975</v>
      </c>
      <c r="F853">
        <v>2090</v>
      </c>
      <c r="G853">
        <v>148</v>
      </c>
      <c r="H853" s="4">
        <v>2574.52</v>
      </c>
      <c r="I853" s="4">
        <v>17328.89</v>
      </c>
      <c r="J853" s="7">
        <f>Table1[[#This Row],[Clicks]]/Table1[[#This Row],[Impressions]]</f>
        <v>4.54594888526373E-2</v>
      </c>
      <c r="K853" s="7">
        <f>IFERROR(Table1[[#This Row],[Conversions]]/Table1[[#This Row],[Clicks]],0)</f>
        <v>7.0813397129186606E-2</v>
      </c>
      <c r="L853" s="6">
        <f>IF(Table1[[#This Row],[Conversions]]=0,0,Table1[[#This Row],[Ad Spend]]/Table1[[#This Row],[Conversions]])</f>
        <v>17.395405405405405</v>
      </c>
      <c r="M853" s="8">
        <f>IF(Table1[[#This Row],[Ad Spend]]=0,0,Table1[[#This Row],[Revenue]]/Table1[[#This Row],[Ad Spend]])</f>
        <v>6.730920715317807</v>
      </c>
      <c r="N853">
        <f>YEAR(Table1[[#This Row],[Date]])</f>
        <v>2024</v>
      </c>
      <c r="O853" t="str">
        <f>TEXT(Table1[[#This Row],[Date]],"mmm")</f>
        <v>Oct</v>
      </c>
      <c r="P853">
        <f>MONTH(Table1[[#This Row],[Date]])</f>
        <v>10</v>
      </c>
    </row>
    <row r="854" spans="1:16" x14ac:dyDescent="0.25">
      <c r="A854" t="s">
        <v>873</v>
      </c>
      <c r="B854" t="s">
        <v>47</v>
      </c>
      <c r="C854" t="s">
        <v>19</v>
      </c>
      <c r="D854" s="1">
        <v>45456</v>
      </c>
      <c r="E854">
        <v>21101</v>
      </c>
      <c r="F854">
        <v>252</v>
      </c>
      <c r="G854">
        <v>6</v>
      </c>
      <c r="H854" s="4">
        <v>4217.28</v>
      </c>
      <c r="I854" s="4">
        <v>329.33</v>
      </c>
      <c r="J854" s="7">
        <f>Table1[[#This Row],[Clicks]]/Table1[[#This Row],[Impressions]]</f>
        <v>1.1942561963887967E-2</v>
      </c>
      <c r="K854" s="7">
        <f>IFERROR(Table1[[#This Row],[Conversions]]/Table1[[#This Row],[Clicks]],0)</f>
        <v>2.3809523809523808E-2</v>
      </c>
      <c r="L854" s="6">
        <f>IF(Table1[[#This Row],[Conversions]]=0,0,Table1[[#This Row],[Ad Spend]]/Table1[[#This Row],[Conversions]])</f>
        <v>702.88</v>
      </c>
      <c r="M854" s="8">
        <f>IF(Table1[[#This Row],[Ad Spend]]=0,0,Table1[[#This Row],[Revenue]]/Table1[[#This Row],[Ad Spend]])</f>
        <v>7.8090617649290539E-2</v>
      </c>
      <c r="N854">
        <f>YEAR(Table1[[#This Row],[Date]])</f>
        <v>2024</v>
      </c>
      <c r="O854" t="str">
        <f>TEXT(Table1[[#This Row],[Date]],"mmm")</f>
        <v>Jun</v>
      </c>
      <c r="P854">
        <f>MONTH(Table1[[#This Row],[Date]])</f>
        <v>6</v>
      </c>
    </row>
    <row r="855" spans="1:16" x14ac:dyDescent="0.25">
      <c r="A855" t="s">
        <v>874</v>
      </c>
      <c r="B855" t="s">
        <v>31</v>
      </c>
      <c r="C855" t="s">
        <v>19</v>
      </c>
      <c r="D855" s="1">
        <v>45486</v>
      </c>
      <c r="E855">
        <v>30519</v>
      </c>
      <c r="F855">
        <v>1219</v>
      </c>
      <c r="G855">
        <v>181</v>
      </c>
      <c r="H855" s="4">
        <v>2177.2600000000002</v>
      </c>
      <c r="I855" s="4">
        <v>4641.7299999999996</v>
      </c>
      <c r="J855" s="7">
        <f>Table1[[#This Row],[Clicks]]/Table1[[#This Row],[Impressions]]</f>
        <v>3.9942331006913724E-2</v>
      </c>
      <c r="K855" s="7">
        <f>IFERROR(Table1[[#This Row],[Conversions]]/Table1[[#This Row],[Clicks]],0)</f>
        <v>0.14848236259228875</v>
      </c>
      <c r="L855" s="6">
        <f>IF(Table1[[#This Row],[Conversions]]=0,0,Table1[[#This Row],[Ad Spend]]/Table1[[#This Row],[Conversions]])</f>
        <v>12.029060773480664</v>
      </c>
      <c r="M855" s="8">
        <f>IF(Table1[[#This Row],[Ad Spend]]=0,0,Table1[[#This Row],[Revenue]]/Table1[[#This Row],[Ad Spend]])</f>
        <v>2.1319135059662142</v>
      </c>
      <c r="N855">
        <f>YEAR(Table1[[#This Row],[Date]])</f>
        <v>2024</v>
      </c>
      <c r="O855" t="str">
        <f>TEXT(Table1[[#This Row],[Date]],"mmm")</f>
        <v>Jul</v>
      </c>
      <c r="P855">
        <f>MONTH(Table1[[#This Row],[Date]])</f>
        <v>7</v>
      </c>
    </row>
    <row r="856" spans="1:16" x14ac:dyDescent="0.25">
      <c r="A856" t="s">
        <v>875</v>
      </c>
      <c r="B856" t="s">
        <v>14</v>
      </c>
      <c r="C856" t="s">
        <v>37</v>
      </c>
      <c r="D856" s="1">
        <v>45412</v>
      </c>
      <c r="E856">
        <v>86815</v>
      </c>
      <c r="F856">
        <v>4468</v>
      </c>
      <c r="G856">
        <v>618</v>
      </c>
      <c r="H856" s="4">
        <v>514.4</v>
      </c>
      <c r="I856" s="4">
        <v>31203.59</v>
      </c>
      <c r="J856" s="7">
        <f>Table1[[#This Row],[Clicks]]/Table1[[#This Row],[Impressions]]</f>
        <v>5.1465760525254853E-2</v>
      </c>
      <c r="K856" s="7">
        <f>IFERROR(Table1[[#This Row],[Conversions]]/Table1[[#This Row],[Clicks]],0)</f>
        <v>0.13831692032229184</v>
      </c>
      <c r="L856" s="6">
        <f>IF(Table1[[#This Row],[Conversions]]=0,0,Table1[[#This Row],[Ad Spend]]/Table1[[#This Row],[Conversions]])</f>
        <v>0.83236245954692556</v>
      </c>
      <c r="M856" s="8">
        <f>IF(Table1[[#This Row],[Ad Spend]]=0,0,Table1[[#This Row],[Revenue]]/Table1[[#This Row],[Ad Spend]])</f>
        <v>60.660167185069987</v>
      </c>
      <c r="N856">
        <f>YEAR(Table1[[#This Row],[Date]])</f>
        <v>2024</v>
      </c>
      <c r="O856" t="str">
        <f>TEXT(Table1[[#This Row],[Date]],"mmm")</f>
        <v>Apr</v>
      </c>
      <c r="P856">
        <f>MONTH(Table1[[#This Row],[Date]])</f>
        <v>4</v>
      </c>
    </row>
    <row r="857" spans="1:16" x14ac:dyDescent="0.25">
      <c r="A857" t="s">
        <v>876</v>
      </c>
      <c r="B857" t="s">
        <v>47</v>
      </c>
      <c r="C857" t="s">
        <v>37</v>
      </c>
      <c r="D857" s="1">
        <v>45302</v>
      </c>
      <c r="E857">
        <v>146142</v>
      </c>
      <c r="F857">
        <v>4797</v>
      </c>
      <c r="G857">
        <v>383</v>
      </c>
      <c r="H857" s="4">
        <v>4344.17</v>
      </c>
      <c r="I857" s="4">
        <v>29416.29</v>
      </c>
      <c r="J857" s="7">
        <f>Table1[[#This Row],[Clicks]]/Table1[[#This Row],[Impressions]]</f>
        <v>3.2824239438354476E-2</v>
      </c>
      <c r="K857" s="7">
        <f>IFERROR(Table1[[#This Row],[Conversions]]/Table1[[#This Row],[Clicks]],0)</f>
        <v>7.9841567646445691E-2</v>
      </c>
      <c r="L857" s="6">
        <f>IF(Table1[[#This Row],[Conversions]]=0,0,Table1[[#This Row],[Ad Spend]]/Table1[[#This Row],[Conversions]])</f>
        <v>11.342480417754569</v>
      </c>
      <c r="M857" s="8">
        <f>IF(Table1[[#This Row],[Ad Spend]]=0,0,Table1[[#This Row],[Revenue]]/Table1[[#This Row],[Ad Spend]])</f>
        <v>6.7714408045725651</v>
      </c>
      <c r="N857">
        <f>YEAR(Table1[[#This Row],[Date]])</f>
        <v>2024</v>
      </c>
      <c r="O857" t="str">
        <f>TEXT(Table1[[#This Row],[Date]],"mmm")</f>
        <v>Jan</v>
      </c>
      <c r="P857">
        <f>MONTH(Table1[[#This Row],[Date]])</f>
        <v>1</v>
      </c>
    </row>
    <row r="858" spans="1:16" x14ac:dyDescent="0.25">
      <c r="A858" t="s">
        <v>877</v>
      </c>
      <c r="B858" t="s">
        <v>21</v>
      </c>
      <c r="C858" t="s">
        <v>19</v>
      </c>
      <c r="D858" s="1">
        <v>45302</v>
      </c>
      <c r="E858">
        <v>128129</v>
      </c>
      <c r="F858">
        <v>6554</v>
      </c>
      <c r="G858">
        <v>970</v>
      </c>
      <c r="H858" s="4">
        <v>2013.14</v>
      </c>
      <c r="I858" s="4">
        <v>57259.18</v>
      </c>
      <c r="J858" s="7">
        <f>Table1[[#This Row],[Clicks]]/Table1[[#This Row],[Impressions]]</f>
        <v>5.1151573804525126E-2</v>
      </c>
      <c r="K858" s="7">
        <f>IFERROR(Table1[[#This Row],[Conversions]]/Table1[[#This Row],[Clicks]],0)</f>
        <v>0.14800122062862375</v>
      </c>
      <c r="L858" s="6">
        <f>IF(Table1[[#This Row],[Conversions]]=0,0,Table1[[#This Row],[Ad Spend]]/Table1[[#This Row],[Conversions]])</f>
        <v>2.0754020618556703</v>
      </c>
      <c r="M858" s="8">
        <f>IF(Table1[[#This Row],[Ad Spend]]=0,0,Table1[[#This Row],[Revenue]]/Table1[[#This Row],[Ad Spend]])</f>
        <v>28.442721320921546</v>
      </c>
      <c r="N858">
        <f>YEAR(Table1[[#This Row],[Date]])</f>
        <v>2024</v>
      </c>
      <c r="O858" t="str">
        <f>TEXT(Table1[[#This Row],[Date]],"mmm")</f>
        <v>Jan</v>
      </c>
      <c r="P858">
        <f>MONTH(Table1[[#This Row],[Date]])</f>
        <v>1</v>
      </c>
    </row>
    <row r="859" spans="1:16" x14ac:dyDescent="0.25">
      <c r="A859" t="s">
        <v>878</v>
      </c>
      <c r="B859" t="s">
        <v>9</v>
      </c>
      <c r="C859" t="s">
        <v>17</v>
      </c>
      <c r="D859" s="1">
        <v>45343</v>
      </c>
      <c r="E859">
        <v>58977</v>
      </c>
      <c r="F859">
        <v>1976</v>
      </c>
      <c r="G859">
        <v>168</v>
      </c>
      <c r="H859" s="4">
        <v>3871.54</v>
      </c>
      <c r="I859" s="4">
        <v>9064.26</v>
      </c>
      <c r="J859" s="7">
        <f>Table1[[#This Row],[Clicks]]/Table1[[#This Row],[Impressions]]</f>
        <v>3.3504586533733491E-2</v>
      </c>
      <c r="K859" s="7">
        <f>IFERROR(Table1[[#This Row],[Conversions]]/Table1[[#This Row],[Clicks]],0)</f>
        <v>8.5020242914979755E-2</v>
      </c>
      <c r="L859" s="6">
        <f>IF(Table1[[#This Row],[Conversions]]=0,0,Table1[[#This Row],[Ad Spend]]/Table1[[#This Row],[Conversions]])</f>
        <v>23.044880952380954</v>
      </c>
      <c r="M859" s="8">
        <f>IF(Table1[[#This Row],[Ad Spend]]=0,0,Table1[[#This Row],[Revenue]]/Table1[[#This Row],[Ad Spend]])</f>
        <v>2.3412543845601492</v>
      </c>
      <c r="N859">
        <f>YEAR(Table1[[#This Row],[Date]])</f>
        <v>2024</v>
      </c>
      <c r="O859" t="str">
        <f>TEXT(Table1[[#This Row],[Date]],"mmm")</f>
        <v>Feb</v>
      </c>
      <c r="P859">
        <f>MONTH(Table1[[#This Row],[Date]])</f>
        <v>2</v>
      </c>
    </row>
    <row r="860" spans="1:16" x14ac:dyDescent="0.25">
      <c r="A860" t="s">
        <v>879</v>
      </c>
      <c r="B860" t="s">
        <v>34</v>
      </c>
      <c r="C860" t="s">
        <v>19</v>
      </c>
      <c r="D860" s="1">
        <v>45515</v>
      </c>
      <c r="E860">
        <v>57889</v>
      </c>
      <c r="F860">
        <v>2592</v>
      </c>
      <c r="G860">
        <v>337</v>
      </c>
      <c r="H860" s="4">
        <v>3978.32</v>
      </c>
      <c r="I860" s="4">
        <v>35060.82</v>
      </c>
      <c r="J860" s="7">
        <f>Table1[[#This Row],[Clicks]]/Table1[[#This Row],[Impressions]]</f>
        <v>4.4775345920641224E-2</v>
      </c>
      <c r="K860" s="7">
        <f>IFERROR(Table1[[#This Row],[Conversions]]/Table1[[#This Row],[Clicks]],0)</f>
        <v>0.13001543209876543</v>
      </c>
      <c r="L860" s="6">
        <f>IF(Table1[[#This Row],[Conversions]]=0,0,Table1[[#This Row],[Ad Spend]]/Table1[[#This Row],[Conversions]])</f>
        <v>11.805103857566767</v>
      </c>
      <c r="M860" s="8">
        <f>IF(Table1[[#This Row],[Ad Spend]]=0,0,Table1[[#This Row],[Revenue]]/Table1[[#This Row],[Ad Spend]])</f>
        <v>8.8129713044702278</v>
      </c>
      <c r="N860">
        <f>YEAR(Table1[[#This Row],[Date]])</f>
        <v>2024</v>
      </c>
      <c r="O860" t="str">
        <f>TEXT(Table1[[#This Row],[Date]],"mmm")</f>
        <v>Aug</v>
      </c>
      <c r="P860">
        <f>MONTH(Table1[[#This Row],[Date]])</f>
        <v>8</v>
      </c>
    </row>
    <row r="861" spans="1:16" x14ac:dyDescent="0.25">
      <c r="A861" t="s">
        <v>880</v>
      </c>
      <c r="B861" t="s">
        <v>14</v>
      </c>
      <c r="C861" t="s">
        <v>19</v>
      </c>
      <c r="D861" s="1">
        <v>45427</v>
      </c>
      <c r="E861">
        <v>17460</v>
      </c>
      <c r="F861">
        <v>537</v>
      </c>
      <c r="G861">
        <v>50</v>
      </c>
      <c r="H861" s="4">
        <v>4062.09</v>
      </c>
      <c r="I861" s="4">
        <v>4122.8599999999997</v>
      </c>
      <c r="J861" s="7">
        <f>Table1[[#This Row],[Clicks]]/Table1[[#This Row],[Impressions]]</f>
        <v>3.0756013745704466E-2</v>
      </c>
      <c r="K861" s="7">
        <f>IFERROR(Table1[[#This Row],[Conversions]]/Table1[[#This Row],[Clicks]],0)</f>
        <v>9.3109869646182494E-2</v>
      </c>
      <c r="L861" s="6">
        <f>IF(Table1[[#This Row],[Conversions]]=0,0,Table1[[#This Row],[Ad Spend]]/Table1[[#This Row],[Conversions]])</f>
        <v>81.241799999999998</v>
      </c>
      <c r="M861" s="8">
        <f>IF(Table1[[#This Row],[Ad Spend]]=0,0,Table1[[#This Row],[Revenue]]/Table1[[#This Row],[Ad Spend]])</f>
        <v>1.0149602790681642</v>
      </c>
      <c r="N861">
        <f>YEAR(Table1[[#This Row],[Date]])</f>
        <v>2024</v>
      </c>
      <c r="O861" t="str">
        <f>TEXT(Table1[[#This Row],[Date]],"mmm")</f>
        <v>May</v>
      </c>
      <c r="P861">
        <f>MONTH(Table1[[#This Row],[Date]])</f>
        <v>5</v>
      </c>
    </row>
    <row r="862" spans="1:16" x14ac:dyDescent="0.25">
      <c r="A862" t="s">
        <v>881</v>
      </c>
      <c r="B862" t="s">
        <v>9</v>
      </c>
      <c r="C862" t="s">
        <v>12</v>
      </c>
      <c r="D862" s="1">
        <v>45340</v>
      </c>
      <c r="E862">
        <v>93300</v>
      </c>
      <c r="F862">
        <v>2718</v>
      </c>
      <c r="G862">
        <v>254</v>
      </c>
      <c r="H862" s="4">
        <v>2749.11</v>
      </c>
      <c r="I862" s="4">
        <v>15928.49</v>
      </c>
      <c r="J862" s="7">
        <f>Table1[[#This Row],[Clicks]]/Table1[[#This Row],[Impressions]]</f>
        <v>2.9131832797427652E-2</v>
      </c>
      <c r="K862" s="7">
        <f>IFERROR(Table1[[#This Row],[Conversions]]/Table1[[#This Row],[Clicks]],0)</f>
        <v>9.3451066961000737E-2</v>
      </c>
      <c r="L862" s="6">
        <f>IF(Table1[[#This Row],[Conversions]]=0,0,Table1[[#This Row],[Ad Spend]]/Table1[[#This Row],[Conversions]])</f>
        <v>10.823267716535433</v>
      </c>
      <c r="M862" s="8">
        <f>IF(Table1[[#This Row],[Ad Spend]]=0,0,Table1[[#This Row],[Revenue]]/Table1[[#This Row],[Ad Spend]])</f>
        <v>5.7940533481744998</v>
      </c>
      <c r="N862">
        <f>YEAR(Table1[[#This Row],[Date]])</f>
        <v>2024</v>
      </c>
      <c r="O862" t="str">
        <f>TEXT(Table1[[#This Row],[Date]],"mmm")</f>
        <v>Feb</v>
      </c>
      <c r="P862">
        <f>MONTH(Table1[[#This Row],[Date]])</f>
        <v>2</v>
      </c>
    </row>
    <row r="863" spans="1:16" x14ac:dyDescent="0.25">
      <c r="A863" t="s">
        <v>882</v>
      </c>
      <c r="B863" t="s">
        <v>47</v>
      </c>
      <c r="C863" t="s">
        <v>10</v>
      </c>
      <c r="D863" s="1">
        <v>45625</v>
      </c>
      <c r="E863">
        <v>84127</v>
      </c>
      <c r="F863">
        <v>3813</v>
      </c>
      <c r="G863">
        <v>224</v>
      </c>
      <c r="H863" s="4">
        <v>3384.59</v>
      </c>
      <c r="I863" s="4">
        <v>11499.11</v>
      </c>
      <c r="J863" s="7">
        <f>Table1[[#This Row],[Clicks]]/Table1[[#This Row],[Impressions]]</f>
        <v>4.5324331070880929E-2</v>
      </c>
      <c r="K863" s="7">
        <f>IFERROR(Table1[[#This Row],[Conversions]]/Table1[[#This Row],[Clicks]],0)</f>
        <v>5.8746393915552059E-2</v>
      </c>
      <c r="L863" s="6">
        <f>IF(Table1[[#This Row],[Conversions]]=0,0,Table1[[#This Row],[Ad Spend]]/Table1[[#This Row],[Conversions]])</f>
        <v>15.109776785714287</v>
      </c>
      <c r="M863" s="8">
        <f>IF(Table1[[#This Row],[Ad Spend]]=0,0,Table1[[#This Row],[Revenue]]/Table1[[#This Row],[Ad Spend]])</f>
        <v>3.3974897993553133</v>
      </c>
      <c r="N863">
        <f>YEAR(Table1[[#This Row],[Date]])</f>
        <v>2024</v>
      </c>
      <c r="O863" t="str">
        <f>TEXT(Table1[[#This Row],[Date]],"mmm")</f>
        <v>Nov</v>
      </c>
      <c r="P863">
        <f>MONTH(Table1[[#This Row],[Date]])</f>
        <v>11</v>
      </c>
    </row>
    <row r="864" spans="1:16" x14ac:dyDescent="0.25">
      <c r="A864" t="s">
        <v>883</v>
      </c>
      <c r="B864" t="s">
        <v>21</v>
      </c>
      <c r="C864" t="s">
        <v>17</v>
      </c>
      <c r="D864" s="1">
        <v>45420</v>
      </c>
      <c r="E864">
        <v>140100</v>
      </c>
      <c r="F864">
        <v>5845</v>
      </c>
      <c r="G864">
        <v>697</v>
      </c>
      <c r="H864" s="4">
        <v>1066.8800000000001</v>
      </c>
      <c r="I864" s="4">
        <v>15236.65</v>
      </c>
      <c r="J864" s="7">
        <f>Table1[[#This Row],[Clicks]]/Table1[[#This Row],[Impressions]]</f>
        <v>4.1720199857244823E-2</v>
      </c>
      <c r="K864" s="7">
        <f>IFERROR(Table1[[#This Row],[Conversions]]/Table1[[#This Row],[Clicks]],0)</f>
        <v>0.11924721984602224</v>
      </c>
      <c r="L864" s="6">
        <f>IF(Table1[[#This Row],[Conversions]]=0,0,Table1[[#This Row],[Ad Spend]]/Table1[[#This Row],[Conversions]])</f>
        <v>1.530674318507891</v>
      </c>
      <c r="M864" s="8">
        <f>IF(Table1[[#This Row],[Ad Spend]]=0,0,Table1[[#This Row],[Revenue]]/Table1[[#This Row],[Ad Spend]])</f>
        <v>14.281503074385121</v>
      </c>
      <c r="N864">
        <f>YEAR(Table1[[#This Row],[Date]])</f>
        <v>2024</v>
      </c>
      <c r="O864" t="str">
        <f>TEXT(Table1[[#This Row],[Date]],"mmm")</f>
        <v>May</v>
      </c>
      <c r="P864">
        <f>MONTH(Table1[[#This Row],[Date]])</f>
        <v>5</v>
      </c>
    </row>
    <row r="865" spans="1:16" x14ac:dyDescent="0.25">
      <c r="A865" t="s">
        <v>884</v>
      </c>
      <c r="B865" t="s">
        <v>16</v>
      </c>
      <c r="C865" t="s">
        <v>12</v>
      </c>
      <c r="D865" s="1">
        <v>45547</v>
      </c>
      <c r="E865">
        <v>60824</v>
      </c>
      <c r="F865">
        <v>3421</v>
      </c>
      <c r="G865">
        <v>434</v>
      </c>
      <c r="H865" s="4">
        <v>4702.8900000000003</v>
      </c>
      <c r="I865" s="4">
        <v>20308.419999999998</v>
      </c>
      <c r="J865" s="7">
        <f>Table1[[#This Row],[Clicks]]/Table1[[#This Row],[Impressions]]</f>
        <v>5.6244245692489807E-2</v>
      </c>
      <c r="K865" s="7">
        <f>IFERROR(Table1[[#This Row],[Conversions]]/Table1[[#This Row],[Clicks]],0)</f>
        <v>0.12686349020754165</v>
      </c>
      <c r="L865" s="6">
        <f>IF(Table1[[#This Row],[Conversions]]=0,0,Table1[[#This Row],[Ad Spend]]/Table1[[#This Row],[Conversions]])</f>
        <v>10.83615207373272</v>
      </c>
      <c r="M865" s="8">
        <f>IF(Table1[[#This Row],[Ad Spend]]=0,0,Table1[[#This Row],[Revenue]]/Table1[[#This Row],[Ad Spend]])</f>
        <v>4.3182851395631188</v>
      </c>
      <c r="N865">
        <f>YEAR(Table1[[#This Row],[Date]])</f>
        <v>2024</v>
      </c>
      <c r="O865" t="str">
        <f>TEXT(Table1[[#This Row],[Date]],"mmm")</f>
        <v>Sept</v>
      </c>
      <c r="P865">
        <f>MONTH(Table1[[#This Row],[Date]])</f>
        <v>9</v>
      </c>
    </row>
    <row r="866" spans="1:16" x14ac:dyDescent="0.25">
      <c r="A866" t="s">
        <v>885</v>
      </c>
      <c r="B866" t="s">
        <v>21</v>
      </c>
      <c r="C866" t="s">
        <v>12</v>
      </c>
      <c r="D866" s="1">
        <v>45664</v>
      </c>
      <c r="E866">
        <v>20697</v>
      </c>
      <c r="F866">
        <v>963</v>
      </c>
      <c r="G866">
        <v>64</v>
      </c>
      <c r="H866" s="4">
        <v>909.17</v>
      </c>
      <c r="I866" s="4">
        <v>2243.02</v>
      </c>
      <c r="J866" s="7">
        <f>Table1[[#This Row],[Clicks]]/Table1[[#This Row],[Impressions]]</f>
        <v>4.6528482388751992E-2</v>
      </c>
      <c r="K866" s="7">
        <f>IFERROR(Table1[[#This Row],[Conversions]]/Table1[[#This Row],[Clicks]],0)</f>
        <v>6.6458982346832812E-2</v>
      </c>
      <c r="L866" s="6">
        <f>IF(Table1[[#This Row],[Conversions]]=0,0,Table1[[#This Row],[Ad Spend]]/Table1[[#This Row],[Conversions]])</f>
        <v>14.205781249999999</v>
      </c>
      <c r="M866" s="8">
        <f>IF(Table1[[#This Row],[Ad Spend]]=0,0,Table1[[#This Row],[Revenue]]/Table1[[#This Row],[Ad Spend]])</f>
        <v>2.4671073616595356</v>
      </c>
      <c r="N866">
        <f>YEAR(Table1[[#This Row],[Date]])</f>
        <v>2025</v>
      </c>
      <c r="O866" t="str">
        <f>TEXT(Table1[[#This Row],[Date]],"mmm")</f>
        <v>Jan</v>
      </c>
      <c r="P866">
        <f>MONTH(Table1[[#This Row],[Date]])</f>
        <v>1</v>
      </c>
    </row>
    <row r="867" spans="1:16" x14ac:dyDescent="0.25">
      <c r="A867" t="s">
        <v>886</v>
      </c>
      <c r="B867" t="s">
        <v>34</v>
      </c>
      <c r="C867" t="s">
        <v>17</v>
      </c>
      <c r="D867" s="1">
        <v>45502</v>
      </c>
      <c r="E867">
        <v>88533</v>
      </c>
      <c r="F867">
        <v>6216</v>
      </c>
      <c r="G867">
        <v>860</v>
      </c>
      <c r="H867" s="4">
        <v>3242.85</v>
      </c>
      <c r="I867" s="4">
        <v>89953.16</v>
      </c>
      <c r="J867" s="7">
        <f>Table1[[#This Row],[Clicks]]/Table1[[#This Row],[Impressions]]</f>
        <v>7.021110772254413E-2</v>
      </c>
      <c r="K867" s="7">
        <f>IFERROR(Table1[[#This Row],[Conversions]]/Table1[[#This Row],[Clicks]],0)</f>
        <v>0.13835263835263836</v>
      </c>
      <c r="L867" s="6">
        <f>IF(Table1[[#This Row],[Conversions]]=0,0,Table1[[#This Row],[Ad Spend]]/Table1[[#This Row],[Conversions]])</f>
        <v>3.7707558139534885</v>
      </c>
      <c r="M867" s="8">
        <f>IF(Table1[[#This Row],[Ad Spend]]=0,0,Table1[[#This Row],[Revenue]]/Table1[[#This Row],[Ad Spend]])</f>
        <v>27.738921010839231</v>
      </c>
      <c r="N867">
        <f>YEAR(Table1[[#This Row],[Date]])</f>
        <v>2024</v>
      </c>
      <c r="O867" t="str">
        <f>TEXT(Table1[[#This Row],[Date]],"mmm")</f>
        <v>Jul</v>
      </c>
      <c r="P867">
        <f>MONTH(Table1[[#This Row],[Date]])</f>
        <v>7</v>
      </c>
    </row>
    <row r="868" spans="1:16" x14ac:dyDescent="0.25">
      <c r="A868" t="s">
        <v>887</v>
      </c>
      <c r="B868" t="s">
        <v>34</v>
      </c>
      <c r="C868" t="s">
        <v>19</v>
      </c>
      <c r="D868" s="1">
        <v>45622</v>
      </c>
      <c r="E868">
        <v>47096</v>
      </c>
      <c r="F868">
        <v>1316</v>
      </c>
      <c r="G868">
        <v>129</v>
      </c>
      <c r="H868" s="4">
        <v>2148.16</v>
      </c>
      <c r="I868" s="4">
        <v>4044.91</v>
      </c>
      <c r="J868" s="7">
        <f>Table1[[#This Row],[Clicks]]/Table1[[#This Row],[Impressions]]</f>
        <v>2.794292508917955E-2</v>
      </c>
      <c r="K868" s="7">
        <f>IFERROR(Table1[[#This Row],[Conversions]]/Table1[[#This Row],[Clicks]],0)</f>
        <v>9.8024316109422499E-2</v>
      </c>
      <c r="L868" s="6">
        <f>IF(Table1[[#This Row],[Conversions]]=0,0,Table1[[#This Row],[Ad Spend]]/Table1[[#This Row],[Conversions]])</f>
        <v>16.652403100775192</v>
      </c>
      <c r="M868" s="8">
        <f>IF(Table1[[#This Row],[Ad Spend]]=0,0,Table1[[#This Row],[Revenue]]/Table1[[#This Row],[Ad Spend]])</f>
        <v>1.8829649560554149</v>
      </c>
      <c r="N868">
        <f>YEAR(Table1[[#This Row],[Date]])</f>
        <v>2024</v>
      </c>
      <c r="O868" t="str">
        <f>TEXT(Table1[[#This Row],[Date]],"mmm")</f>
        <v>Nov</v>
      </c>
      <c r="P868">
        <f>MONTH(Table1[[#This Row],[Date]])</f>
        <v>11</v>
      </c>
    </row>
    <row r="869" spans="1:16" x14ac:dyDescent="0.25">
      <c r="A869" t="s">
        <v>888</v>
      </c>
      <c r="B869" t="s">
        <v>14</v>
      </c>
      <c r="C869" t="s">
        <v>10</v>
      </c>
      <c r="D869" s="1">
        <v>45417</v>
      </c>
      <c r="E869">
        <v>86406</v>
      </c>
      <c r="F869">
        <v>3671</v>
      </c>
      <c r="G869">
        <v>340</v>
      </c>
      <c r="H869" s="4">
        <v>2293.44</v>
      </c>
      <c r="I869" s="4">
        <v>28795.35</v>
      </c>
      <c r="J869" s="7">
        <f>Table1[[#This Row],[Clicks]]/Table1[[#This Row],[Impressions]]</f>
        <v>4.2485475545679698E-2</v>
      </c>
      <c r="K869" s="7">
        <f>IFERROR(Table1[[#This Row],[Conversions]]/Table1[[#This Row],[Clicks]],0)</f>
        <v>9.2617815309180063E-2</v>
      </c>
      <c r="L869" s="6">
        <f>IF(Table1[[#This Row],[Conversions]]=0,0,Table1[[#This Row],[Ad Spend]]/Table1[[#This Row],[Conversions]])</f>
        <v>6.7454117647058824</v>
      </c>
      <c r="M869" s="8">
        <f>IF(Table1[[#This Row],[Ad Spend]]=0,0,Table1[[#This Row],[Revenue]]/Table1[[#This Row],[Ad Spend]])</f>
        <v>12.555527940560903</v>
      </c>
      <c r="N869">
        <f>YEAR(Table1[[#This Row],[Date]])</f>
        <v>2024</v>
      </c>
      <c r="O869" t="str">
        <f>TEXT(Table1[[#This Row],[Date]],"mmm")</f>
        <v>May</v>
      </c>
      <c r="P869">
        <f>MONTH(Table1[[#This Row],[Date]])</f>
        <v>5</v>
      </c>
    </row>
    <row r="870" spans="1:16" x14ac:dyDescent="0.25">
      <c r="A870" t="s">
        <v>889</v>
      </c>
      <c r="B870" t="s">
        <v>31</v>
      </c>
      <c r="C870" t="s">
        <v>37</v>
      </c>
      <c r="D870" s="1">
        <v>45373</v>
      </c>
      <c r="E870">
        <v>76489</v>
      </c>
      <c r="F870">
        <v>1495</v>
      </c>
      <c r="G870">
        <v>80</v>
      </c>
      <c r="H870" s="4">
        <v>4056.98</v>
      </c>
      <c r="I870" s="4">
        <v>6869.37</v>
      </c>
      <c r="J870" s="7">
        <f>Table1[[#This Row],[Clicks]]/Table1[[#This Row],[Impressions]]</f>
        <v>1.9545294094575692E-2</v>
      </c>
      <c r="K870" s="7">
        <f>IFERROR(Table1[[#This Row],[Conversions]]/Table1[[#This Row],[Clicks]],0)</f>
        <v>5.3511705685618728E-2</v>
      </c>
      <c r="L870" s="6">
        <f>IF(Table1[[#This Row],[Conversions]]=0,0,Table1[[#This Row],[Ad Spend]]/Table1[[#This Row],[Conversions]])</f>
        <v>50.712249999999997</v>
      </c>
      <c r="M870" s="8">
        <f>IF(Table1[[#This Row],[Ad Spend]]=0,0,Table1[[#This Row],[Revenue]]/Table1[[#This Row],[Ad Spend]])</f>
        <v>1.6932225448486311</v>
      </c>
      <c r="N870">
        <f>YEAR(Table1[[#This Row],[Date]])</f>
        <v>2024</v>
      </c>
      <c r="O870" t="str">
        <f>TEXT(Table1[[#This Row],[Date]],"mmm")</f>
        <v>Mar</v>
      </c>
      <c r="P870">
        <f>MONTH(Table1[[#This Row],[Date]])</f>
        <v>3</v>
      </c>
    </row>
    <row r="871" spans="1:16" x14ac:dyDescent="0.25">
      <c r="A871" t="s">
        <v>890</v>
      </c>
      <c r="B871" t="s">
        <v>16</v>
      </c>
      <c r="C871" t="s">
        <v>10</v>
      </c>
      <c r="D871" s="1">
        <v>45661</v>
      </c>
      <c r="E871">
        <v>132360</v>
      </c>
      <c r="F871">
        <v>8571</v>
      </c>
      <c r="G871">
        <v>233</v>
      </c>
      <c r="H871" s="4">
        <v>4503.2299999999996</v>
      </c>
      <c r="I871" s="4">
        <v>11973.98</v>
      </c>
      <c r="J871" s="7">
        <f>Table1[[#This Row],[Clicks]]/Table1[[#This Row],[Impressions]]</f>
        <v>6.4755213055303712E-2</v>
      </c>
      <c r="K871" s="7">
        <f>IFERROR(Table1[[#This Row],[Conversions]]/Table1[[#This Row],[Clicks]],0)</f>
        <v>2.7184692567961733E-2</v>
      </c>
      <c r="L871" s="6">
        <f>IF(Table1[[#This Row],[Conversions]]=0,0,Table1[[#This Row],[Ad Spend]]/Table1[[#This Row],[Conversions]])</f>
        <v>19.327167381974245</v>
      </c>
      <c r="M871" s="8">
        <f>IF(Table1[[#This Row],[Ad Spend]]=0,0,Table1[[#This Row],[Revenue]]/Table1[[#This Row],[Ad Spend]])</f>
        <v>2.6589758906384975</v>
      </c>
      <c r="N871">
        <f>YEAR(Table1[[#This Row],[Date]])</f>
        <v>2025</v>
      </c>
      <c r="O871" t="str">
        <f>TEXT(Table1[[#This Row],[Date]],"mmm")</f>
        <v>Jan</v>
      </c>
      <c r="P871">
        <f>MONTH(Table1[[#This Row],[Date]])</f>
        <v>1</v>
      </c>
    </row>
    <row r="872" spans="1:16" x14ac:dyDescent="0.25">
      <c r="A872" t="s">
        <v>891</v>
      </c>
      <c r="B872" t="s">
        <v>34</v>
      </c>
      <c r="C872" t="s">
        <v>10</v>
      </c>
      <c r="D872" s="1">
        <v>45500</v>
      </c>
      <c r="E872">
        <v>100272</v>
      </c>
      <c r="F872">
        <v>5717</v>
      </c>
      <c r="G872">
        <v>772</v>
      </c>
      <c r="H872" s="4">
        <v>2105.1</v>
      </c>
      <c r="I872" s="4">
        <v>80273.37</v>
      </c>
      <c r="J872" s="7">
        <f>Table1[[#This Row],[Clicks]]/Table1[[#This Row],[Impressions]]</f>
        <v>5.7014919419179834E-2</v>
      </c>
      <c r="K872" s="7">
        <f>IFERROR(Table1[[#This Row],[Conversions]]/Table1[[#This Row],[Clicks]],0)</f>
        <v>0.13503585796746545</v>
      </c>
      <c r="L872" s="6">
        <f>IF(Table1[[#This Row],[Conversions]]=0,0,Table1[[#This Row],[Ad Spend]]/Table1[[#This Row],[Conversions]])</f>
        <v>2.7268134715025907</v>
      </c>
      <c r="M872" s="8">
        <f>IF(Table1[[#This Row],[Ad Spend]]=0,0,Table1[[#This Row],[Revenue]]/Table1[[#This Row],[Ad Spend]])</f>
        <v>38.132806042468289</v>
      </c>
      <c r="N872">
        <f>YEAR(Table1[[#This Row],[Date]])</f>
        <v>2024</v>
      </c>
      <c r="O872" t="str">
        <f>TEXT(Table1[[#This Row],[Date]],"mmm")</f>
        <v>Jul</v>
      </c>
      <c r="P872">
        <f>MONTH(Table1[[#This Row],[Date]])</f>
        <v>7</v>
      </c>
    </row>
    <row r="873" spans="1:16" x14ac:dyDescent="0.25">
      <c r="A873" t="s">
        <v>892</v>
      </c>
      <c r="B873" t="s">
        <v>16</v>
      </c>
      <c r="C873" t="s">
        <v>37</v>
      </c>
      <c r="D873" s="1">
        <v>45349</v>
      </c>
      <c r="E873">
        <v>136137</v>
      </c>
      <c r="F873">
        <v>10251</v>
      </c>
      <c r="G873">
        <v>900</v>
      </c>
      <c r="H873" s="4">
        <v>4179.1099999999997</v>
      </c>
      <c r="I873" s="4">
        <v>103470.71</v>
      </c>
      <c r="J873" s="7">
        <f>Table1[[#This Row],[Clicks]]/Table1[[#This Row],[Impressions]]</f>
        <v>7.5299147182617515E-2</v>
      </c>
      <c r="K873" s="7">
        <f>IFERROR(Table1[[#This Row],[Conversions]]/Table1[[#This Row],[Clicks]],0)</f>
        <v>8.7796312554872691E-2</v>
      </c>
      <c r="L873" s="6">
        <f>IF(Table1[[#This Row],[Conversions]]=0,0,Table1[[#This Row],[Ad Spend]]/Table1[[#This Row],[Conversions]])</f>
        <v>4.6434555555555548</v>
      </c>
      <c r="M873" s="8">
        <f>IF(Table1[[#This Row],[Ad Spend]]=0,0,Table1[[#This Row],[Revenue]]/Table1[[#This Row],[Ad Spend]])</f>
        <v>24.759030032710317</v>
      </c>
      <c r="N873">
        <f>YEAR(Table1[[#This Row],[Date]])</f>
        <v>2024</v>
      </c>
      <c r="O873" t="str">
        <f>TEXT(Table1[[#This Row],[Date]],"mmm")</f>
        <v>Feb</v>
      </c>
      <c r="P873">
        <f>MONTH(Table1[[#This Row],[Date]])</f>
        <v>2</v>
      </c>
    </row>
    <row r="874" spans="1:16" x14ac:dyDescent="0.25">
      <c r="A874" t="s">
        <v>893</v>
      </c>
      <c r="B874" t="s">
        <v>34</v>
      </c>
      <c r="C874" t="s">
        <v>17</v>
      </c>
      <c r="D874" s="1">
        <v>45338</v>
      </c>
      <c r="E874">
        <v>67410</v>
      </c>
      <c r="F874">
        <v>3504</v>
      </c>
      <c r="G874">
        <v>422</v>
      </c>
      <c r="H874" s="4">
        <v>1704.37</v>
      </c>
      <c r="I874" s="4">
        <v>43564.5</v>
      </c>
      <c r="J874" s="7">
        <f>Table1[[#This Row],[Clicks]]/Table1[[#This Row],[Impressions]]</f>
        <v>5.1980418335558526E-2</v>
      </c>
      <c r="K874" s="7">
        <f>IFERROR(Table1[[#This Row],[Conversions]]/Table1[[#This Row],[Clicks]],0)</f>
        <v>0.1204337899543379</v>
      </c>
      <c r="L874" s="6">
        <f>IF(Table1[[#This Row],[Conversions]]=0,0,Table1[[#This Row],[Ad Spend]]/Table1[[#This Row],[Conversions]])</f>
        <v>4.0387914691943125</v>
      </c>
      <c r="M874" s="8">
        <f>IF(Table1[[#This Row],[Ad Spend]]=0,0,Table1[[#This Row],[Revenue]]/Table1[[#This Row],[Ad Spend]])</f>
        <v>25.560471024484123</v>
      </c>
      <c r="N874">
        <f>YEAR(Table1[[#This Row],[Date]])</f>
        <v>2024</v>
      </c>
      <c r="O874" t="str">
        <f>TEXT(Table1[[#This Row],[Date]],"mmm")</f>
        <v>Feb</v>
      </c>
      <c r="P874">
        <f>MONTH(Table1[[#This Row],[Date]])</f>
        <v>2</v>
      </c>
    </row>
    <row r="875" spans="1:16" x14ac:dyDescent="0.25">
      <c r="A875" t="s">
        <v>894</v>
      </c>
      <c r="B875" t="s">
        <v>21</v>
      </c>
      <c r="C875" t="s">
        <v>37</v>
      </c>
      <c r="D875" s="1">
        <v>45508</v>
      </c>
      <c r="E875">
        <v>62149</v>
      </c>
      <c r="F875">
        <v>1249</v>
      </c>
      <c r="G875">
        <v>53</v>
      </c>
      <c r="H875" s="4">
        <v>4855.63</v>
      </c>
      <c r="I875" s="4">
        <v>3389.22</v>
      </c>
      <c r="J875" s="7">
        <f>Table1[[#This Row],[Clicks]]/Table1[[#This Row],[Impressions]]</f>
        <v>2.0096863988157493E-2</v>
      </c>
      <c r="K875" s="7">
        <f>IFERROR(Table1[[#This Row],[Conversions]]/Table1[[#This Row],[Clicks]],0)</f>
        <v>4.2433947157726179E-2</v>
      </c>
      <c r="L875" s="6">
        <f>IF(Table1[[#This Row],[Conversions]]=0,0,Table1[[#This Row],[Ad Spend]]/Table1[[#This Row],[Conversions]])</f>
        <v>91.615660377358495</v>
      </c>
      <c r="M875" s="8">
        <f>IF(Table1[[#This Row],[Ad Spend]]=0,0,Table1[[#This Row],[Revenue]]/Table1[[#This Row],[Ad Spend]])</f>
        <v>0.69799799408109753</v>
      </c>
      <c r="N875">
        <f>YEAR(Table1[[#This Row],[Date]])</f>
        <v>2024</v>
      </c>
      <c r="O875" t="str">
        <f>TEXT(Table1[[#This Row],[Date]],"mmm")</f>
        <v>Aug</v>
      </c>
      <c r="P875">
        <f>MONTH(Table1[[#This Row],[Date]])</f>
        <v>8</v>
      </c>
    </row>
    <row r="876" spans="1:16" x14ac:dyDescent="0.25">
      <c r="A876" t="s">
        <v>895</v>
      </c>
      <c r="B876" t="s">
        <v>34</v>
      </c>
      <c r="C876" t="s">
        <v>12</v>
      </c>
      <c r="D876" s="1">
        <v>45320</v>
      </c>
      <c r="E876">
        <v>133544</v>
      </c>
      <c r="F876">
        <v>6322</v>
      </c>
      <c r="G876">
        <v>701</v>
      </c>
      <c r="H876" s="4">
        <v>742.21</v>
      </c>
      <c r="I876" s="4">
        <v>52276.73</v>
      </c>
      <c r="J876" s="7">
        <f>Table1[[#This Row],[Clicks]]/Table1[[#This Row],[Impressions]]</f>
        <v>4.7340202480081472E-2</v>
      </c>
      <c r="K876" s="7">
        <f>IFERROR(Table1[[#This Row],[Conversions]]/Table1[[#This Row],[Clicks]],0)</f>
        <v>0.11088263207845618</v>
      </c>
      <c r="L876" s="6">
        <f>IF(Table1[[#This Row],[Conversions]]=0,0,Table1[[#This Row],[Ad Spend]]/Table1[[#This Row],[Conversions]])</f>
        <v>1.0587874465049929</v>
      </c>
      <c r="M876" s="8">
        <f>IF(Table1[[#This Row],[Ad Spend]]=0,0,Table1[[#This Row],[Revenue]]/Table1[[#This Row],[Ad Spend]])</f>
        <v>70.433879899219903</v>
      </c>
      <c r="N876">
        <f>YEAR(Table1[[#This Row],[Date]])</f>
        <v>2024</v>
      </c>
      <c r="O876" t="str">
        <f>TEXT(Table1[[#This Row],[Date]],"mmm")</f>
        <v>Jan</v>
      </c>
      <c r="P876">
        <f>MONTH(Table1[[#This Row],[Date]])</f>
        <v>1</v>
      </c>
    </row>
    <row r="877" spans="1:16" x14ac:dyDescent="0.25">
      <c r="A877" t="s">
        <v>896</v>
      </c>
      <c r="B877" t="s">
        <v>41</v>
      </c>
      <c r="C877" t="s">
        <v>37</v>
      </c>
      <c r="D877" s="1">
        <v>45434</v>
      </c>
      <c r="E877">
        <v>42987</v>
      </c>
      <c r="F877">
        <v>1522</v>
      </c>
      <c r="G877">
        <v>172</v>
      </c>
      <c r="H877" s="4">
        <v>4142.55</v>
      </c>
      <c r="I877" s="4">
        <v>3802.48</v>
      </c>
      <c r="J877" s="7">
        <f>Table1[[#This Row],[Clicks]]/Table1[[#This Row],[Impressions]]</f>
        <v>3.5406052992765252E-2</v>
      </c>
      <c r="K877" s="7">
        <f>IFERROR(Table1[[#This Row],[Conversions]]/Table1[[#This Row],[Clicks]],0)</f>
        <v>0.11300919842312747</v>
      </c>
      <c r="L877" s="6">
        <f>IF(Table1[[#This Row],[Conversions]]=0,0,Table1[[#This Row],[Ad Spend]]/Table1[[#This Row],[Conversions]])</f>
        <v>24.084593023255817</v>
      </c>
      <c r="M877" s="8">
        <f>IF(Table1[[#This Row],[Ad Spend]]=0,0,Table1[[#This Row],[Revenue]]/Table1[[#This Row],[Ad Spend]])</f>
        <v>0.91790805180384061</v>
      </c>
      <c r="N877">
        <f>YEAR(Table1[[#This Row],[Date]])</f>
        <v>2024</v>
      </c>
      <c r="O877" t="str">
        <f>TEXT(Table1[[#This Row],[Date]],"mmm")</f>
        <v>May</v>
      </c>
      <c r="P877">
        <f>MONTH(Table1[[#This Row],[Date]])</f>
        <v>5</v>
      </c>
    </row>
    <row r="878" spans="1:16" x14ac:dyDescent="0.25">
      <c r="A878" t="s">
        <v>897</v>
      </c>
      <c r="B878" t="s">
        <v>31</v>
      </c>
      <c r="C878" t="s">
        <v>10</v>
      </c>
      <c r="D878" s="1">
        <v>45645</v>
      </c>
      <c r="E878">
        <v>67829</v>
      </c>
      <c r="F878">
        <v>1879</v>
      </c>
      <c r="G878">
        <v>131</v>
      </c>
      <c r="H878" s="4">
        <v>3266.96</v>
      </c>
      <c r="I878" s="4">
        <v>11798.08</v>
      </c>
      <c r="J878" s="7">
        <f>Table1[[#This Row],[Clicks]]/Table1[[#This Row],[Impressions]]</f>
        <v>2.7702015362160728E-2</v>
      </c>
      <c r="K878" s="7">
        <f>IFERROR(Table1[[#This Row],[Conversions]]/Table1[[#This Row],[Clicks]],0)</f>
        <v>6.9717935071846732E-2</v>
      </c>
      <c r="L878" s="6">
        <f>IF(Table1[[#This Row],[Conversions]]=0,0,Table1[[#This Row],[Ad Spend]]/Table1[[#This Row],[Conversions]])</f>
        <v>24.938625954198475</v>
      </c>
      <c r="M878" s="8">
        <f>IF(Table1[[#This Row],[Ad Spend]]=0,0,Table1[[#This Row],[Revenue]]/Table1[[#This Row],[Ad Spend]])</f>
        <v>3.6113328599064571</v>
      </c>
      <c r="N878">
        <f>YEAR(Table1[[#This Row],[Date]])</f>
        <v>2024</v>
      </c>
      <c r="O878" t="str">
        <f>TEXT(Table1[[#This Row],[Date]],"mmm")</f>
        <v>Dec</v>
      </c>
      <c r="P878">
        <f>MONTH(Table1[[#This Row],[Date]])</f>
        <v>12</v>
      </c>
    </row>
    <row r="879" spans="1:16" x14ac:dyDescent="0.25">
      <c r="A879" t="s">
        <v>898</v>
      </c>
      <c r="B879" t="s">
        <v>9</v>
      </c>
      <c r="C879" t="s">
        <v>12</v>
      </c>
      <c r="D879" s="1">
        <v>45413</v>
      </c>
      <c r="E879">
        <v>120973</v>
      </c>
      <c r="F879">
        <v>4499</v>
      </c>
      <c r="G879">
        <v>622</v>
      </c>
      <c r="H879" s="4">
        <v>2086.2800000000002</v>
      </c>
      <c r="I879" s="4">
        <v>73271.16</v>
      </c>
      <c r="J879" s="7">
        <f>Table1[[#This Row],[Clicks]]/Table1[[#This Row],[Impressions]]</f>
        <v>3.7190116802922966E-2</v>
      </c>
      <c r="K879" s="7">
        <f>IFERROR(Table1[[#This Row],[Conversions]]/Table1[[#This Row],[Clicks]],0)</f>
        <v>0.13825294509891087</v>
      </c>
      <c r="L879" s="6">
        <f>IF(Table1[[#This Row],[Conversions]]=0,0,Table1[[#This Row],[Ad Spend]]/Table1[[#This Row],[Conversions]])</f>
        <v>3.3541479099678462</v>
      </c>
      <c r="M879" s="8">
        <f>IF(Table1[[#This Row],[Ad Spend]]=0,0,Table1[[#This Row],[Revenue]]/Table1[[#This Row],[Ad Spend]])</f>
        <v>35.120482389707995</v>
      </c>
      <c r="N879">
        <f>YEAR(Table1[[#This Row],[Date]])</f>
        <v>2024</v>
      </c>
      <c r="O879" t="str">
        <f>TEXT(Table1[[#This Row],[Date]],"mmm")</f>
        <v>May</v>
      </c>
      <c r="P879">
        <f>MONTH(Table1[[#This Row],[Date]])</f>
        <v>5</v>
      </c>
    </row>
    <row r="880" spans="1:16" x14ac:dyDescent="0.25">
      <c r="A880" t="s">
        <v>899</v>
      </c>
      <c r="B880" t="s">
        <v>34</v>
      </c>
      <c r="C880" t="s">
        <v>19</v>
      </c>
      <c r="D880" s="1">
        <v>45338</v>
      </c>
      <c r="E880">
        <v>66724</v>
      </c>
      <c r="F880">
        <v>2056</v>
      </c>
      <c r="G880">
        <v>270</v>
      </c>
      <c r="H880" s="4">
        <v>969.09</v>
      </c>
      <c r="I880" s="4">
        <v>17248.84</v>
      </c>
      <c r="J880" s="7">
        <f>Table1[[#This Row],[Clicks]]/Table1[[#This Row],[Impressions]]</f>
        <v>3.0813500389664888E-2</v>
      </c>
      <c r="K880" s="7">
        <f>IFERROR(Table1[[#This Row],[Conversions]]/Table1[[#This Row],[Clicks]],0)</f>
        <v>0.13132295719844359</v>
      </c>
      <c r="L880" s="6">
        <f>IF(Table1[[#This Row],[Conversions]]=0,0,Table1[[#This Row],[Ad Spend]]/Table1[[#This Row],[Conversions]])</f>
        <v>3.5892222222222223</v>
      </c>
      <c r="M880" s="8">
        <f>IF(Table1[[#This Row],[Ad Spend]]=0,0,Table1[[#This Row],[Revenue]]/Table1[[#This Row],[Ad Spend]])</f>
        <v>17.799007316141946</v>
      </c>
      <c r="N880">
        <f>YEAR(Table1[[#This Row],[Date]])</f>
        <v>2024</v>
      </c>
      <c r="O880" t="str">
        <f>TEXT(Table1[[#This Row],[Date]],"mmm")</f>
        <v>Feb</v>
      </c>
      <c r="P880">
        <f>MONTH(Table1[[#This Row],[Date]])</f>
        <v>2</v>
      </c>
    </row>
    <row r="881" spans="1:16" x14ac:dyDescent="0.25">
      <c r="A881" t="s">
        <v>900</v>
      </c>
      <c r="B881" t="s">
        <v>47</v>
      </c>
      <c r="C881" t="s">
        <v>17</v>
      </c>
      <c r="D881" s="1">
        <v>45696</v>
      </c>
      <c r="E881">
        <v>13881</v>
      </c>
      <c r="F881">
        <v>405</v>
      </c>
      <c r="G881">
        <v>12</v>
      </c>
      <c r="H881" s="4">
        <v>3941.39</v>
      </c>
      <c r="I881" s="4">
        <v>830.03</v>
      </c>
      <c r="J881" s="7">
        <f>Table1[[#This Row],[Clicks]]/Table1[[#This Row],[Impressions]]</f>
        <v>2.9176572293062461E-2</v>
      </c>
      <c r="K881" s="7">
        <f>IFERROR(Table1[[#This Row],[Conversions]]/Table1[[#This Row],[Clicks]],0)</f>
        <v>2.9629629629629631E-2</v>
      </c>
      <c r="L881" s="6">
        <f>IF(Table1[[#This Row],[Conversions]]=0,0,Table1[[#This Row],[Ad Spend]]/Table1[[#This Row],[Conversions]])</f>
        <v>328.44916666666666</v>
      </c>
      <c r="M881" s="8">
        <f>IF(Table1[[#This Row],[Ad Spend]]=0,0,Table1[[#This Row],[Revenue]]/Table1[[#This Row],[Ad Spend]])</f>
        <v>0.21059321711375936</v>
      </c>
      <c r="N881">
        <f>YEAR(Table1[[#This Row],[Date]])</f>
        <v>2025</v>
      </c>
      <c r="O881" t="str">
        <f>TEXT(Table1[[#This Row],[Date]],"mmm")</f>
        <v>Feb</v>
      </c>
      <c r="P881">
        <f>MONTH(Table1[[#This Row],[Date]])</f>
        <v>2</v>
      </c>
    </row>
    <row r="882" spans="1:16" x14ac:dyDescent="0.25">
      <c r="A882" t="s">
        <v>901</v>
      </c>
      <c r="B882" t="s">
        <v>21</v>
      </c>
      <c r="C882" t="s">
        <v>19</v>
      </c>
      <c r="D882" s="1">
        <v>45659</v>
      </c>
      <c r="E882">
        <v>115720</v>
      </c>
      <c r="F882">
        <v>8259</v>
      </c>
      <c r="G882">
        <v>1045</v>
      </c>
      <c r="H882" s="4">
        <v>4157.12</v>
      </c>
      <c r="I882" s="4">
        <v>93891.39</v>
      </c>
      <c r="J882" s="7">
        <f>Table1[[#This Row],[Clicks]]/Table1[[#This Row],[Impressions]]</f>
        <v>7.1370549602488773E-2</v>
      </c>
      <c r="K882" s="7">
        <f>IFERROR(Table1[[#This Row],[Conversions]]/Table1[[#This Row],[Clicks]],0)</f>
        <v>0.12652863542801793</v>
      </c>
      <c r="L882" s="6">
        <f>IF(Table1[[#This Row],[Conversions]]=0,0,Table1[[#This Row],[Ad Spend]]/Table1[[#This Row],[Conversions]])</f>
        <v>3.9781052631578948</v>
      </c>
      <c r="M882" s="8">
        <f>IF(Table1[[#This Row],[Ad Spend]]=0,0,Table1[[#This Row],[Revenue]]/Table1[[#This Row],[Ad Spend]])</f>
        <v>22.585681914402279</v>
      </c>
      <c r="N882">
        <f>YEAR(Table1[[#This Row],[Date]])</f>
        <v>2025</v>
      </c>
      <c r="O882" t="str">
        <f>TEXT(Table1[[#This Row],[Date]],"mmm")</f>
        <v>Jan</v>
      </c>
      <c r="P882">
        <f>MONTH(Table1[[#This Row],[Date]])</f>
        <v>1</v>
      </c>
    </row>
    <row r="883" spans="1:16" x14ac:dyDescent="0.25">
      <c r="A883" t="s">
        <v>902</v>
      </c>
      <c r="B883" t="s">
        <v>9</v>
      </c>
      <c r="C883" t="s">
        <v>19</v>
      </c>
      <c r="D883" s="1">
        <v>45507</v>
      </c>
      <c r="E883">
        <v>148583</v>
      </c>
      <c r="F883">
        <v>9159</v>
      </c>
      <c r="G883">
        <v>722</v>
      </c>
      <c r="H883" s="4">
        <v>331.28</v>
      </c>
      <c r="I883" s="4">
        <v>18201.54</v>
      </c>
      <c r="J883" s="7">
        <f>Table1[[#This Row],[Clicks]]/Table1[[#This Row],[Impressions]]</f>
        <v>6.1642314396667182E-2</v>
      </c>
      <c r="K883" s="7">
        <f>IFERROR(Table1[[#This Row],[Conversions]]/Table1[[#This Row],[Clicks]],0)</f>
        <v>7.8829566546566213E-2</v>
      </c>
      <c r="L883" s="6">
        <f>IF(Table1[[#This Row],[Conversions]]=0,0,Table1[[#This Row],[Ad Spend]]/Table1[[#This Row],[Conversions]])</f>
        <v>0.45883656509695286</v>
      </c>
      <c r="M883" s="8">
        <f>IF(Table1[[#This Row],[Ad Spend]]=0,0,Table1[[#This Row],[Revenue]]/Table1[[#This Row],[Ad Spend]])</f>
        <v>54.943069306930703</v>
      </c>
      <c r="N883">
        <f>YEAR(Table1[[#This Row],[Date]])</f>
        <v>2024</v>
      </c>
      <c r="O883" t="str">
        <f>TEXT(Table1[[#This Row],[Date]],"mmm")</f>
        <v>Aug</v>
      </c>
      <c r="P883">
        <f>MONTH(Table1[[#This Row],[Date]])</f>
        <v>8</v>
      </c>
    </row>
    <row r="884" spans="1:16" x14ac:dyDescent="0.25">
      <c r="A884" t="s">
        <v>903</v>
      </c>
      <c r="B884" t="s">
        <v>16</v>
      </c>
      <c r="C884" t="s">
        <v>17</v>
      </c>
      <c r="D884" s="1">
        <v>45697</v>
      </c>
      <c r="E884">
        <v>40675</v>
      </c>
      <c r="F884">
        <v>415</v>
      </c>
      <c r="G884">
        <v>19</v>
      </c>
      <c r="H884" s="4">
        <v>1666.63</v>
      </c>
      <c r="I884" s="4">
        <v>1474.04</v>
      </c>
      <c r="J884" s="7">
        <f>Table1[[#This Row],[Clicks]]/Table1[[#This Row],[Impressions]]</f>
        <v>1.0202827289489859E-2</v>
      </c>
      <c r="K884" s="7">
        <f>IFERROR(Table1[[#This Row],[Conversions]]/Table1[[#This Row],[Clicks]],0)</f>
        <v>4.5783132530120479E-2</v>
      </c>
      <c r="L884" s="6">
        <f>IF(Table1[[#This Row],[Conversions]]=0,0,Table1[[#This Row],[Ad Spend]]/Table1[[#This Row],[Conversions]])</f>
        <v>87.71736842105264</v>
      </c>
      <c r="M884" s="8">
        <f>IF(Table1[[#This Row],[Ad Spend]]=0,0,Table1[[#This Row],[Revenue]]/Table1[[#This Row],[Ad Spend]])</f>
        <v>0.88444345775607058</v>
      </c>
      <c r="N884">
        <f>YEAR(Table1[[#This Row],[Date]])</f>
        <v>2025</v>
      </c>
      <c r="O884" t="str">
        <f>TEXT(Table1[[#This Row],[Date]],"mmm")</f>
        <v>Feb</v>
      </c>
      <c r="P884">
        <f>MONTH(Table1[[#This Row],[Date]])</f>
        <v>2</v>
      </c>
    </row>
    <row r="885" spans="1:16" x14ac:dyDescent="0.25">
      <c r="A885" t="s">
        <v>904</v>
      </c>
      <c r="B885" t="s">
        <v>9</v>
      </c>
      <c r="C885" t="s">
        <v>37</v>
      </c>
      <c r="D885" s="1">
        <v>45419</v>
      </c>
      <c r="E885">
        <v>140362</v>
      </c>
      <c r="F885">
        <v>8414</v>
      </c>
      <c r="G885">
        <v>1007</v>
      </c>
      <c r="H885" s="4">
        <v>3316.07</v>
      </c>
      <c r="I885" s="4">
        <v>33240.36</v>
      </c>
      <c r="J885" s="7">
        <f>Table1[[#This Row],[Clicks]]/Table1[[#This Row],[Impressions]]</f>
        <v>5.9944999358800814E-2</v>
      </c>
      <c r="K885" s="7">
        <f>IFERROR(Table1[[#This Row],[Conversions]]/Table1[[#This Row],[Clicks]],0)</f>
        <v>0.11968148324221535</v>
      </c>
      <c r="L885" s="6">
        <f>IF(Table1[[#This Row],[Conversions]]=0,0,Table1[[#This Row],[Ad Spend]]/Table1[[#This Row],[Conversions]])</f>
        <v>3.2930188679245282</v>
      </c>
      <c r="M885" s="8">
        <f>IF(Table1[[#This Row],[Ad Spend]]=0,0,Table1[[#This Row],[Revenue]]/Table1[[#This Row],[Ad Spend]])</f>
        <v>10.024022412072121</v>
      </c>
      <c r="N885">
        <f>YEAR(Table1[[#This Row],[Date]])</f>
        <v>2024</v>
      </c>
      <c r="O885" t="str">
        <f>TEXT(Table1[[#This Row],[Date]],"mmm")</f>
        <v>May</v>
      </c>
      <c r="P885">
        <f>MONTH(Table1[[#This Row],[Date]])</f>
        <v>5</v>
      </c>
    </row>
    <row r="886" spans="1:16" x14ac:dyDescent="0.25">
      <c r="A886" t="s">
        <v>905</v>
      </c>
      <c r="B886" t="s">
        <v>21</v>
      </c>
      <c r="C886" t="s">
        <v>19</v>
      </c>
      <c r="D886" s="1">
        <v>45523</v>
      </c>
      <c r="E886">
        <v>130400</v>
      </c>
      <c r="F886">
        <v>9277</v>
      </c>
      <c r="G886">
        <v>346</v>
      </c>
      <c r="H886" s="4">
        <v>1032.7</v>
      </c>
      <c r="I886" s="4">
        <v>27438.51</v>
      </c>
      <c r="J886" s="7">
        <f>Table1[[#This Row],[Clicks]]/Table1[[#This Row],[Impressions]]</f>
        <v>7.1142638036809813E-2</v>
      </c>
      <c r="K886" s="7">
        <f>IFERROR(Table1[[#This Row],[Conversions]]/Table1[[#This Row],[Clicks]],0)</f>
        <v>3.7296539829686323E-2</v>
      </c>
      <c r="L886" s="6">
        <f>IF(Table1[[#This Row],[Conversions]]=0,0,Table1[[#This Row],[Ad Spend]]/Table1[[#This Row],[Conversions]])</f>
        <v>2.9846820809248555</v>
      </c>
      <c r="M886" s="8">
        <f>IF(Table1[[#This Row],[Ad Spend]]=0,0,Table1[[#This Row],[Revenue]]/Table1[[#This Row],[Ad Spend]])</f>
        <v>26.569681417643068</v>
      </c>
      <c r="N886">
        <f>YEAR(Table1[[#This Row],[Date]])</f>
        <v>2024</v>
      </c>
      <c r="O886" t="str">
        <f>TEXT(Table1[[#This Row],[Date]],"mmm")</f>
        <v>Aug</v>
      </c>
      <c r="P886">
        <f>MONTH(Table1[[#This Row],[Date]])</f>
        <v>8</v>
      </c>
    </row>
    <row r="887" spans="1:16" x14ac:dyDescent="0.25">
      <c r="A887" t="s">
        <v>906</v>
      </c>
      <c r="B887" t="s">
        <v>47</v>
      </c>
      <c r="C887" t="s">
        <v>19</v>
      </c>
      <c r="D887" s="1">
        <v>45393</v>
      </c>
      <c r="E887">
        <v>27124</v>
      </c>
      <c r="F887">
        <v>1058</v>
      </c>
      <c r="G887">
        <v>46</v>
      </c>
      <c r="H887" s="4">
        <v>4406.67</v>
      </c>
      <c r="I887" s="4">
        <v>5265.88</v>
      </c>
      <c r="J887" s="7">
        <f>Table1[[#This Row],[Clicks]]/Table1[[#This Row],[Impressions]]</f>
        <v>3.9006046305854594E-2</v>
      </c>
      <c r="K887" s="7">
        <f>IFERROR(Table1[[#This Row],[Conversions]]/Table1[[#This Row],[Clicks]],0)</f>
        <v>4.3478260869565216E-2</v>
      </c>
      <c r="L887" s="6">
        <f>IF(Table1[[#This Row],[Conversions]]=0,0,Table1[[#This Row],[Ad Spend]]/Table1[[#This Row],[Conversions]])</f>
        <v>95.79717391304348</v>
      </c>
      <c r="M887" s="8">
        <f>IF(Table1[[#This Row],[Ad Spend]]=0,0,Table1[[#This Row],[Revenue]]/Table1[[#This Row],[Ad Spend]])</f>
        <v>1.1949794289111733</v>
      </c>
      <c r="N887">
        <f>YEAR(Table1[[#This Row],[Date]])</f>
        <v>2024</v>
      </c>
      <c r="O887" t="str">
        <f>TEXT(Table1[[#This Row],[Date]],"mmm")</f>
        <v>Apr</v>
      </c>
      <c r="P887">
        <f>MONTH(Table1[[#This Row],[Date]])</f>
        <v>4</v>
      </c>
    </row>
    <row r="888" spans="1:16" x14ac:dyDescent="0.25">
      <c r="A888" t="s">
        <v>907</v>
      </c>
      <c r="B888" t="s">
        <v>14</v>
      </c>
      <c r="C888" t="s">
        <v>10</v>
      </c>
      <c r="D888" s="1">
        <v>45303</v>
      </c>
      <c r="E888">
        <v>64954</v>
      </c>
      <c r="F888">
        <v>4772</v>
      </c>
      <c r="G888">
        <v>699</v>
      </c>
      <c r="H888" s="4">
        <v>1151.68</v>
      </c>
      <c r="I888" s="4">
        <v>62998.15</v>
      </c>
      <c r="J888" s="7">
        <f>Table1[[#This Row],[Clicks]]/Table1[[#This Row],[Impressions]]</f>
        <v>7.3467376912892207E-2</v>
      </c>
      <c r="K888" s="7">
        <f>IFERROR(Table1[[#This Row],[Conversions]]/Table1[[#This Row],[Clicks]],0)</f>
        <v>0.14647946353730093</v>
      </c>
      <c r="L888" s="6">
        <f>IF(Table1[[#This Row],[Conversions]]=0,0,Table1[[#This Row],[Ad Spend]]/Table1[[#This Row],[Conversions]])</f>
        <v>1.6476108726752505</v>
      </c>
      <c r="M888" s="8">
        <f>IF(Table1[[#This Row],[Ad Spend]]=0,0,Table1[[#This Row],[Revenue]]/Table1[[#This Row],[Ad Spend]])</f>
        <v>54.701088844123369</v>
      </c>
      <c r="N888">
        <f>YEAR(Table1[[#This Row],[Date]])</f>
        <v>2024</v>
      </c>
      <c r="O888" t="str">
        <f>TEXT(Table1[[#This Row],[Date]],"mmm")</f>
        <v>Jan</v>
      </c>
      <c r="P888">
        <f>MONTH(Table1[[#This Row],[Date]])</f>
        <v>1</v>
      </c>
    </row>
    <row r="889" spans="1:16" x14ac:dyDescent="0.25">
      <c r="A889" t="s">
        <v>908</v>
      </c>
      <c r="B889" t="s">
        <v>16</v>
      </c>
      <c r="C889" t="s">
        <v>10</v>
      </c>
      <c r="D889" s="1">
        <v>45497</v>
      </c>
      <c r="E889">
        <v>117434</v>
      </c>
      <c r="F889">
        <v>6109</v>
      </c>
      <c r="G889">
        <v>240</v>
      </c>
      <c r="H889" s="4">
        <v>4798.5600000000004</v>
      </c>
      <c r="I889" s="4">
        <v>8882.9500000000007</v>
      </c>
      <c r="J889" s="7">
        <f>Table1[[#This Row],[Clicks]]/Table1[[#This Row],[Impressions]]</f>
        <v>5.2020709504913401E-2</v>
      </c>
      <c r="K889" s="7">
        <f>IFERROR(Table1[[#This Row],[Conversions]]/Table1[[#This Row],[Clicks]],0)</f>
        <v>3.9286298903257487E-2</v>
      </c>
      <c r="L889" s="6">
        <f>IF(Table1[[#This Row],[Conversions]]=0,0,Table1[[#This Row],[Ad Spend]]/Table1[[#This Row],[Conversions]])</f>
        <v>19.994000000000003</v>
      </c>
      <c r="M889" s="8">
        <f>IF(Table1[[#This Row],[Ad Spend]]=0,0,Table1[[#This Row],[Revenue]]/Table1[[#This Row],[Ad Spend]])</f>
        <v>1.8511699343136274</v>
      </c>
      <c r="N889">
        <f>YEAR(Table1[[#This Row],[Date]])</f>
        <v>2024</v>
      </c>
      <c r="O889" t="str">
        <f>TEXT(Table1[[#This Row],[Date]],"mmm")</f>
        <v>Jul</v>
      </c>
      <c r="P889">
        <f>MONTH(Table1[[#This Row],[Date]])</f>
        <v>7</v>
      </c>
    </row>
    <row r="890" spans="1:16" x14ac:dyDescent="0.25">
      <c r="A890" t="s">
        <v>909</v>
      </c>
      <c r="B890" t="s">
        <v>9</v>
      </c>
      <c r="C890" t="s">
        <v>10</v>
      </c>
      <c r="D890" s="1">
        <v>45659</v>
      </c>
      <c r="E890">
        <v>142845</v>
      </c>
      <c r="F890">
        <v>5779</v>
      </c>
      <c r="G890">
        <v>806</v>
      </c>
      <c r="H890" s="4">
        <v>2377.8000000000002</v>
      </c>
      <c r="I890" s="4">
        <v>70412.97</v>
      </c>
      <c r="J890" s="7">
        <f>Table1[[#This Row],[Clicks]]/Table1[[#This Row],[Impressions]]</f>
        <v>4.0456438797297774E-2</v>
      </c>
      <c r="K890" s="7">
        <f>IFERROR(Table1[[#This Row],[Conversions]]/Table1[[#This Row],[Clicks]],0)</f>
        <v>0.13947049662571379</v>
      </c>
      <c r="L890" s="6">
        <f>IF(Table1[[#This Row],[Conversions]]=0,0,Table1[[#This Row],[Ad Spend]]/Table1[[#This Row],[Conversions]])</f>
        <v>2.9501240694789086</v>
      </c>
      <c r="M890" s="8">
        <f>IF(Table1[[#This Row],[Ad Spend]]=0,0,Table1[[#This Row],[Revenue]]/Table1[[#This Row],[Ad Spend]])</f>
        <v>29.612654554630328</v>
      </c>
      <c r="N890">
        <f>YEAR(Table1[[#This Row],[Date]])</f>
        <v>2025</v>
      </c>
      <c r="O890" t="str">
        <f>TEXT(Table1[[#This Row],[Date]],"mmm")</f>
        <v>Jan</v>
      </c>
      <c r="P890">
        <f>MONTH(Table1[[#This Row],[Date]])</f>
        <v>1</v>
      </c>
    </row>
    <row r="891" spans="1:16" x14ac:dyDescent="0.25">
      <c r="A891" t="s">
        <v>910</v>
      </c>
      <c r="B891" t="s">
        <v>9</v>
      </c>
      <c r="C891" t="s">
        <v>37</v>
      </c>
      <c r="D891" s="1">
        <v>45657</v>
      </c>
      <c r="E891">
        <v>58253</v>
      </c>
      <c r="F891">
        <v>1359</v>
      </c>
      <c r="G891">
        <v>179</v>
      </c>
      <c r="H891" s="4">
        <v>3954.19</v>
      </c>
      <c r="I891" s="4">
        <v>8734.52</v>
      </c>
      <c r="J891" s="7">
        <f>Table1[[#This Row],[Clicks]]/Table1[[#This Row],[Impressions]]</f>
        <v>2.3329270595505811E-2</v>
      </c>
      <c r="K891" s="7">
        <f>IFERROR(Table1[[#This Row],[Conversions]]/Table1[[#This Row],[Clicks]],0)</f>
        <v>0.13171449595290655</v>
      </c>
      <c r="L891" s="6">
        <f>IF(Table1[[#This Row],[Conversions]]=0,0,Table1[[#This Row],[Ad Spend]]/Table1[[#This Row],[Conversions]])</f>
        <v>22.090446927374302</v>
      </c>
      <c r="M891" s="8">
        <f>IF(Table1[[#This Row],[Ad Spend]]=0,0,Table1[[#This Row],[Revenue]]/Table1[[#This Row],[Ad Spend]])</f>
        <v>2.2089277449996083</v>
      </c>
      <c r="N891">
        <f>YEAR(Table1[[#This Row],[Date]])</f>
        <v>2024</v>
      </c>
      <c r="O891" t="str">
        <f>TEXT(Table1[[#This Row],[Date]],"mmm")</f>
        <v>Dec</v>
      </c>
      <c r="P891">
        <f>MONTH(Table1[[#This Row],[Date]])</f>
        <v>12</v>
      </c>
    </row>
    <row r="892" spans="1:16" x14ac:dyDescent="0.25">
      <c r="A892" t="s">
        <v>911</v>
      </c>
      <c r="B892" t="s">
        <v>41</v>
      </c>
      <c r="C892" t="s">
        <v>17</v>
      </c>
      <c r="D892" s="1">
        <v>45358</v>
      </c>
      <c r="E892">
        <v>118064</v>
      </c>
      <c r="F892">
        <v>8257</v>
      </c>
      <c r="G892">
        <v>809</v>
      </c>
      <c r="H892" s="4">
        <v>4977</v>
      </c>
      <c r="I892" s="4">
        <v>39072.050000000003</v>
      </c>
      <c r="J892" s="7">
        <f>Table1[[#This Row],[Clicks]]/Table1[[#This Row],[Impressions]]</f>
        <v>6.9936644531779377E-2</v>
      </c>
      <c r="K892" s="7">
        <f>IFERROR(Table1[[#This Row],[Conversions]]/Table1[[#This Row],[Clicks]],0)</f>
        <v>9.7977473658713815E-2</v>
      </c>
      <c r="L892" s="6">
        <f>IF(Table1[[#This Row],[Conversions]]=0,0,Table1[[#This Row],[Ad Spend]]/Table1[[#This Row],[Conversions]])</f>
        <v>6.1520395550061808</v>
      </c>
      <c r="M892" s="8">
        <f>IF(Table1[[#This Row],[Ad Spend]]=0,0,Table1[[#This Row],[Revenue]]/Table1[[#This Row],[Ad Spend]])</f>
        <v>7.8505224030540495</v>
      </c>
      <c r="N892">
        <f>YEAR(Table1[[#This Row],[Date]])</f>
        <v>2024</v>
      </c>
      <c r="O892" t="str">
        <f>TEXT(Table1[[#This Row],[Date]],"mmm")</f>
        <v>Mar</v>
      </c>
      <c r="P892">
        <f>MONTH(Table1[[#This Row],[Date]])</f>
        <v>3</v>
      </c>
    </row>
    <row r="893" spans="1:16" x14ac:dyDescent="0.25">
      <c r="A893" t="s">
        <v>912</v>
      </c>
      <c r="B893" t="s">
        <v>14</v>
      </c>
      <c r="C893" t="s">
        <v>17</v>
      </c>
      <c r="D893" s="1">
        <v>45384</v>
      </c>
      <c r="E893">
        <v>112092</v>
      </c>
      <c r="F893">
        <v>7338</v>
      </c>
      <c r="G893">
        <v>174</v>
      </c>
      <c r="H893" s="4">
        <v>4885.42</v>
      </c>
      <c r="I893" s="4">
        <v>7577.45</v>
      </c>
      <c r="J893" s="7">
        <f>Table1[[#This Row],[Clicks]]/Table1[[#This Row],[Impressions]]</f>
        <v>6.5464083074617277E-2</v>
      </c>
      <c r="K893" s="7">
        <f>IFERROR(Table1[[#This Row],[Conversions]]/Table1[[#This Row],[Clicks]],0)</f>
        <v>2.3712183156173343E-2</v>
      </c>
      <c r="L893" s="6">
        <f>IF(Table1[[#This Row],[Conversions]]=0,0,Table1[[#This Row],[Ad Spend]]/Table1[[#This Row],[Conversions]])</f>
        <v>28.077126436781608</v>
      </c>
      <c r="M893" s="8">
        <f>IF(Table1[[#This Row],[Ad Spend]]=0,0,Table1[[#This Row],[Revenue]]/Table1[[#This Row],[Ad Spend]])</f>
        <v>1.5510334833033803</v>
      </c>
      <c r="N893">
        <f>YEAR(Table1[[#This Row],[Date]])</f>
        <v>2024</v>
      </c>
      <c r="O893" t="str">
        <f>TEXT(Table1[[#This Row],[Date]],"mmm")</f>
        <v>Apr</v>
      </c>
      <c r="P893">
        <f>MONTH(Table1[[#This Row],[Date]])</f>
        <v>4</v>
      </c>
    </row>
    <row r="894" spans="1:16" x14ac:dyDescent="0.25">
      <c r="A894" t="s">
        <v>913</v>
      </c>
      <c r="B894" t="s">
        <v>41</v>
      </c>
      <c r="C894" t="s">
        <v>37</v>
      </c>
      <c r="D894" s="1">
        <v>45481</v>
      </c>
      <c r="E894">
        <v>125104</v>
      </c>
      <c r="F894">
        <v>2001</v>
      </c>
      <c r="G894">
        <v>161</v>
      </c>
      <c r="H894" s="4">
        <v>4382.93</v>
      </c>
      <c r="I894" s="4">
        <v>18907.830000000002</v>
      </c>
      <c r="J894" s="7">
        <f>Table1[[#This Row],[Clicks]]/Table1[[#This Row],[Impressions]]</f>
        <v>1.5994692415909964E-2</v>
      </c>
      <c r="K894" s="7">
        <f>IFERROR(Table1[[#This Row],[Conversions]]/Table1[[#This Row],[Clicks]],0)</f>
        <v>8.0459770114942528E-2</v>
      </c>
      <c r="L894" s="6">
        <f>IF(Table1[[#This Row],[Conversions]]=0,0,Table1[[#This Row],[Ad Spend]]/Table1[[#This Row],[Conversions]])</f>
        <v>27.223167701863357</v>
      </c>
      <c r="M894" s="8">
        <f>IF(Table1[[#This Row],[Ad Spend]]=0,0,Table1[[#This Row],[Revenue]]/Table1[[#This Row],[Ad Spend]])</f>
        <v>4.3139703349129466</v>
      </c>
      <c r="N894">
        <f>YEAR(Table1[[#This Row],[Date]])</f>
        <v>2024</v>
      </c>
      <c r="O894" t="str">
        <f>TEXT(Table1[[#This Row],[Date]],"mmm")</f>
        <v>Jul</v>
      </c>
      <c r="P894">
        <f>MONTH(Table1[[#This Row],[Date]])</f>
        <v>7</v>
      </c>
    </row>
    <row r="895" spans="1:16" x14ac:dyDescent="0.25">
      <c r="A895" t="s">
        <v>914</v>
      </c>
      <c r="B895" t="s">
        <v>21</v>
      </c>
      <c r="C895" t="s">
        <v>37</v>
      </c>
      <c r="D895" s="1">
        <v>45657</v>
      </c>
      <c r="E895">
        <v>105531</v>
      </c>
      <c r="F895">
        <v>6288</v>
      </c>
      <c r="G895">
        <v>727</v>
      </c>
      <c r="H895" s="4">
        <v>1429.88</v>
      </c>
      <c r="I895" s="4">
        <v>21466.81</v>
      </c>
      <c r="J895" s="7">
        <f>Table1[[#This Row],[Clicks]]/Table1[[#This Row],[Impressions]]</f>
        <v>5.9584387525940245E-2</v>
      </c>
      <c r="K895" s="7">
        <f>IFERROR(Table1[[#This Row],[Conversions]]/Table1[[#This Row],[Clicks]],0)</f>
        <v>0.11561704834605598</v>
      </c>
      <c r="L895" s="6">
        <f>IF(Table1[[#This Row],[Conversions]]=0,0,Table1[[#This Row],[Ad Spend]]/Table1[[#This Row],[Conversions]])</f>
        <v>1.9668225584594223</v>
      </c>
      <c r="M895" s="8">
        <f>IF(Table1[[#This Row],[Ad Spend]]=0,0,Table1[[#This Row],[Revenue]]/Table1[[#This Row],[Ad Spend]])</f>
        <v>15.01301507818838</v>
      </c>
      <c r="N895">
        <f>YEAR(Table1[[#This Row],[Date]])</f>
        <v>2024</v>
      </c>
      <c r="O895" t="str">
        <f>TEXT(Table1[[#This Row],[Date]],"mmm")</f>
        <v>Dec</v>
      </c>
      <c r="P895">
        <f>MONTH(Table1[[#This Row],[Date]])</f>
        <v>12</v>
      </c>
    </row>
    <row r="896" spans="1:16" x14ac:dyDescent="0.25">
      <c r="A896" t="s">
        <v>915</v>
      </c>
      <c r="B896" t="s">
        <v>31</v>
      </c>
      <c r="C896" t="s">
        <v>10</v>
      </c>
      <c r="D896" s="1">
        <v>45462</v>
      </c>
      <c r="E896">
        <v>66562</v>
      </c>
      <c r="F896">
        <v>2859</v>
      </c>
      <c r="G896">
        <v>188</v>
      </c>
      <c r="H896" s="4">
        <v>3110.6</v>
      </c>
      <c r="I896" s="4">
        <v>16370.88</v>
      </c>
      <c r="J896" s="7">
        <f>Table1[[#This Row],[Clicks]]/Table1[[#This Row],[Impressions]]</f>
        <v>4.2952435323457827E-2</v>
      </c>
      <c r="K896" s="7">
        <f>IFERROR(Table1[[#This Row],[Conversions]]/Table1[[#This Row],[Clicks]],0)</f>
        <v>6.5757257782441417E-2</v>
      </c>
      <c r="L896" s="6">
        <f>IF(Table1[[#This Row],[Conversions]]=0,0,Table1[[#This Row],[Ad Spend]]/Table1[[#This Row],[Conversions]])</f>
        <v>16.545744680851062</v>
      </c>
      <c r="M896" s="8">
        <f>IF(Table1[[#This Row],[Ad Spend]]=0,0,Table1[[#This Row],[Revenue]]/Table1[[#This Row],[Ad Spend]])</f>
        <v>5.2629331961679418</v>
      </c>
      <c r="N896">
        <f>YEAR(Table1[[#This Row],[Date]])</f>
        <v>2024</v>
      </c>
      <c r="O896" t="str">
        <f>TEXT(Table1[[#This Row],[Date]],"mmm")</f>
        <v>Jun</v>
      </c>
      <c r="P896">
        <f>MONTH(Table1[[#This Row],[Date]])</f>
        <v>6</v>
      </c>
    </row>
    <row r="897" spans="1:16" x14ac:dyDescent="0.25">
      <c r="A897" t="s">
        <v>916</v>
      </c>
      <c r="B897" t="s">
        <v>31</v>
      </c>
      <c r="C897" t="s">
        <v>10</v>
      </c>
      <c r="D897" s="1">
        <v>45421</v>
      </c>
      <c r="E897">
        <v>137262</v>
      </c>
      <c r="F897">
        <v>7326</v>
      </c>
      <c r="G897">
        <v>434</v>
      </c>
      <c r="H897" s="4">
        <v>2094.54</v>
      </c>
      <c r="I897" s="4">
        <v>24777.11</v>
      </c>
      <c r="J897" s="7">
        <f>Table1[[#This Row],[Clicks]]/Table1[[#This Row],[Impressions]]</f>
        <v>5.3372382742492459E-2</v>
      </c>
      <c r="K897" s="7">
        <f>IFERROR(Table1[[#This Row],[Conversions]]/Table1[[#This Row],[Clicks]],0)</f>
        <v>5.9241059241059241E-2</v>
      </c>
      <c r="L897" s="6">
        <f>IF(Table1[[#This Row],[Conversions]]=0,0,Table1[[#This Row],[Ad Spend]]/Table1[[#This Row],[Conversions]])</f>
        <v>4.8261290322580646</v>
      </c>
      <c r="M897" s="8">
        <f>IF(Table1[[#This Row],[Ad Spend]]=0,0,Table1[[#This Row],[Revenue]]/Table1[[#This Row],[Ad Spend]])</f>
        <v>11.829380198038711</v>
      </c>
      <c r="N897">
        <f>YEAR(Table1[[#This Row],[Date]])</f>
        <v>2024</v>
      </c>
      <c r="O897" t="str">
        <f>TEXT(Table1[[#This Row],[Date]],"mmm")</f>
        <v>May</v>
      </c>
      <c r="P897">
        <f>MONTH(Table1[[#This Row],[Date]])</f>
        <v>5</v>
      </c>
    </row>
    <row r="898" spans="1:16" x14ac:dyDescent="0.25">
      <c r="A898" t="s">
        <v>917</v>
      </c>
      <c r="B898" t="s">
        <v>31</v>
      </c>
      <c r="C898" t="s">
        <v>12</v>
      </c>
      <c r="D898" s="1">
        <v>45383</v>
      </c>
      <c r="E898">
        <v>73233</v>
      </c>
      <c r="F898">
        <v>1603</v>
      </c>
      <c r="G898">
        <v>134</v>
      </c>
      <c r="H898" s="4">
        <v>1828.05</v>
      </c>
      <c r="I898" s="4">
        <v>8952.34</v>
      </c>
      <c r="J898" s="7">
        <f>Table1[[#This Row],[Clicks]]/Table1[[#This Row],[Impressions]]</f>
        <v>2.1889039094397336E-2</v>
      </c>
      <c r="K898" s="7">
        <f>IFERROR(Table1[[#This Row],[Conversions]]/Table1[[#This Row],[Clicks]],0)</f>
        <v>8.3593262632563947E-2</v>
      </c>
      <c r="L898" s="6">
        <f>IF(Table1[[#This Row],[Conversions]]=0,0,Table1[[#This Row],[Ad Spend]]/Table1[[#This Row],[Conversions]])</f>
        <v>13.642164179104478</v>
      </c>
      <c r="M898" s="8">
        <f>IF(Table1[[#This Row],[Ad Spend]]=0,0,Table1[[#This Row],[Revenue]]/Table1[[#This Row],[Ad Spend]])</f>
        <v>4.8972074067995957</v>
      </c>
      <c r="N898">
        <f>YEAR(Table1[[#This Row],[Date]])</f>
        <v>2024</v>
      </c>
      <c r="O898" t="str">
        <f>TEXT(Table1[[#This Row],[Date]],"mmm")</f>
        <v>Apr</v>
      </c>
      <c r="P898">
        <f>MONTH(Table1[[#This Row],[Date]])</f>
        <v>4</v>
      </c>
    </row>
    <row r="899" spans="1:16" x14ac:dyDescent="0.25">
      <c r="A899" t="s">
        <v>918</v>
      </c>
      <c r="B899" t="s">
        <v>9</v>
      </c>
      <c r="C899" t="s">
        <v>19</v>
      </c>
      <c r="D899" s="1">
        <v>45655</v>
      </c>
      <c r="E899">
        <v>144047</v>
      </c>
      <c r="F899">
        <v>5805</v>
      </c>
      <c r="G899">
        <v>312</v>
      </c>
      <c r="H899" s="4">
        <v>1703.69</v>
      </c>
      <c r="I899" s="4">
        <v>36769.72</v>
      </c>
      <c r="J899" s="7">
        <f>Table1[[#This Row],[Clicks]]/Table1[[#This Row],[Impressions]]</f>
        <v>4.0299346740994259E-2</v>
      </c>
      <c r="K899" s="7">
        <f>IFERROR(Table1[[#This Row],[Conversions]]/Table1[[#This Row],[Clicks]],0)</f>
        <v>5.3746770025839795E-2</v>
      </c>
      <c r="L899" s="6">
        <f>IF(Table1[[#This Row],[Conversions]]=0,0,Table1[[#This Row],[Ad Spend]]/Table1[[#This Row],[Conversions]])</f>
        <v>5.4605448717948724</v>
      </c>
      <c r="M899" s="8">
        <f>IF(Table1[[#This Row],[Ad Spend]]=0,0,Table1[[#This Row],[Revenue]]/Table1[[#This Row],[Ad Spend]])</f>
        <v>21.582400554091414</v>
      </c>
      <c r="N899">
        <f>YEAR(Table1[[#This Row],[Date]])</f>
        <v>2024</v>
      </c>
      <c r="O899" t="str">
        <f>TEXT(Table1[[#This Row],[Date]],"mmm")</f>
        <v>Dec</v>
      </c>
      <c r="P899">
        <f>MONTH(Table1[[#This Row],[Date]])</f>
        <v>12</v>
      </c>
    </row>
    <row r="900" spans="1:16" x14ac:dyDescent="0.25">
      <c r="A900" t="s">
        <v>919</v>
      </c>
      <c r="B900" t="s">
        <v>41</v>
      </c>
      <c r="C900" t="s">
        <v>19</v>
      </c>
      <c r="D900" s="1">
        <v>45674</v>
      </c>
      <c r="E900">
        <v>99527</v>
      </c>
      <c r="F900">
        <v>7448</v>
      </c>
      <c r="G900">
        <v>422</v>
      </c>
      <c r="H900" s="4">
        <v>4409.29</v>
      </c>
      <c r="I900" s="4">
        <v>34305.71</v>
      </c>
      <c r="J900" s="7">
        <f>Table1[[#This Row],[Clicks]]/Table1[[#This Row],[Impressions]]</f>
        <v>7.4833964652807783E-2</v>
      </c>
      <c r="K900" s="7">
        <f>IFERROR(Table1[[#This Row],[Conversions]]/Table1[[#This Row],[Clicks]],0)</f>
        <v>5.6659505907626209E-2</v>
      </c>
      <c r="L900" s="6">
        <f>IF(Table1[[#This Row],[Conversions]]=0,0,Table1[[#This Row],[Ad Spend]]/Table1[[#This Row],[Conversions]])</f>
        <v>10.448554502369667</v>
      </c>
      <c r="M900" s="8">
        <f>IF(Table1[[#This Row],[Ad Spend]]=0,0,Table1[[#This Row],[Revenue]]/Table1[[#This Row],[Ad Spend]])</f>
        <v>7.780325177069324</v>
      </c>
      <c r="N900">
        <f>YEAR(Table1[[#This Row],[Date]])</f>
        <v>2025</v>
      </c>
      <c r="O900" t="str">
        <f>TEXT(Table1[[#This Row],[Date]],"mmm")</f>
        <v>Jan</v>
      </c>
      <c r="P900">
        <f>MONTH(Table1[[#This Row],[Date]])</f>
        <v>1</v>
      </c>
    </row>
    <row r="901" spans="1:16" x14ac:dyDescent="0.25">
      <c r="A901" t="s">
        <v>920</v>
      </c>
      <c r="B901" t="s">
        <v>34</v>
      </c>
      <c r="C901" t="s">
        <v>12</v>
      </c>
      <c r="D901" s="1">
        <v>45452</v>
      </c>
      <c r="E901">
        <v>119235</v>
      </c>
      <c r="F901">
        <v>8642</v>
      </c>
      <c r="G901">
        <v>527</v>
      </c>
      <c r="H901" s="4">
        <v>4973.91</v>
      </c>
      <c r="I901" s="4">
        <v>50785.69</v>
      </c>
      <c r="J901" s="7">
        <f>Table1[[#This Row],[Clicks]]/Table1[[#This Row],[Impressions]]</f>
        <v>7.2478718497085592E-2</v>
      </c>
      <c r="K901" s="7">
        <f>IFERROR(Table1[[#This Row],[Conversions]]/Table1[[#This Row],[Clicks]],0)</f>
        <v>6.0981254339273316E-2</v>
      </c>
      <c r="L901" s="6">
        <f>IF(Table1[[#This Row],[Conversions]]=0,0,Table1[[#This Row],[Ad Spend]]/Table1[[#This Row],[Conversions]])</f>
        <v>9.4381593927893732</v>
      </c>
      <c r="M901" s="8">
        <f>IF(Table1[[#This Row],[Ad Spend]]=0,0,Table1[[#This Row],[Revenue]]/Table1[[#This Row],[Ad Spend]])</f>
        <v>10.210415950429342</v>
      </c>
      <c r="N901">
        <f>YEAR(Table1[[#This Row],[Date]])</f>
        <v>2024</v>
      </c>
      <c r="O901" t="str">
        <f>TEXT(Table1[[#This Row],[Date]],"mmm")</f>
        <v>Jun</v>
      </c>
      <c r="P901">
        <f>MONTH(Table1[[#This Row],[Date]])</f>
        <v>6</v>
      </c>
    </row>
    <row r="902" spans="1:16" x14ac:dyDescent="0.25">
      <c r="A902" t="s">
        <v>921</v>
      </c>
      <c r="B902" t="s">
        <v>16</v>
      </c>
      <c r="C902" t="s">
        <v>12</v>
      </c>
      <c r="D902" s="1">
        <v>45628</v>
      </c>
      <c r="E902">
        <v>120340</v>
      </c>
      <c r="F902">
        <v>1651</v>
      </c>
      <c r="G902">
        <v>64</v>
      </c>
      <c r="H902" s="4">
        <v>1303.33</v>
      </c>
      <c r="I902" s="4">
        <v>1509.52</v>
      </c>
      <c r="J902" s="7">
        <f>Table1[[#This Row],[Clicks]]/Table1[[#This Row],[Impressions]]</f>
        <v>1.3719461525677247E-2</v>
      </c>
      <c r="K902" s="7">
        <f>IFERROR(Table1[[#This Row],[Conversions]]/Table1[[#This Row],[Clicks]],0)</f>
        <v>3.8764385221078133E-2</v>
      </c>
      <c r="L902" s="6">
        <f>IF(Table1[[#This Row],[Conversions]]=0,0,Table1[[#This Row],[Ad Spend]]/Table1[[#This Row],[Conversions]])</f>
        <v>20.364531249999999</v>
      </c>
      <c r="M902" s="8">
        <f>IF(Table1[[#This Row],[Ad Spend]]=0,0,Table1[[#This Row],[Revenue]]/Table1[[#This Row],[Ad Spend]])</f>
        <v>1.1582024506456539</v>
      </c>
      <c r="N902">
        <f>YEAR(Table1[[#This Row],[Date]])</f>
        <v>2024</v>
      </c>
      <c r="O902" t="str">
        <f>TEXT(Table1[[#This Row],[Date]],"mmm")</f>
        <v>Dec</v>
      </c>
      <c r="P902">
        <f>MONTH(Table1[[#This Row],[Date]])</f>
        <v>12</v>
      </c>
    </row>
    <row r="903" spans="1:16" x14ac:dyDescent="0.25">
      <c r="A903" t="s">
        <v>922</v>
      </c>
      <c r="B903" t="s">
        <v>34</v>
      </c>
      <c r="C903" t="s">
        <v>37</v>
      </c>
      <c r="D903" s="1">
        <v>45653</v>
      </c>
      <c r="E903">
        <v>127456</v>
      </c>
      <c r="F903">
        <v>5168</v>
      </c>
      <c r="G903">
        <v>771</v>
      </c>
      <c r="H903" s="4">
        <v>4650.59</v>
      </c>
      <c r="I903" s="4">
        <v>18565.04</v>
      </c>
      <c r="J903" s="7">
        <f>Table1[[#This Row],[Clicks]]/Table1[[#This Row],[Impressions]]</f>
        <v>4.0547326136078331E-2</v>
      </c>
      <c r="K903" s="7">
        <f>IFERROR(Table1[[#This Row],[Conversions]]/Table1[[#This Row],[Clicks]],0)</f>
        <v>0.14918730650154799</v>
      </c>
      <c r="L903" s="6">
        <f>IF(Table1[[#This Row],[Conversions]]=0,0,Table1[[#This Row],[Ad Spend]]/Table1[[#This Row],[Conversions]])</f>
        <v>6.0318936446173801</v>
      </c>
      <c r="M903" s="8">
        <f>IF(Table1[[#This Row],[Ad Spend]]=0,0,Table1[[#This Row],[Revenue]]/Table1[[#This Row],[Ad Spend]])</f>
        <v>3.9919752117473268</v>
      </c>
      <c r="N903">
        <f>YEAR(Table1[[#This Row],[Date]])</f>
        <v>2024</v>
      </c>
      <c r="O903" t="str">
        <f>TEXT(Table1[[#This Row],[Date]],"mmm")</f>
        <v>Dec</v>
      </c>
      <c r="P903">
        <f>MONTH(Table1[[#This Row],[Date]])</f>
        <v>12</v>
      </c>
    </row>
    <row r="904" spans="1:16" x14ac:dyDescent="0.25">
      <c r="A904" t="s">
        <v>923</v>
      </c>
      <c r="B904" t="s">
        <v>47</v>
      </c>
      <c r="C904" t="s">
        <v>12</v>
      </c>
      <c r="D904" s="1">
        <v>45540</v>
      </c>
      <c r="E904">
        <v>124998</v>
      </c>
      <c r="F904">
        <v>5563</v>
      </c>
      <c r="G904">
        <v>722</v>
      </c>
      <c r="H904" s="4">
        <v>4361.0200000000004</v>
      </c>
      <c r="I904" s="4">
        <v>23367.84</v>
      </c>
      <c r="J904" s="7">
        <f>Table1[[#This Row],[Clicks]]/Table1[[#This Row],[Impressions]]</f>
        <v>4.4504712075393207E-2</v>
      </c>
      <c r="K904" s="7">
        <f>IFERROR(Table1[[#This Row],[Conversions]]/Table1[[#This Row],[Clicks]],0)</f>
        <v>0.12978608664389718</v>
      </c>
      <c r="L904" s="6">
        <f>IF(Table1[[#This Row],[Conversions]]=0,0,Table1[[#This Row],[Ad Spend]]/Table1[[#This Row],[Conversions]])</f>
        <v>6.0401939058171754</v>
      </c>
      <c r="M904" s="8">
        <f>IF(Table1[[#This Row],[Ad Spend]]=0,0,Table1[[#This Row],[Revenue]]/Table1[[#This Row],[Ad Spend]])</f>
        <v>5.3583427730209898</v>
      </c>
      <c r="N904">
        <f>YEAR(Table1[[#This Row],[Date]])</f>
        <v>2024</v>
      </c>
      <c r="O904" t="str">
        <f>TEXT(Table1[[#This Row],[Date]],"mmm")</f>
        <v>Sept</v>
      </c>
      <c r="P904">
        <f>MONTH(Table1[[#This Row],[Date]])</f>
        <v>9</v>
      </c>
    </row>
    <row r="905" spans="1:16" x14ac:dyDescent="0.25">
      <c r="A905" t="s">
        <v>924</v>
      </c>
      <c r="B905" t="s">
        <v>9</v>
      </c>
      <c r="C905" t="s">
        <v>37</v>
      </c>
      <c r="D905" s="1">
        <v>45437</v>
      </c>
      <c r="E905">
        <v>52357</v>
      </c>
      <c r="F905">
        <v>3583</v>
      </c>
      <c r="G905">
        <v>420</v>
      </c>
      <c r="H905" s="4">
        <v>4148.34</v>
      </c>
      <c r="I905" s="4">
        <v>32056.39</v>
      </c>
      <c r="J905" s="7">
        <f>Table1[[#This Row],[Clicks]]/Table1[[#This Row],[Impressions]]</f>
        <v>6.8434020283820687E-2</v>
      </c>
      <c r="K905" s="7">
        <f>IFERROR(Table1[[#This Row],[Conversions]]/Table1[[#This Row],[Clicks]],0)</f>
        <v>0.11722020653084007</v>
      </c>
      <c r="L905" s="6">
        <f>IF(Table1[[#This Row],[Conversions]]=0,0,Table1[[#This Row],[Ad Spend]]/Table1[[#This Row],[Conversions]])</f>
        <v>9.8770000000000007</v>
      </c>
      <c r="M905" s="8">
        <f>IF(Table1[[#This Row],[Ad Spend]]=0,0,Table1[[#This Row],[Revenue]]/Table1[[#This Row],[Ad Spend]])</f>
        <v>7.727522334234898</v>
      </c>
      <c r="N905">
        <f>YEAR(Table1[[#This Row],[Date]])</f>
        <v>2024</v>
      </c>
      <c r="O905" t="str">
        <f>TEXT(Table1[[#This Row],[Date]],"mmm")</f>
        <v>May</v>
      </c>
      <c r="P905">
        <f>MONTH(Table1[[#This Row],[Date]])</f>
        <v>5</v>
      </c>
    </row>
    <row r="906" spans="1:16" x14ac:dyDescent="0.25">
      <c r="A906" t="s">
        <v>925</v>
      </c>
      <c r="B906" t="s">
        <v>14</v>
      </c>
      <c r="C906" t="s">
        <v>12</v>
      </c>
      <c r="D906" s="1">
        <v>45294</v>
      </c>
      <c r="E906">
        <v>142891</v>
      </c>
      <c r="F906">
        <v>9099</v>
      </c>
      <c r="G906">
        <v>395</v>
      </c>
      <c r="H906" s="4">
        <v>4617.9799999999996</v>
      </c>
      <c r="I906" s="4">
        <v>17623.22</v>
      </c>
      <c r="J906" s="7">
        <f>Table1[[#This Row],[Clicks]]/Table1[[#This Row],[Impressions]]</f>
        <v>6.367790833572444E-2</v>
      </c>
      <c r="K906" s="7">
        <f>IFERROR(Table1[[#This Row],[Conversions]]/Table1[[#This Row],[Clicks]],0)</f>
        <v>4.3411363886141335E-2</v>
      </c>
      <c r="L906" s="6">
        <f>IF(Table1[[#This Row],[Conversions]]=0,0,Table1[[#This Row],[Ad Spend]]/Table1[[#This Row],[Conversions]])</f>
        <v>11.691088607594935</v>
      </c>
      <c r="M906" s="8">
        <f>IF(Table1[[#This Row],[Ad Spend]]=0,0,Table1[[#This Row],[Revenue]]/Table1[[#This Row],[Ad Spend]])</f>
        <v>3.8162183465497908</v>
      </c>
      <c r="N906">
        <f>YEAR(Table1[[#This Row],[Date]])</f>
        <v>2024</v>
      </c>
      <c r="O906" t="str">
        <f>TEXT(Table1[[#This Row],[Date]],"mmm")</f>
        <v>Jan</v>
      </c>
      <c r="P906">
        <f>MONTH(Table1[[#This Row],[Date]])</f>
        <v>1</v>
      </c>
    </row>
    <row r="907" spans="1:16" x14ac:dyDescent="0.25">
      <c r="A907" t="s">
        <v>926</v>
      </c>
      <c r="B907" t="s">
        <v>41</v>
      </c>
      <c r="C907" t="s">
        <v>10</v>
      </c>
      <c r="D907" s="1">
        <v>45460</v>
      </c>
      <c r="E907">
        <v>11805</v>
      </c>
      <c r="F907">
        <v>352</v>
      </c>
      <c r="G907">
        <v>51</v>
      </c>
      <c r="H907" s="4">
        <v>785.56</v>
      </c>
      <c r="I907" s="4">
        <v>2925.15</v>
      </c>
      <c r="J907" s="7">
        <f>Table1[[#This Row],[Clicks]]/Table1[[#This Row],[Impressions]]</f>
        <v>2.9817873782295636E-2</v>
      </c>
      <c r="K907" s="7">
        <f>IFERROR(Table1[[#This Row],[Conversions]]/Table1[[#This Row],[Clicks]],0)</f>
        <v>0.14488636363636365</v>
      </c>
      <c r="L907" s="6">
        <f>IF(Table1[[#This Row],[Conversions]]=0,0,Table1[[#This Row],[Ad Spend]]/Table1[[#This Row],[Conversions]])</f>
        <v>15.40313725490196</v>
      </c>
      <c r="M907" s="8">
        <f>IF(Table1[[#This Row],[Ad Spend]]=0,0,Table1[[#This Row],[Revenue]]/Table1[[#This Row],[Ad Spend]])</f>
        <v>3.7236493711492442</v>
      </c>
      <c r="N907">
        <f>YEAR(Table1[[#This Row],[Date]])</f>
        <v>2024</v>
      </c>
      <c r="O907" t="str">
        <f>TEXT(Table1[[#This Row],[Date]],"mmm")</f>
        <v>Jun</v>
      </c>
      <c r="P907">
        <f>MONTH(Table1[[#This Row],[Date]])</f>
        <v>6</v>
      </c>
    </row>
    <row r="908" spans="1:16" x14ac:dyDescent="0.25">
      <c r="A908" t="s">
        <v>927</v>
      </c>
      <c r="B908" t="s">
        <v>9</v>
      </c>
      <c r="C908" t="s">
        <v>19</v>
      </c>
      <c r="D908" s="1">
        <v>45370</v>
      </c>
      <c r="E908">
        <v>12569</v>
      </c>
      <c r="F908">
        <v>197</v>
      </c>
      <c r="G908">
        <v>25</v>
      </c>
      <c r="H908" s="4">
        <v>3365.79</v>
      </c>
      <c r="I908" s="4">
        <v>1635.14</v>
      </c>
      <c r="J908" s="7">
        <f>Table1[[#This Row],[Clicks]]/Table1[[#This Row],[Impressions]]</f>
        <v>1.5673482377277427E-2</v>
      </c>
      <c r="K908" s="7">
        <f>IFERROR(Table1[[#This Row],[Conversions]]/Table1[[#This Row],[Clicks]],0)</f>
        <v>0.12690355329949238</v>
      </c>
      <c r="L908" s="6">
        <f>IF(Table1[[#This Row],[Conversions]]=0,0,Table1[[#This Row],[Ad Spend]]/Table1[[#This Row],[Conversions]])</f>
        <v>134.63159999999999</v>
      </c>
      <c r="M908" s="8">
        <f>IF(Table1[[#This Row],[Ad Spend]]=0,0,Table1[[#This Row],[Revenue]]/Table1[[#This Row],[Ad Spend]])</f>
        <v>0.48581165194501147</v>
      </c>
      <c r="N908">
        <f>YEAR(Table1[[#This Row],[Date]])</f>
        <v>2024</v>
      </c>
      <c r="O908" t="str">
        <f>TEXT(Table1[[#This Row],[Date]],"mmm")</f>
        <v>Mar</v>
      </c>
      <c r="P908">
        <f>MONTH(Table1[[#This Row],[Date]])</f>
        <v>3</v>
      </c>
    </row>
    <row r="909" spans="1:16" x14ac:dyDescent="0.25">
      <c r="A909" t="s">
        <v>928</v>
      </c>
      <c r="B909" t="s">
        <v>34</v>
      </c>
      <c r="C909" t="s">
        <v>12</v>
      </c>
      <c r="D909" s="1">
        <v>45628</v>
      </c>
      <c r="E909">
        <v>6521</v>
      </c>
      <c r="F909">
        <v>215</v>
      </c>
      <c r="G909">
        <v>5</v>
      </c>
      <c r="H909" s="4">
        <v>3187.35</v>
      </c>
      <c r="I909" s="4">
        <v>326.55</v>
      </c>
      <c r="J909" s="7">
        <f>Table1[[#This Row],[Clicks]]/Table1[[#This Row],[Impressions]]</f>
        <v>3.2970403312375406E-2</v>
      </c>
      <c r="K909" s="7">
        <f>IFERROR(Table1[[#This Row],[Conversions]]/Table1[[#This Row],[Clicks]],0)</f>
        <v>2.3255813953488372E-2</v>
      </c>
      <c r="L909" s="6">
        <f>IF(Table1[[#This Row],[Conversions]]=0,0,Table1[[#This Row],[Ad Spend]]/Table1[[#This Row],[Conversions]])</f>
        <v>637.47</v>
      </c>
      <c r="M909" s="8">
        <f>IF(Table1[[#This Row],[Ad Spend]]=0,0,Table1[[#This Row],[Revenue]]/Table1[[#This Row],[Ad Spend]])</f>
        <v>0.10245188008847476</v>
      </c>
      <c r="N909">
        <f>YEAR(Table1[[#This Row],[Date]])</f>
        <v>2024</v>
      </c>
      <c r="O909" t="str">
        <f>TEXT(Table1[[#This Row],[Date]],"mmm")</f>
        <v>Dec</v>
      </c>
      <c r="P909">
        <f>MONTH(Table1[[#This Row],[Date]])</f>
        <v>12</v>
      </c>
    </row>
    <row r="910" spans="1:16" x14ac:dyDescent="0.25">
      <c r="A910" t="s">
        <v>929</v>
      </c>
      <c r="B910" t="s">
        <v>16</v>
      </c>
      <c r="C910" t="s">
        <v>37</v>
      </c>
      <c r="D910" s="1">
        <v>45316</v>
      </c>
      <c r="E910">
        <v>79174</v>
      </c>
      <c r="F910">
        <v>2582</v>
      </c>
      <c r="G910">
        <v>70</v>
      </c>
      <c r="H910" s="4">
        <v>539.48</v>
      </c>
      <c r="I910" s="4">
        <v>8063.3</v>
      </c>
      <c r="J910" s="7">
        <f>Table1[[#This Row],[Clicks]]/Table1[[#This Row],[Impressions]]</f>
        <v>3.2611715967363022E-2</v>
      </c>
      <c r="K910" s="7">
        <f>IFERROR(Table1[[#This Row],[Conversions]]/Table1[[#This Row],[Clicks]],0)</f>
        <v>2.7110766847405113E-2</v>
      </c>
      <c r="L910" s="6">
        <f>IF(Table1[[#This Row],[Conversions]]=0,0,Table1[[#This Row],[Ad Spend]]/Table1[[#This Row],[Conversions]])</f>
        <v>7.7068571428571433</v>
      </c>
      <c r="M910" s="8">
        <f>IF(Table1[[#This Row],[Ad Spend]]=0,0,Table1[[#This Row],[Revenue]]/Table1[[#This Row],[Ad Spend]])</f>
        <v>14.946429895454882</v>
      </c>
      <c r="N910">
        <f>YEAR(Table1[[#This Row],[Date]])</f>
        <v>2024</v>
      </c>
      <c r="O910" t="str">
        <f>TEXT(Table1[[#This Row],[Date]],"mmm")</f>
        <v>Jan</v>
      </c>
      <c r="P910">
        <f>MONTH(Table1[[#This Row],[Date]])</f>
        <v>1</v>
      </c>
    </row>
    <row r="911" spans="1:16" x14ac:dyDescent="0.25">
      <c r="A911" t="s">
        <v>930</v>
      </c>
      <c r="B911" t="s">
        <v>21</v>
      </c>
      <c r="C911" t="s">
        <v>10</v>
      </c>
      <c r="D911" s="1">
        <v>45496</v>
      </c>
      <c r="E911">
        <v>71889</v>
      </c>
      <c r="F911">
        <v>1614</v>
      </c>
      <c r="G911">
        <v>234</v>
      </c>
      <c r="H911" s="4">
        <v>4354.47</v>
      </c>
      <c r="I911" s="4">
        <v>6767.01</v>
      </c>
      <c r="J911" s="7">
        <f>Table1[[#This Row],[Clicks]]/Table1[[#This Row],[Impressions]]</f>
        <v>2.2451279055210115E-2</v>
      </c>
      <c r="K911" s="7">
        <f>IFERROR(Table1[[#This Row],[Conversions]]/Table1[[#This Row],[Clicks]],0)</f>
        <v>0.1449814126394052</v>
      </c>
      <c r="L911" s="6">
        <f>IF(Table1[[#This Row],[Conversions]]=0,0,Table1[[#This Row],[Ad Spend]]/Table1[[#This Row],[Conversions]])</f>
        <v>18.608846153846155</v>
      </c>
      <c r="M911" s="8">
        <f>IF(Table1[[#This Row],[Ad Spend]]=0,0,Table1[[#This Row],[Revenue]]/Table1[[#This Row],[Ad Spend]])</f>
        <v>1.5540375751813653</v>
      </c>
      <c r="N911">
        <f>YEAR(Table1[[#This Row],[Date]])</f>
        <v>2024</v>
      </c>
      <c r="O911" t="str">
        <f>TEXT(Table1[[#This Row],[Date]],"mmm")</f>
        <v>Jul</v>
      </c>
      <c r="P911">
        <f>MONTH(Table1[[#This Row],[Date]])</f>
        <v>7</v>
      </c>
    </row>
    <row r="912" spans="1:16" x14ac:dyDescent="0.25">
      <c r="A912" t="s">
        <v>931</v>
      </c>
      <c r="B912" t="s">
        <v>14</v>
      </c>
      <c r="C912" t="s">
        <v>37</v>
      </c>
      <c r="D912" s="1">
        <v>45490</v>
      </c>
      <c r="E912">
        <v>110485</v>
      </c>
      <c r="F912">
        <v>3308</v>
      </c>
      <c r="G912">
        <v>389</v>
      </c>
      <c r="H912" s="4">
        <v>3339.51</v>
      </c>
      <c r="I912" s="4">
        <v>12471.42</v>
      </c>
      <c r="J912" s="7">
        <f>Table1[[#This Row],[Clicks]]/Table1[[#This Row],[Impressions]]</f>
        <v>2.9940715934289722E-2</v>
      </c>
      <c r="K912" s="7">
        <f>IFERROR(Table1[[#This Row],[Conversions]]/Table1[[#This Row],[Clicks]],0)</f>
        <v>0.11759371221281741</v>
      </c>
      <c r="L912" s="6">
        <f>IF(Table1[[#This Row],[Conversions]]=0,0,Table1[[#This Row],[Ad Spend]]/Table1[[#This Row],[Conversions]])</f>
        <v>8.5848586118251937</v>
      </c>
      <c r="M912" s="8">
        <f>IF(Table1[[#This Row],[Ad Spend]]=0,0,Table1[[#This Row],[Revenue]]/Table1[[#This Row],[Ad Spend]])</f>
        <v>3.7345059604552762</v>
      </c>
      <c r="N912">
        <f>YEAR(Table1[[#This Row],[Date]])</f>
        <v>2024</v>
      </c>
      <c r="O912" t="str">
        <f>TEXT(Table1[[#This Row],[Date]],"mmm")</f>
        <v>Jul</v>
      </c>
      <c r="P912">
        <f>MONTH(Table1[[#This Row],[Date]])</f>
        <v>7</v>
      </c>
    </row>
    <row r="913" spans="1:16" x14ac:dyDescent="0.25">
      <c r="A913" t="s">
        <v>932</v>
      </c>
      <c r="B913" t="s">
        <v>41</v>
      </c>
      <c r="C913" t="s">
        <v>17</v>
      </c>
      <c r="D913" s="1">
        <v>45668</v>
      </c>
      <c r="E913">
        <v>86291</v>
      </c>
      <c r="F913">
        <v>6321</v>
      </c>
      <c r="G913">
        <v>622</v>
      </c>
      <c r="H913" s="4">
        <v>1923.41</v>
      </c>
      <c r="I913" s="4">
        <v>18418.14</v>
      </c>
      <c r="J913" s="7">
        <f>Table1[[#This Row],[Clicks]]/Table1[[#This Row],[Impressions]]</f>
        <v>7.3252135216882411E-2</v>
      </c>
      <c r="K913" s="7">
        <f>IFERROR(Table1[[#This Row],[Conversions]]/Table1[[#This Row],[Clicks]],0)</f>
        <v>9.8402151558297735E-2</v>
      </c>
      <c r="L913" s="6">
        <f>IF(Table1[[#This Row],[Conversions]]=0,0,Table1[[#This Row],[Ad Spend]]/Table1[[#This Row],[Conversions]])</f>
        <v>3.0922990353697752</v>
      </c>
      <c r="M913" s="8">
        <f>IF(Table1[[#This Row],[Ad Spend]]=0,0,Table1[[#This Row],[Revenue]]/Table1[[#This Row],[Ad Spend]])</f>
        <v>9.5757742758954141</v>
      </c>
      <c r="N913">
        <f>YEAR(Table1[[#This Row],[Date]])</f>
        <v>2025</v>
      </c>
      <c r="O913" t="str">
        <f>TEXT(Table1[[#This Row],[Date]],"mmm")</f>
        <v>Jan</v>
      </c>
      <c r="P913">
        <f>MONTH(Table1[[#This Row],[Date]])</f>
        <v>1</v>
      </c>
    </row>
    <row r="914" spans="1:16" x14ac:dyDescent="0.25">
      <c r="A914" t="s">
        <v>933</v>
      </c>
      <c r="B914" t="s">
        <v>47</v>
      </c>
      <c r="C914" t="s">
        <v>12</v>
      </c>
      <c r="D914" s="1">
        <v>45394</v>
      </c>
      <c r="E914">
        <v>133351</v>
      </c>
      <c r="F914">
        <v>5491</v>
      </c>
      <c r="G914">
        <v>386</v>
      </c>
      <c r="H914" s="4">
        <v>1488.7</v>
      </c>
      <c r="I914" s="4">
        <v>30893.15</v>
      </c>
      <c r="J914" s="7">
        <f>Table1[[#This Row],[Clicks]]/Table1[[#This Row],[Impressions]]</f>
        <v>4.117704404166448E-2</v>
      </c>
      <c r="K914" s="7">
        <f>IFERROR(Table1[[#This Row],[Conversions]]/Table1[[#This Row],[Clicks]],0)</f>
        <v>7.0296849389910765E-2</v>
      </c>
      <c r="L914" s="6">
        <f>IF(Table1[[#This Row],[Conversions]]=0,0,Table1[[#This Row],[Ad Spend]]/Table1[[#This Row],[Conversions]])</f>
        <v>3.8567357512953371</v>
      </c>
      <c r="M914" s="8">
        <f>IF(Table1[[#This Row],[Ad Spend]]=0,0,Table1[[#This Row],[Revenue]]/Table1[[#This Row],[Ad Spend]])</f>
        <v>20.751763283401626</v>
      </c>
      <c r="N914">
        <f>YEAR(Table1[[#This Row],[Date]])</f>
        <v>2024</v>
      </c>
      <c r="O914" t="str">
        <f>TEXT(Table1[[#This Row],[Date]],"mmm")</f>
        <v>Apr</v>
      </c>
      <c r="P914">
        <f>MONTH(Table1[[#This Row],[Date]])</f>
        <v>4</v>
      </c>
    </row>
    <row r="915" spans="1:16" x14ac:dyDescent="0.25">
      <c r="A915" t="s">
        <v>934</v>
      </c>
      <c r="B915" t="s">
        <v>9</v>
      </c>
      <c r="C915" t="s">
        <v>17</v>
      </c>
      <c r="D915" s="1">
        <v>45707</v>
      </c>
      <c r="E915">
        <v>101530</v>
      </c>
      <c r="F915">
        <v>5378</v>
      </c>
      <c r="G915">
        <v>411</v>
      </c>
      <c r="H915" s="4">
        <v>2244.88</v>
      </c>
      <c r="I915" s="4">
        <v>9882.01</v>
      </c>
      <c r="J915" s="7">
        <f>Table1[[#This Row],[Clicks]]/Table1[[#This Row],[Impressions]]</f>
        <v>5.2969565645621983E-2</v>
      </c>
      <c r="K915" s="7">
        <f>IFERROR(Table1[[#This Row],[Conversions]]/Table1[[#This Row],[Clicks]],0)</f>
        <v>7.6422461881740428E-2</v>
      </c>
      <c r="L915" s="6">
        <f>IF(Table1[[#This Row],[Conversions]]=0,0,Table1[[#This Row],[Ad Spend]]/Table1[[#This Row],[Conversions]])</f>
        <v>5.4619951338199515</v>
      </c>
      <c r="M915" s="8">
        <f>IF(Table1[[#This Row],[Ad Spend]]=0,0,Table1[[#This Row],[Revenue]]/Table1[[#This Row],[Ad Spend]])</f>
        <v>4.4020214888991838</v>
      </c>
      <c r="N915">
        <f>YEAR(Table1[[#This Row],[Date]])</f>
        <v>2025</v>
      </c>
      <c r="O915" t="str">
        <f>TEXT(Table1[[#This Row],[Date]],"mmm")</f>
        <v>Feb</v>
      </c>
      <c r="P915">
        <f>MONTH(Table1[[#This Row],[Date]])</f>
        <v>2</v>
      </c>
    </row>
    <row r="916" spans="1:16" x14ac:dyDescent="0.25">
      <c r="A916" t="s">
        <v>935</v>
      </c>
      <c r="B916" t="s">
        <v>47</v>
      </c>
      <c r="C916" t="s">
        <v>17</v>
      </c>
      <c r="D916" s="1">
        <v>45638</v>
      </c>
      <c r="E916">
        <v>63780</v>
      </c>
      <c r="F916">
        <v>3529</v>
      </c>
      <c r="G916">
        <v>397</v>
      </c>
      <c r="H916" s="4">
        <v>4667.2</v>
      </c>
      <c r="I916" s="4">
        <v>28872.959999999999</v>
      </c>
      <c r="J916" s="7">
        <f>Table1[[#This Row],[Clicks]]/Table1[[#This Row],[Impressions]]</f>
        <v>5.533082470994042E-2</v>
      </c>
      <c r="K916" s="7">
        <f>IFERROR(Table1[[#This Row],[Conversions]]/Table1[[#This Row],[Clicks]],0)</f>
        <v>0.11249645792009068</v>
      </c>
      <c r="L916" s="6">
        <f>IF(Table1[[#This Row],[Conversions]]=0,0,Table1[[#This Row],[Ad Spend]]/Table1[[#This Row],[Conversions]])</f>
        <v>11.75617128463476</v>
      </c>
      <c r="M916" s="8">
        <f>IF(Table1[[#This Row],[Ad Spend]]=0,0,Table1[[#This Row],[Revenue]]/Table1[[#This Row],[Ad Spend]])</f>
        <v>6.1863558450462808</v>
      </c>
      <c r="N916">
        <f>YEAR(Table1[[#This Row],[Date]])</f>
        <v>2024</v>
      </c>
      <c r="O916" t="str">
        <f>TEXT(Table1[[#This Row],[Date]],"mmm")</f>
        <v>Dec</v>
      </c>
      <c r="P916">
        <f>MONTH(Table1[[#This Row],[Date]])</f>
        <v>12</v>
      </c>
    </row>
    <row r="917" spans="1:16" x14ac:dyDescent="0.25">
      <c r="A917" t="s">
        <v>936</v>
      </c>
      <c r="B917" t="s">
        <v>9</v>
      </c>
      <c r="C917" t="s">
        <v>19</v>
      </c>
      <c r="D917" s="1">
        <v>45531</v>
      </c>
      <c r="E917">
        <v>119650</v>
      </c>
      <c r="F917">
        <v>1859</v>
      </c>
      <c r="G917">
        <v>230</v>
      </c>
      <c r="H917" s="4">
        <v>1641.89</v>
      </c>
      <c r="I917" s="4">
        <v>27236.28</v>
      </c>
      <c r="J917" s="7">
        <f>Table1[[#This Row],[Clicks]]/Table1[[#This Row],[Impressions]]</f>
        <v>1.5536982866694526E-2</v>
      </c>
      <c r="K917" s="7">
        <f>IFERROR(Table1[[#This Row],[Conversions]]/Table1[[#This Row],[Clicks]],0)</f>
        <v>0.12372243141473911</v>
      </c>
      <c r="L917" s="6">
        <f>IF(Table1[[#This Row],[Conversions]]=0,0,Table1[[#This Row],[Ad Spend]]/Table1[[#This Row],[Conversions]])</f>
        <v>7.1386521739130435</v>
      </c>
      <c r="M917" s="8">
        <f>IF(Table1[[#This Row],[Ad Spend]]=0,0,Table1[[#This Row],[Revenue]]/Table1[[#This Row],[Ad Spend]])</f>
        <v>16.588370719110291</v>
      </c>
      <c r="N917">
        <f>YEAR(Table1[[#This Row],[Date]])</f>
        <v>2024</v>
      </c>
      <c r="O917" t="str">
        <f>TEXT(Table1[[#This Row],[Date]],"mmm")</f>
        <v>Aug</v>
      </c>
      <c r="P917">
        <f>MONTH(Table1[[#This Row],[Date]])</f>
        <v>8</v>
      </c>
    </row>
    <row r="918" spans="1:16" x14ac:dyDescent="0.25">
      <c r="A918" t="s">
        <v>937</v>
      </c>
      <c r="B918" t="s">
        <v>34</v>
      </c>
      <c r="C918" t="s">
        <v>37</v>
      </c>
      <c r="D918" s="1">
        <v>45559</v>
      </c>
      <c r="E918">
        <v>117127</v>
      </c>
      <c r="F918">
        <v>3593</v>
      </c>
      <c r="G918">
        <v>94</v>
      </c>
      <c r="H918" s="4">
        <v>567.36</v>
      </c>
      <c r="I918" s="4">
        <v>2303.89</v>
      </c>
      <c r="J918" s="7">
        <f>Table1[[#This Row],[Clicks]]/Table1[[#This Row],[Impressions]]</f>
        <v>3.0676103716478696E-2</v>
      </c>
      <c r="K918" s="7">
        <f>IFERROR(Table1[[#This Row],[Conversions]]/Table1[[#This Row],[Clicks]],0)</f>
        <v>2.6161981630949068E-2</v>
      </c>
      <c r="L918" s="6">
        <f>IF(Table1[[#This Row],[Conversions]]=0,0,Table1[[#This Row],[Ad Spend]]/Table1[[#This Row],[Conversions]])</f>
        <v>6.0357446808510637</v>
      </c>
      <c r="M918" s="8">
        <f>IF(Table1[[#This Row],[Ad Spend]]=0,0,Table1[[#This Row],[Revenue]]/Table1[[#This Row],[Ad Spend]])</f>
        <v>4.060719825155104</v>
      </c>
      <c r="N918">
        <f>YEAR(Table1[[#This Row],[Date]])</f>
        <v>2024</v>
      </c>
      <c r="O918" t="str">
        <f>TEXT(Table1[[#This Row],[Date]],"mmm")</f>
        <v>Sept</v>
      </c>
      <c r="P918">
        <f>MONTH(Table1[[#This Row],[Date]])</f>
        <v>9</v>
      </c>
    </row>
    <row r="919" spans="1:16" x14ac:dyDescent="0.25">
      <c r="A919" t="s">
        <v>938</v>
      </c>
      <c r="B919" t="s">
        <v>9</v>
      </c>
      <c r="C919" t="s">
        <v>12</v>
      </c>
      <c r="D919" s="1">
        <v>45509</v>
      </c>
      <c r="E919">
        <v>113270</v>
      </c>
      <c r="F919">
        <v>1881</v>
      </c>
      <c r="G919">
        <v>199</v>
      </c>
      <c r="H919" s="4">
        <v>2928.7</v>
      </c>
      <c r="I919" s="4">
        <v>9022.27</v>
      </c>
      <c r="J919" s="7">
        <f>Table1[[#This Row],[Clicks]]/Table1[[#This Row],[Impressions]]</f>
        <v>1.660633883640858E-2</v>
      </c>
      <c r="K919" s="7">
        <f>IFERROR(Table1[[#This Row],[Conversions]]/Table1[[#This Row],[Clicks]],0)</f>
        <v>0.10579479000531632</v>
      </c>
      <c r="L919" s="6">
        <f>IF(Table1[[#This Row],[Conversions]]=0,0,Table1[[#This Row],[Ad Spend]]/Table1[[#This Row],[Conversions]])</f>
        <v>14.717085427135677</v>
      </c>
      <c r="M919" s="8">
        <f>IF(Table1[[#This Row],[Ad Spend]]=0,0,Table1[[#This Row],[Revenue]]/Table1[[#This Row],[Ad Spend]])</f>
        <v>3.0806398743469803</v>
      </c>
      <c r="N919">
        <f>YEAR(Table1[[#This Row],[Date]])</f>
        <v>2024</v>
      </c>
      <c r="O919" t="str">
        <f>TEXT(Table1[[#This Row],[Date]],"mmm")</f>
        <v>Aug</v>
      </c>
      <c r="P919">
        <f>MONTH(Table1[[#This Row],[Date]])</f>
        <v>8</v>
      </c>
    </row>
    <row r="920" spans="1:16" x14ac:dyDescent="0.25">
      <c r="A920" t="s">
        <v>939</v>
      </c>
      <c r="B920" t="s">
        <v>34</v>
      </c>
      <c r="C920" t="s">
        <v>12</v>
      </c>
      <c r="D920" s="1">
        <v>45333</v>
      </c>
      <c r="E920">
        <v>136974</v>
      </c>
      <c r="F920">
        <v>1525</v>
      </c>
      <c r="G920">
        <v>177</v>
      </c>
      <c r="H920" s="4">
        <v>2421.8200000000002</v>
      </c>
      <c r="I920" s="4">
        <v>17455.330000000002</v>
      </c>
      <c r="J920" s="7">
        <f>Table1[[#This Row],[Clicks]]/Table1[[#This Row],[Impressions]]</f>
        <v>1.1133499788280987E-2</v>
      </c>
      <c r="K920" s="7">
        <f>IFERROR(Table1[[#This Row],[Conversions]]/Table1[[#This Row],[Clicks]],0)</f>
        <v>0.1160655737704918</v>
      </c>
      <c r="L920" s="6">
        <f>IF(Table1[[#This Row],[Conversions]]=0,0,Table1[[#This Row],[Ad Spend]]/Table1[[#This Row],[Conversions]])</f>
        <v>13.682598870056498</v>
      </c>
      <c r="M920" s="8">
        <f>IF(Table1[[#This Row],[Ad Spend]]=0,0,Table1[[#This Row],[Revenue]]/Table1[[#This Row],[Ad Spend]])</f>
        <v>7.2075257451007921</v>
      </c>
      <c r="N920">
        <f>YEAR(Table1[[#This Row],[Date]])</f>
        <v>2024</v>
      </c>
      <c r="O920" t="str">
        <f>TEXT(Table1[[#This Row],[Date]],"mmm")</f>
        <v>Feb</v>
      </c>
      <c r="P920">
        <f>MONTH(Table1[[#This Row],[Date]])</f>
        <v>2</v>
      </c>
    </row>
    <row r="921" spans="1:16" x14ac:dyDescent="0.25">
      <c r="A921" t="s">
        <v>940</v>
      </c>
      <c r="B921" t="s">
        <v>21</v>
      </c>
      <c r="C921" t="s">
        <v>10</v>
      </c>
      <c r="D921" s="1">
        <v>45334</v>
      </c>
      <c r="E921">
        <v>114117</v>
      </c>
      <c r="F921">
        <v>8144</v>
      </c>
      <c r="G921">
        <v>478</v>
      </c>
      <c r="H921" s="4">
        <v>3018.6</v>
      </c>
      <c r="I921" s="4">
        <v>31308.91</v>
      </c>
      <c r="J921" s="7">
        <f>Table1[[#This Row],[Clicks]]/Table1[[#This Row],[Impressions]]</f>
        <v>7.1365353102517598E-2</v>
      </c>
      <c r="K921" s="7">
        <f>IFERROR(Table1[[#This Row],[Conversions]]/Table1[[#This Row],[Clicks]],0)</f>
        <v>5.8693516699410607E-2</v>
      </c>
      <c r="L921" s="6">
        <f>IF(Table1[[#This Row],[Conversions]]=0,0,Table1[[#This Row],[Ad Spend]]/Table1[[#This Row],[Conversions]])</f>
        <v>6.315062761506276</v>
      </c>
      <c r="M921" s="8">
        <f>IF(Table1[[#This Row],[Ad Spend]]=0,0,Table1[[#This Row],[Revenue]]/Table1[[#This Row],[Ad Spend]])</f>
        <v>10.371996952229511</v>
      </c>
      <c r="N921">
        <f>YEAR(Table1[[#This Row],[Date]])</f>
        <v>2024</v>
      </c>
      <c r="O921" t="str">
        <f>TEXT(Table1[[#This Row],[Date]],"mmm")</f>
        <v>Feb</v>
      </c>
      <c r="P921">
        <f>MONTH(Table1[[#This Row],[Date]])</f>
        <v>2</v>
      </c>
    </row>
    <row r="922" spans="1:16" x14ac:dyDescent="0.25">
      <c r="A922" t="s">
        <v>941</v>
      </c>
      <c r="B922" t="s">
        <v>41</v>
      </c>
      <c r="C922" t="s">
        <v>12</v>
      </c>
      <c r="D922" s="1">
        <v>45705</v>
      </c>
      <c r="E922">
        <v>74487</v>
      </c>
      <c r="F922">
        <v>2524</v>
      </c>
      <c r="G922">
        <v>351</v>
      </c>
      <c r="H922" s="4">
        <v>4088.03</v>
      </c>
      <c r="I922" s="4">
        <v>14428.5</v>
      </c>
      <c r="J922" s="7">
        <f>Table1[[#This Row],[Clicks]]/Table1[[#This Row],[Impressions]]</f>
        <v>3.388510746841731E-2</v>
      </c>
      <c r="K922" s="7">
        <f>IFERROR(Table1[[#This Row],[Conversions]]/Table1[[#This Row],[Clicks]],0)</f>
        <v>0.13906497622820918</v>
      </c>
      <c r="L922" s="6">
        <f>IF(Table1[[#This Row],[Conversions]]=0,0,Table1[[#This Row],[Ad Spend]]/Table1[[#This Row],[Conversions]])</f>
        <v>11.646809116809118</v>
      </c>
      <c r="M922" s="8">
        <f>IF(Table1[[#This Row],[Ad Spend]]=0,0,Table1[[#This Row],[Revenue]]/Table1[[#This Row],[Ad Spend]])</f>
        <v>3.5294506155776744</v>
      </c>
      <c r="N922">
        <f>YEAR(Table1[[#This Row],[Date]])</f>
        <v>2025</v>
      </c>
      <c r="O922" t="str">
        <f>TEXT(Table1[[#This Row],[Date]],"mmm")</f>
        <v>Feb</v>
      </c>
      <c r="P922">
        <f>MONTH(Table1[[#This Row],[Date]])</f>
        <v>2</v>
      </c>
    </row>
    <row r="923" spans="1:16" x14ac:dyDescent="0.25">
      <c r="A923" t="s">
        <v>942</v>
      </c>
      <c r="B923" t="s">
        <v>9</v>
      </c>
      <c r="C923" t="s">
        <v>12</v>
      </c>
      <c r="D923" s="1">
        <v>45424</v>
      </c>
      <c r="E923">
        <v>32873</v>
      </c>
      <c r="F923">
        <v>1326</v>
      </c>
      <c r="G923">
        <v>29</v>
      </c>
      <c r="H923" s="4">
        <v>2095.6799999999998</v>
      </c>
      <c r="I923" s="4">
        <v>618.58000000000004</v>
      </c>
      <c r="J923" s="7">
        <f>Table1[[#This Row],[Clicks]]/Table1[[#This Row],[Impressions]]</f>
        <v>4.0337054725762787E-2</v>
      </c>
      <c r="K923" s="7">
        <f>IFERROR(Table1[[#This Row],[Conversions]]/Table1[[#This Row],[Clicks]],0)</f>
        <v>2.1870286576168928E-2</v>
      </c>
      <c r="L923" s="6">
        <f>IF(Table1[[#This Row],[Conversions]]=0,0,Table1[[#This Row],[Ad Spend]]/Table1[[#This Row],[Conversions]])</f>
        <v>72.264827586206891</v>
      </c>
      <c r="M923" s="8">
        <f>IF(Table1[[#This Row],[Ad Spend]]=0,0,Table1[[#This Row],[Revenue]]/Table1[[#This Row],[Ad Spend]])</f>
        <v>0.2951691097877539</v>
      </c>
      <c r="N923">
        <f>YEAR(Table1[[#This Row],[Date]])</f>
        <v>2024</v>
      </c>
      <c r="O923" t="str">
        <f>TEXT(Table1[[#This Row],[Date]],"mmm")</f>
        <v>May</v>
      </c>
      <c r="P923">
        <f>MONTH(Table1[[#This Row],[Date]])</f>
        <v>5</v>
      </c>
    </row>
    <row r="924" spans="1:16" x14ac:dyDescent="0.25">
      <c r="A924" t="s">
        <v>943</v>
      </c>
      <c r="B924" t="s">
        <v>41</v>
      </c>
      <c r="C924" t="s">
        <v>17</v>
      </c>
      <c r="D924" s="1">
        <v>45646</v>
      </c>
      <c r="E924">
        <v>111192</v>
      </c>
      <c r="F924">
        <v>7874</v>
      </c>
      <c r="G924">
        <v>1146</v>
      </c>
      <c r="H924" s="4">
        <v>3089.06</v>
      </c>
      <c r="I924" s="4">
        <v>78698.399999999994</v>
      </c>
      <c r="J924" s="7">
        <f>Table1[[#This Row],[Clicks]]/Table1[[#This Row],[Impressions]]</f>
        <v>7.0814447082523921E-2</v>
      </c>
      <c r="K924" s="7">
        <f>IFERROR(Table1[[#This Row],[Conversions]]/Table1[[#This Row],[Clicks]],0)</f>
        <v>0.14554229108458216</v>
      </c>
      <c r="L924" s="6">
        <f>IF(Table1[[#This Row],[Conversions]]=0,0,Table1[[#This Row],[Ad Spend]]/Table1[[#This Row],[Conversions]])</f>
        <v>2.6955148342059339</v>
      </c>
      <c r="M924" s="8">
        <f>IF(Table1[[#This Row],[Ad Spend]]=0,0,Table1[[#This Row],[Revenue]]/Table1[[#This Row],[Ad Spend]])</f>
        <v>25.476487993111171</v>
      </c>
      <c r="N924">
        <f>YEAR(Table1[[#This Row],[Date]])</f>
        <v>2024</v>
      </c>
      <c r="O924" t="str">
        <f>TEXT(Table1[[#This Row],[Date]],"mmm")</f>
        <v>Dec</v>
      </c>
      <c r="P924">
        <f>MONTH(Table1[[#This Row],[Date]])</f>
        <v>12</v>
      </c>
    </row>
    <row r="925" spans="1:16" x14ac:dyDescent="0.25">
      <c r="A925" t="s">
        <v>944</v>
      </c>
      <c r="B925" t="s">
        <v>47</v>
      </c>
      <c r="C925" t="s">
        <v>17</v>
      </c>
      <c r="D925" s="1">
        <v>45703</v>
      </c>
      <c r="E925">
        <v>84339</v>
      </c>
      <c r="F925">
        <v>1360</v>
      </c>
      <c r="G925">
        <v>51</v>
      </c>
      <c r="H925" s="4">
        <v>1115.8499999999999</v>
      </c>
      <c r="I925" s="4">
        <v>5181.4399999999996</v>
      </c>
      <c r="J925" s="7">
        <f>Table1[[#This Row],[Clicks]]/Table1[[#This Row],[Impressions]]</f>
        <v>1.6125398688625666E-2</v>
      </c>
      <c r="K925" s="7">
        <f>IFERROR(Table1[[#This Row],[Conversions]]/Table1[[#This Row],[Clicks]],0)</f>
        <v>3.7499999999999999E-2</v>
      </c>
      <c r="L925" s="6">
        <f>IF(Table1[[#This Row],[Conversions]]=0,0,Table1[[#This Row],[Ad Spend]]/Table1[[#This Row],[Conversions]])</f>
        <v>21.879411764705882</v>
      </c>
      <c r="M925" s="8">
        <f>IF(Table1[[#This Row],[Ad Spend]]=0,0,Table1[[#This Row],[Revenue]]/Table1[[#This Row],[Ad Spend]])</f>
        <v>4.6434915087153295</v>
      </c>
      <c r="N925">
        <f>YEAR(Table1[[#This Row],[Date]])</f>
        <v>2025</v>
      </c>
      <c r="O925" t="str">
        <f>TEXT(Table1[[#This Row],[Date]],"mmm")</f>
        <v>Feb</v>
      </c>
      <c r="P925">
        <f>MONTH(Table1[[#This Row],[Date]])</f>
        <v>2</v>
      </c>
    </row>
    <row r="926" spans="1:16" x14ac:dyDescent="0.25">
      <c r="A926" t="s">
        <v>945</v>
      </c>
      <c r="B926" t="s">
        <v>14</v>
      </c>
      <c r="C926" t="s">
        <v>10</v>
      </c>
      <c r="D926" s="1">
        <v>45399</v>
      </c>
      <c r="E926">
        <v>131121</v>
      </c>
      <c r="F926">
        <v>7264</v>
      </c>
      <c r="G926">
        <v>758</v>
      </c>
      <c r="H926" s="4">
        <v>2291.7800000000002</v>
      </c>
      <c r="I926" s="4">
        <v>62615.28</v>
      </c>
      <c r="J926" s="7">
        <f>Table1[[#This Row],[Clicks]]/Table1[[#This Row],[Impressions]]</f>
        <v>5.5399211415410196E-2</v>
      </c>
      <c r="K926" s="7">
        <f>IFERROR(Table1[[#This Row],[Conversions]]/Table1[[#This Row],[Clicks]],0)</f>
        <v>0.10435022026431719</v>
      </c>
      <c r="L926" s="6">
        <f>IF(Table1[[#This Row],[Conversions]]=0,0,Table1[[#This Row],[Ad Spend]]/Table1[[#This Row],[Conversions]])</f>
        <v>3.0234564643799473</v>
      </c>
      <c r="M926" s="8">
        <f>IF(Table1[[#This Row],[Ad Spend]]=0,0,Table1[[#This Row],[Revenue]]/Table1[[#This Row],[Ad Spend]])</f>
        <v>27.321680091457292</v>
      </c>
      <c r="N926">
        <f>YEAR(Table1[[#This Row],[Date]])</f>
        <v>2024</v>
      </c>
      <c r="O926" t="str">
        <f>TEXT(Table1[[#This Row],[Date]],"mmm")</f>
        <v>Apr</v>
      </c>
      <c r="P926">
        <f>MONTH(Table1[[#This Row],[Date]])</f>
        <v>4</v>
      </c>
    </row>
    <row r="927" spans="1:16" x14ac:dyDescent="0.25">
      <c r="A927" t="s">
        <v>946</v>
      </c>
      <c r="B927" t="s">
        <v>14</v>
      </c>
      <c r="C927" t="s">
        <v>10</v>
      </c>
      <c r="D927" s="1">
        <v>45446</v>
      </c>
      <c r="E927">
        <v>126484</v>
      </c>
      <c r="F927">
        <v>2576</v>
      </c>
      <c r="G927">
        <v>192</v>
      </c>
      <c r="H927" s="4">
        <v>759</v>
      </c>
      <c r="I927" s="4">
        <v>21166.37</v>
      </c>
      <c r="J927" s="7">
        <f>Table1[[#This Row],[Clicks]]/Table1[[#This Row],[Impressions]]</f>
        <v>2.0366212327250877E-2</v>
      </c>
      <c r="K927" s="7">
        <f>IFERROR(Table1[[#This Row],[Conversions]]/Table1[[#This Row],[Clicks]],0)</f>
        <v>7.4534161490683232E-2</v>
      </c>
      <c r="L927" s="6">
        <f>IF(Table1[[#This Row],[Conversions]]=0,0,Table1[[#This Row],[Ad Spend]]/Table1[[#This Row],[Conversions]])</f>
        <v>3.953125</v>
      </c>
      <c r="M927" s="8">
        <f>IF(Table1[[#This Row],[Ad Spend]]=0,0,Table1[[#This Row],[Revenue]]/Table1[[#This Row],[Ad Spend]])</f>
        <v>27.887180500658761</v>
      </c>
      <c r="N927">
        <f>YEAR(Table1[[#This Row],[Date]])</f>
        <v>2024</v>
      </c>
      <c r="O927" t="str">
        <f>TEXT(Table1[[#This Row],[Date]],"mmm")</f>
        <v>Jun</v>
      </c>
      <c r="P927">
        <f>MONTH(Table1[[#This Row],[Date]])</f>
        <v>6</v>
      </c>
    </row>
    <row r="928" spans="1:16" x14ac:dyDescent="0.25">
      <c r="A928" t="s">
        <v>947</v>
      </c>
      <c r="B928" t="s">
        <v>41</v>
      </c>
      <c r="C928" t="s">
        <v>17</v>
      </c>
      <c r="D928" s="1">
        <v>45533</v>
      </c>
      <c r="E928">
        <v>10145</v>
      </c>
      <c r="F928">
        <v>712</v>
      </c>
      <c r="G928">
        <v>68</v>
      </c>
      <c r="H928" s="4">
        <v>1166.42</v>
      </c>
      <c r="I928" s="4">
        <v>5232.13</v>
      </c>
      <c r="J928" s="7">
        <f>Table1[[#This Row],[Clicks]]/Table1[[#This Row],[Impressions]]</f>
        <v>7.018235584031543E-2</v>
      </c>
      <c r="K928" s="7">
        <f>IFERROR(Table1[[#This Row],[Conversions]]/Table1[[#This Row],[Clicks]],0)</f>
        <v>9.5505617977528087E-2</v>
      </c>
      <c r="L928" s="6">
        <f>IF(Table1[[#This Row],[Conversions]]=0,0,Table1[[#This Row],[Ad Spend]]/Table1[[#This Row],[Conversions]])</f>
        <v>17.15323529411765</v>
      </c>
      <c r="M928" s="8">
        <f>IF(Table1[[#This Row],[Ad Spend]]=0,0,Table1[[#This Row],[Revenue]]/Table1[[#This Row],[Ad Spend]])</f>
        <v>4.4856312477495237</v>
      </c>
      <c r="N928">
        <f>YEAR(Table1[[#This Row],[Date]])</f>
        <v>2024</v>
      </c>
      <c r="O928" t="str">
        <f>TEXT(Table1[[#This Row],[Date]],"mmm")</f>
        <v>Aug</v>
      </c>
      <c r="P928">
        <f>MONTH(Table1[[#This Row],[Date]])</f>
        <v>8</v>
      </c>
    </row>
    <row r="929" spans="1:16" x14ac:dyDescent="0.25">
      <c r="A929" t="s">
        <v>948</v>
      </c>
      <c r="B929" t="s">
        <v>21</v>
      </c>
      <c r="C929" t="s">
        <v>10</v>
      </c>
      <c r="D929" s="1">
        <v>45462</v>
      </c>
      <c r="E929">
        <v>7064</v>
      </c>
      <c r="F929">
        <v>121</v>
      </c>
      <c r="G929">
        <v>15</v>
      </c>
      <c r="H929" s="4">
        <v>2272.58</v>
      </c>
      <c r="I929" s="4">
        <v>923.53</v>
      </c>
      <c r="J929" s="7">
        <f>Table1[[#This Row],[Clicks]]/Table1[[#This Row],[Impressions]]</f>
        <v>1.7129105322763308E-2</v>
      </c>
      <c r="K929" s="7">
        <f>IFERROR(Table1[[#This Row],[Conversions]]/Table1[[#This Row],[Clicks]],0)</f>
        <v>0.12396694214876033</v>
      </c>
      <c r="L929" s="6">
        <f>IF(Table1[[#This Row],[Conversions]]=0,0,Table1[[#This Row],[Ad Spend]]/Table1[[#This Row],[Conversions]])</f>
        <v>151.50533333333334</v>
      </c>
      <c r="M929" s="8">
        <f>IF(Table1[[#This Row],[Ad Spend]]=0,0,Table1[[#This Row],[Revenue]]/Table1[[#This Row],[Ad Spend]])</f>
        <v>0.40637953339376393</v>
      </c>
      <c r="N929">
        <f>YEAR(Table1[[#This Row],[Date]])</f>
        <v>2024</v>
      </c>
      <c r="O929" t="str">
        <f>TEXT(Table1[[#This Row],[Date]],"mmm")</f>
        <v>Jun</v>
      </c>
      <c r="P929">
        <f>MONTH(Table1[[#This Row],[Date]])</f>
        <v>6</v>
      </c>
    </row>
    <row r="930" spans="1:16" x14ac:dyDescent="0.25">
      <c r="A930" t="s">
        <v>949</v>
      </c>
      <c r="B930" t="s">
        <v>41</v>
      </c>
      <c r="C930" t="s">
        <v>12</v>
      </c>
      <c r="D930" s="1">
        <v>45597</v>
      </c>
      <c r="E930">
        <v>81224</v>
      </c>
      <c r="F930">
        <v>1022</v>
      </c>
      <c r="G930">
        <v>73</v>
      </c>
      <c r="H930" s="4">
        <v>2664.11</v>
      </c>
      <c r="I930" s="4">
        <v>6749.68</v>
      </c>
      <c r="J930" s="7">
        <f>Table1[[#This Row],[Clicks]]/Table1[[#This Row],[Impressions]]</f>
        <v>1.258248793460061E-2</v>
      </c>
      <c r="K930" s="7">
        <f>IFERROR(Table1[[#This Row],[Conversions]]/Table1[[#This Row],[Clicks]],0)</f>
        <v>7.1428571428571425E-2</v>
      </c>
      <c r="L930" s="6">
        <f>IF(Table1[[#This Row],[Conversions]]=0,0,Table1[[#This Row],[Ad Spend]]/Table1[[#This Row],[Conversions]])</f>
        <v>36.494657534246578</v>
      </c>
      <c r="M930" s="8">
        <f>IF(Table1[[#This Row],[Ad Spend]]=0,0,Table1[[#This Row],[Revenue]]/Table1[[#This Row],[Ad Spend]])</f>
        <v>2.5335590497389373</v>
      </c>
      <c r="N930">
        <f>YEAR(Table1[[#This Row],[Date]])</f>
        <v>2024</v>
      </c>
      <c r="O930" t="str">
        <f>TEXT(Table1[[#This Row],[Date]],"mmm")</f>
        <v>Nov</v>
      </c>
      <c r="P930">
        <f>MONTH(Table1[[#This Row],[Date]])</f>
        <v>11</v>
      </c>
    </row>
    <row r="931" spans="1:16" x14ac:dyDescent="0.25">
      <c r="A931" t="s">
        <v>950</v>
      </c>
      <c r="B931" t="s">
        <v>41</v>
      </c>
      <c r="C931" t="s">
        <v>37</v>
      </c>
      <c r="D931" s="1">
        <v>45657</v>
      </c>
      <c r="E931">
        <v>20913</v>
      </c>
      <c r="F931">
        <v>982</v>
      </c>
      <c r="G931">
        <v>73</v>
      </c>
      <c r="H931" s="4">
        <v>1716.08</v>
      </c>
      <c r="I931" s="4">
        <v>1923.63</v>
      </c>
      <c r="J931" s="7">
        <f>Table1[[#This Row],[Clicks]]/Table1[[#This Row],[Impressions]]</f>
        <v>4.6956438578874382E-2</v>
      </c>
      <c r="K931" s="7">
        <f>IFERROR(Table1[[#This Row],[Conversions]]/Table1[[#This Row],[Clicks]],0)</f>
        <v>7.4338085539714868E-2</v>
      </c>
      <c r="L931" s="6">
        <f>IF(Table1[[#This Row],[Conversions]]=0,0,Table1[[#This Row],[Ad Spend]]/Table1[[#This Row],[Conversions]])</f>
        <v>23.507945205479452</v>
      </c>
      <c r="M931" s="8">
        <f>IF(Table1[[#This Row],[Ad Spend]]=0,0,Table1[[#This Row],[Revenue]]/Table1[[#This Row],[Ad Spend]])</f>
        <v>1.1209442450235421</v>
      </c>
      <c r="N931">
        <f>YEAR(Table1[[#This Row],[Date]])</f>
        <v>2024</v>
      </c>
      <c r="O931" t="str">
        <f>TEXT(Table1[[#This Row],[Date]],"mmm")</f>
        <v>Dec</v>
      </c>
      <c r="P931">
        <f>MONTH(Table1[[#This Row],[Date]])</f>
        <v>12</v>
      </c>
    </row>
    <row r="932" spans="1:16" x14ac:dyDescent="0.25">
      <c r="A932" t="s">
        <v>951</v>
      </c>
      <c r="B932" t="s">
        <v>21</v>
      </c>
      <c r="C932" t="s">
        <v>17</v>
      </c>
      <c r="D932" s="1">
        <v>45351</v>
      </c>
      <c r="E932">
        <v>134705</v>
      </c>
      <c r="F932">
        <v>7218</v>
      </c>
      <c r="G932">
        <v>750</v>
      </c>
      <c r="H932" s="4">
        <v>2351.96</v>
      </c>
      <c r="I932" s="4">
        <v>47717.25</v>
      </c>
      <c r="J932" s="7">
        <f>Table1[[#This Row],[Clicks]]/Table1[[#This Row],[Impressions]]</f>
        <v>5.3583757098845629E-2</v>
      </c>
      <c r="K932" s="7">
        <f>IFERROR(Table1[[#This Row],[Conversions]]/Table1[[#This Row],[Clicks]],0)</f>
        <v>0.10390689941812137</v>
      </c>
      <c r="L932" s="6">
        <f>IF(Table1[[#This Row],[Conversions]]=0,0,Table1[[#This Row],[Ad Spend]]/Table1[[#This Row],[Conversions]])</f>
        <v>3.1359466666666669</v>
      </c>
      <c r="M932" s="8">
        <f>IF(Table1[[#This Row],[Ad Spend]]=0,0,Table1[[#This Row],[Revenue]]/Table1[[#This Row],[Ad Spend]])</f>
        <v>20.288291467541963</v>
      </c>
      <c r="N932">
        <f>YEAR(Table1[[#This Row],[Date]])</f>
        <v>2024</v>
      </c>
      <c r="O932" t="str">
        <f>TEXT(Table1[[#This Row],[Date]],"mmm")</f>
        <v>Feb</v>
      </c>
      <c r="P932">
        <f>MONTH(Table1[[#This Row],[Date]])</f>
        <v>2</v>
      </c>
    </row>
    <row r="933" spans="1:16" x14ac:dyDescent="0.25">
      <c r="A933" t="s">
        <v>952</v>
      </c>
      <c r="B933" t="s">
        <v>16</v>
      </c>
      <c r="C933" t="s">
        <v>19</v>
      </c>
      <c r="D933" s="1">
        <v>45663</v>
      </c>
      <c r="E933">
        <v>55384</v>
      </c>
      <c r="F933">
        <v>2373</v>
      </c>
      <c r="G933">
        <v>182</v>
      </c>
      <c r="H933" s="4">
        <v>2636.65</v>
      </c>
      <c r="I933" s="4">
        <v>14335.39</v>
      </c>
      <c r="J933" s="7">
        <f>Table1[[#This Row],[Clicks]]/Table1[[#This Row],[Impressions]]</f>
        <v>4.2846309403437817E-2</v>
      </c>
      <c r="K933" s="7">
        <f>IFERROR(Table1[[#This Row],[Conversions]]/Table1[[#This Row],[Clicks]],0)</f>
        <v>7.6696165191740412E-2</v>
      </c>
      <c r="L933" s="6">
        <f>IF(Table1[[#This Row],[Conversions]]=0,0,Table1[[#This Row],[Ad Spend]]/Table1[[#This Row],[Conversions]])</f>
        <v>14.487087912087913</v>
      </c>
      <c r="M933" s="8">
        <f>IF(Table1[[#This Row],[Ad Spend]]=0,0,Table1[[#This Row],[Revenue]]/Table1[[#This Row],[Ad Spend]])</f>
        <v>5.4369711565812677</v>
      </c>
      <c r="N933">
        <f>YEAR(Table1[[#This Row],[Date]])</f>
        <v>2025</v>
      </c>
      <c r="O933" t="str">
        <f>TEXT(Table1[[#This Row],[Date]],"mmm")</f>
        <v>Jan</v>
      </c>
      <c r="P933">
        <f>MONTH(Table1[[#This Row],[Date]])</f>
        <v>1</v>
      </c>
    </row>
    <row r="934" spans="1:16" x14ac:dyDescent="0.25">
      <c r="A934" t="s">
        <v>953</v>
      </c>
      <c r="B934" t="s">
        <v>47</v>
      </c>
      <c r="C934" t="s">
        <v>12</v>
      </c>
      <c r="D934" s="1">
        <v>45658</v>
      </c>
      <c r="E934">
        <v>127805</v>
      </c>
      <c r="F934">
        <v>2451</v>
      </c>
      <c r="G934">
        <v>142</v>
      </c>
      <c r="H934" s="4">
        <v>3614.65</v>
      </c>
      <c r="I934" s="4">
        <v>16469.21</v>
      </c>
      <c r="J934" s="7">
        <f>Table1[[#This Row],[Clicks]]/Table1[[#This Row],[Impressions]]</f>
        <v>1.917765345643754E-2</v>
      </c>
      <c r="K934" s="7">
        <f>IFERROR(Table1[[#This Row],[Conversions]]/Table1[[#This Row],[Clicks]],0)</f>
        <v>5.7935536515707875E-2</v>
      </c>
      <c r="L934" s="6">
        <f>IF(Table1[[#This Row],[Conversions]]=0,0,Table1[[#This Row],[Ad Spend]]/Table1[[#This Row],[Conversions]])</f>
        <v>25.455281690140847</v>
      </c>
      <c r="M934" s="8">
        <f>IF(Table1[[#This Row],[Ad Spend]]=0,0,Table1[[#This Row],[Revenue]]/Table1[[#This Row],[Ad Spend]])</f>
        <v>4.5562391932828898</v>
      </c>
      <c r="N934">
        <f>YEAR(Table1[[#This Row],[Date]])</f>
        <v>2025</v>
      </c>
      <c r="O934" t="str">
        <f>TEXT(Table1[[#This Row],[Date]],"mmm")</f>
        <v>Jan</v>
      </c>
      <c r="P934">
        <f>MONTH(Table1[[#This Row],[Date]])</f>
        <v>1</v>
      </c>
    </row>
    <row r="935" spans="1:16" x14ac:dyDescent="0.25">
      <c r="A935" t="s">
        <v>954</v>
      </c>
      <c r="B935" t="s">
        <v>47</v>
      </c>
      <c r="C935" t="s">
        <v>17</v>
      </c>
      <c r="D935" s="1">
        <v>45701</v>
      </c>
      <c r="E935">
        <v>47474</v>
      </c>
      <c r="F935">
        <v>2541</v>
      </c>
      <c r="G935">
        <v>144</v>
      </c>
      <c r="H935" s="4">
        <v>3796.42</v>
      </c>
      <c r="I935" s="4">
        <v>12485.61</v>
      </c>
      <c r="J935" s="7">
        <f>Table1[[#This Row],[Clicks]]/Table1[[#This Row],[Impressions]]</f>
        <v>5.3524034208198172E-2</v>
      </c>
      <c r="K935" s="7">
        <f>IFERROR(Table1[[#This Row],[Conversions]]/Table1[[#This Row],[Clicks]],0)</f>
        <v>5.667060212514758E-2</v>
      </c>
      <c r="L935" s="6">
        <f>IF(Table1[[#This Row],[Conversions]]=0,0,Table1[[#This Row],[Ad Spend]]/Table1[[#This Row],[Conversions]])</f>
        <v>26.364027777777778</v>
      </c>
      <c r="M935" s="8">
        <f>IF(Table1[[#This Row],[Ad Spend]]=0,0,Table1[[#This Row],[Revenue]]/Table1[[#This Row],[Ad Spend]])</f>
        <v>3.2887852239741653</v>
      </c>
      <c r="N935">
        <f>YEAR(Table1[[#This Row],[Date]])</f>
        <v>2025</v>
      </c>
      <c r="O935" t="str">
        <f>TEXT(Table1[[#This Row],[Date]],"mmm")</f>
        <v>Feb</v>
      </c>
      <c r="P935">
        <f>MONTH(Table1[[#This Row],[Date]])</f>
        <v>2</v>
      </c>
    </row>
    <row r="936" spans="1:16" x14ac:dyDescent="0.25">
      <c r="A936" t="s">
        <v>955</v>
      </c>
      <c r="B936" t="s">
        <v>16</v>
      </c>
      <c r="C936" t="s">
        <v>37</v>
      </c>
      <c r="D936" s="1">
        <v>45394</v>
      </c>
      <c r="E936">
        <v>45976</v>
      </c>
      <c r="F936">
        <v>2409</v>
      </c>
      <c r="G936">
        <v>79</v>
      </c>
      <c r="H936" s="4">
        <v>2196.7199999999998</v>
      </c>
      <c r="I936" s="4">
        <v>9430.76</v>
      </c>
      <c r="J936" s="7">
        <f>Table1[[#This Row],[Clicks]]/Table1[[#This Row],[Impressions]]</f>
        <v>5.2396902731860102E-2</v>
      </c>
      <c r="K936" s="7">
        <f>IFERROR(Table1[[#This Row],[Conversions]]/Table1[[#This Row],[Clicks]],0)</f>
        <v>3.27936903279369E-2</v>
      </c>
      <c r="L936" s="6">
        <f>IF(Table1[[#This Row],[Conversions]]=0,0,Table1[[#This Row],[Ad Spend]]/Table1[[#This Row],[Conversions]])</f>
        <v>27.806582278481009</v>
      </c>
      <c r="M936" s="8">
        <f>IF(Table1[[#This Row],[Ad Spend]]=0,0,Table1[[#This Row],[Revenue]]/Table1[[#This Row],[Ad Spend]])</f>
        <v>4.2931097272296883</v>
      </c>
      <c r="N936">
        <f>YEAR(Table1[[#This Row],[Date]])</f>
        <v>2024</v>
      </c>
      <c r="O936" t="str">
        <f>TEXT(Table1[[#This Row],[Date]],"mmm")</f>
        <v>Apr</v>
      </c>
      <c r="P936">
        <f>MONTH(Table1[[#This Row],[Date]])</f>
        <v>4</v>
      </c>
    </row>
    <row r="937" spans="1:16" x14ac:dyDescent="0.25">
      <c r="A937" t="s">
        <v>956</v>
      </c>
      <c r="B937" t="s">
        <v>34</v>
      </c>
      <c r="C937" t="s">
        <v>37</v>
      </c>
      <c r="D937" s="1">
        <v>45399</v>
      </c>
      <c r="E937">
        <v>17333</v>
      </c>
      <c r="F937">
        <v>1385</v>
      </c>
      <c r="G937">
        <v>92</v>
      </c>
      <c r="H937" s="4">
        <v>1451.88</v>
      </c>
      <c r="I937" s="4">
        <v>8067.74</v>
      </c>
      <c r="J937" s="7">
        <f>Table1[[#This Row],[Clicks]]/Table1[[#This Row],[Impressions]]</f>
        <v>7.9905382795823002E-2</v>
      </c>
      <c r="K937" s="7">
        <f>IFERROR(Table1[[#This Row],[Conversions]]/Table1[[#This Row],[Clicks]],0)</f>
        <v>6.6425992779783394E-2</v>
      </c>
      <c r="L937" s="6">
        <f>IF(Table1[[#This Row],[Conversions]]=0,0,Table1[[#This Row],[Ad Spend]]/Table1[[#This Row],[Conversions]])</f>
        <v>15.781304347826088</v>
      </c>
      <c r="M937" s="8">
        <f>IF(Table1[[#This Row],[Ad Spend]]=0,0,Table1[[#This Row],[Revenue]]/Table1[[#This Row],[Ad Spend]])</f>
        <v>5.5567540017081294</v>
      </c>
      <c r="N937">
        <f>YEAR(Table1[[#This Row],[Date]])</f>
        <v>2024</v>
      </c>
      <c r="O937" t="str">
        <f>TEXT(Table1[[#This Row],[Date]],"mmm")</f>
        <v>Apr</v>
      </c>
      <c r="P937">
        <f>MONTH(Table1[[#This Row],[Date]])</f>
        <v>4</v>
      </c>
    </row>
    <row r="938" spans="1:16" x14ac:dyDescent="0.25">
      <c r="A938" t="s">
        <v>957</v>
      </c>
      <c r="B938" t="s">
        <v>16</v>
      </c>
      <c r="C938" t="s">
        <v>12</v>
      </c>
      <c r="D938" s="1">
        <v>45308</v>
      </c>
      <c r="E938">
        <v>21689</v>
      </c>
      <c r="F938">
        <v>729</v>
      </c>
      <c r="G938">
        <v>25</v>
      </c>
      <c r="H938" s="4">
        <v>1288.1099999999999</v>
      </c>
      <c r="I938" s="4">
        <v>1904.95</v>
      </c>
      <c r="J938" s="7">
        <f>Table1[[#This Row],[Clicks]]/Table1[[#This Row],[Impressions]]</f>
        <v>3.3611508137765686E-2</v>
      </c>
      <c r="K938" s="7">
        <f>IFERROR(Table1[[#This Row],[Conversions]]/Table1[[#This Row],[Clicks]],0)</f>
        <v>3.4293552812071332E-2</v>
      </c>
      <c r="L938" s="6">
        <f>IF(Table1[[#This Row],[Conversions]]=0,0,Table1[[#This Row],[Ad Spend]]/Table1[[#This Row],[Conversions]])</f>
        <v>51.524399999999993</v>
      </c>
      <c r="M938" s="8">
        <f>IF(Table1[[#This Row],[Ad Spend]]=0,0,Table1[[#This Row],[Revenue]]/Table1[[#This Row],[Ad Spend]])</f>
        <v>1.4788721460123748</v>
      </c>
      <c r="N938">
        <f>YEAR(Table1[[#This Row],[Date]])</f>
        <v>2024</v>
      </c>
      <c r="O938" t="str">
        <f>TEXT(Table1[[#This Row],[Date]],"mmm")</f>
        <v>Jan</v>
      </c>
      <c r="P938">
        <f>MONTH(Table1[[#This Row],[Date]])</f>
        <v>1</v>
      </c>
    </row>
    <row r="939" spans="1:16" x14ac:dyDescent="0.25">
      <c r="A939" t="s">
        <v>958</v>
      </c>
      <c r="B939" t="s">
        <v>41</v>
      </c>
      <c r="C939" t="s">
        <v>19</v>
      </c>
      <c r="D939" s="1">
        <v>45466</v>
      </c>
      <c r="E939">
        <v>98124</v>
      </c>
      <c r="F939">
        <v>6265</v>
      </c>
      <c r="G939">
        <v>752</v>
      </c>
      <c r="H939" s="4">
        <v>2873.71</v>
      </c>
      <c r="I939" s="4">
        <v>82443.09</v>
      </c>
      <c r="J939" s="7">
        <f>Table1[[#This Row],[Clicks]]/Table1[[#This Row],[Impressions]]</f>
        <v>6.3847784436019725E-2</v>
      </c>
      <c r="K939" s="7">
        <f>IFERROR(Table1[[#This Row],[Conversions]]/Table1[[#This Row],[Clicks]],0)</f>
        <v>0.12003192338387869</v>
      </c>
      <c r="L939" s="6">
        <f>IF(Table1[[#This Row],[Conversions]]=0,0,Table1[[#This Row],[Ad Spend]]/Table1[[#This Row],[Conversions]])</f>
        <v>3.8214228723404258</v>
      </c>
      <c r="M939" s="8">
        <f>IF(Table1[[#This Row],[Ad Spend]]=0,0,Table1[[#This Row],[Revenue]]/Table1[[#This Row],[Ad Spend]])</f>
        <v>28.688729899676723</v>
      </c>
      <c r="N939">
        <f>YEAR(Table1[[#This Row],[Date]])</f>
        <v>2024</v>
      </c>
      <c r="O939" t="str">
        <f>TEXT(Table1[[#This Row],[Date]],"mmm")</f>
        <v>Jun</v>
      </c>
      <c r="P939">
        <f>MONTH(Table1[[#This Row],[Date]])</f>
        <v>6</v>
      </c>
    </row>
    <row r="940" spans="1:16" x14ac:dyDescent="0.25">
      <c r="A940" t="s">
        <v>959</v>
      </c>
      <c r="B940" t="s">
        <v>9</v>
      </c>
      <c r="C940" t="s">
        <v>10</v>
      </c>
      <c r="D940" s="1">
        <v>45516</v>
      </c>
      <c r="E940">
        <v>124835</v>
      </c>
      <c r="F940">
        <v>9660</v>
      </c>
      <c r="G940">
        <v>1142</v>
      </c>
      <c r="H940" s="4">
        <v>4878.37</v>
      </c>
      <c r="I940" s="4">
        <v>112104.7</v>
      </c>
      <c r="J940" s="7">
        <f>Table1[[#This Row],[Clicks]]/Table1[[#This Row],[Impressions]]</f>
        <v>7.7382144430648461E-2</v>
      </c>
      <c r="K940" s="7">
        <f>IFERROR(Table1[[#This Row],[Conversions]]/Table1[[#This Row],[Clicks]],0)</f>
        <v>0.11821946169772257</v>
      </c>
      <c r="L940" s="6">
        <f>IF(Table1[[#This Row],[Conversions]]=0,0,Table1[[#This Row],[Ad Spend]]/Table1[[#This Row],[Conversions]])</f>
        <v>4.2717775831873901</v>
      </c>
      <c r="M940" s="8">
        <f>IF(Table1[[#This Row],[Ad Spend]]=0,0,Table1[[#This Row],[Revenue]]/Table1[[#This Row],[Ad Spend]])</f>
        <v>22.979950270274703</v>
      </c>
      <c r="N940">
        <f>YEAR(Table1[[#This Row],[Date]])</f>
        <v>2024</v>
      </c>
      <c r="O940" t="str">
        <f>TEXT(Table1[[#This Row],[Date]],"mmm")</f>
        <v>Aug</v>
      </c>
      <c r="P940">
        <f>MONTH(Table1[[#This Row],[Date]])</f>
        <v>8</v>
      </c>
    </row>
    <row r="941" spans="1:16" x14ac:dyDescent="0.25">
      <c r="A941" t="s">
        <v>960</v>
      </c>
      <c r="B941" t="s">
        <v>9</v>
      </c>
      <c r="C941" t="s">
        <v>12</v>
      </c>
      <c r="D941" s="1">
        <v>45313</v>
      </c>
      <c r="E941">
        <v>137987</v>
      </c>
      <c r="F941">
        <v>2398</v>
      </c>
      <c r="G941">
        <v>244</v>
      </c>
      <c r="H941" s="4">
        <v>4380.17</v>
      </c>
      <c r="I941" s="4">
        <v>27108.05</v>
      </c>
      <c r="J941" s="7">
        <f>Table1[[#This Row],[Clicks]]/Table1[[#This Row],[Impressions]]</f>
        <v>1.7378448694442231E-2</v>
      </c>
      <c r="K941" s="7">
        <f>IFERROR(Table1[[#This Row],[Conversions]]/Table1[[#This Row],[Clicks]],0)</f>
        <v>0.10175145954962468</v>
      </c>
      <c r="L941" s="6">
        <f>IF(Table1[[#This Row],[Conversions]]=0,0,Table1[[#This Row],[Ad Spend]]/Table1[[#This Row],[Conversions]])</f>
        <v>17.951516393442624</v>
      </c>
      <c r="M941" s="8">
        <f>IF(Table1[[#This Row],[Ad Spend]]=0,0,Table1[[#This Row],[Revenue]]/Table1[[#This Row],[Ad Spend]])</f>
        <v>6.1888123063716707</v>
      </c>
      <c r="N941">
        <f>YEAR(Table1[[#This Row],[Date]])</f>
        <v>2024</v>
      </c>
      <c r="O941" t="str">
        <f>TEXT(Table1[[#This Row],[Date]],"mmm")</f>
        <v>Jan</v>
      </c>
      <c r="P941">
        <f>MONTH(Table1[[#This Row],[Date]])</f>
        <v>1</v>
      </c>
    </row>
    <row r="942" spans="1:16" x14ac:dyDescent="0.25">
      <c r="A942" t="s">
        <v>961</v>
      </c>
      <c r="B942" t="s">
        <v>16</v>
      </c>
      <c r="C942" t="s">
        <v>19</v>
      </c>
      <c r="D942" s="1">
        <v>45654</v>
      </c>
      <c r="E942">
        <v>120741</v>
      </c>
      <c r="F942">
        <v>7647</v>
      </c>
      <c r="G942">
        <v>648</v>
      </c>
      <c r="H942" s="4">
        <v>4378.37</v>
      </c>
      <c r="I942" s="4">
        <v>22958.36</v>
      </c>
      <c r="J942" s="7">
        <f>Table1[[#This Row],[Clicks]]/Table1[[#This Row],[Impressions]]</f>
        <v>6.3333913086689689E-2</v>
      </c>
      <c r="K942" s="7">
        <f>IFERROR(Table1[[#This Row],[Conversions]]/Table1[[#This Row],[Clicks]],0)</f>
        <v>8.4739113377795217E-2</v>
      </c>
      <c r="L942" s="6">
        <f>IF(Table1[[#This Row],[Conversions]]=0,0,Table1[[#This Row],[Ad Spend]]/Table1[[#This Row],[Conversions]])</f>
        <v>6.756743827160494</v>
      </c>
      <c r="M942" s="8">
        <f>IF(Table1[[#This Row],[Ad Spend]]=0,0,Table1[[#This Row],[Revenue]]/Table1[[#This Row],[Ad Spend]])</f>
        <v>5.2435860834054688</v>
      </c>
      <c r="N942">
        <f>YEAR(Table1[[#This Row],[Date]])</f>
        <v>2024</v>
      </c>
      <c r="O942" t="str">
        <f>TEXT(Table1[[#This Row],[Date]],"mmm")</f>
        <v>Dec</v>
      </c>
      <c r="P942">
        <f>MONTH(Table1[[#This Row],[Date]])</f>
        <v>12</v>
      </c>
    </row>
    <row r="943" spans="1:16" x14ac:dyDescent="0.25">
      <c r="A943" t="s">
        <v>962</v>
      </c>
      <c r="B943" t="s">
        <v>47</v>
      </c>
      <c r="C943" t="s">
        <v>19</v>
      </c>
      <c r="D943" s="1">
        <v>45711</v>
      </c>
      <c r="E943">
        <v>41116</v>
      </c>
      <c r="F943">
        <v>765</v>
      </c>
      <c r="G943">
        <v>35</v>
      </c>
      <c r="H943" s="4">
        <v>4854.26</v>
      </c>
      <c r="I943" s="4">
        <v>3392.27</v>
      </c>
      <c r="J943" s="7">
        <f>Table1[[#This Row],[Clicks]]/Table1[[#This Row],[Impressions]]</f>
        <v>1.8605895515127931E-2</v>
      </c>
      <c r="K943" s="7">
        <f>IFERROR(Table1[[#This Row],[Conversions]]/Table1[[#This Row],[Clicks]],0)</f>
        <v>4.5751633986928102E-2</v>
      </c>
      <c r="L943" s="6">
        <f>IF(Table1[[#This Row],[Conversions]]=0,0,Table1[[#This Row],[Ad Spend]]/Table1[[#This Row],[Conversions]])</f>
        <v>138.69314285714287</v>
      </c>
      <c r="M943" s="8">
        <f>IF(Table1[[#This Row],[Ad Spend]]=0,0,Table1[[#This Row],[Revenue]]/Table1[[#This Row],[Ad Spend]])</f>
        <v>0.6988233015948877</v>
      </c>
      <c r="N943">
        <f>YEAR(Table1[[#This Row],[Date]])</f>
        <v>2025</v>
      </c>
      <c r="O943" t="str">
        <f>TEXT(Table1[[#This Row],[Date]],"mmm")</f>
        <v>Feb</v>
      </c>
      <c r="P943">
        <f>MONTH(Table1[[#This Row],[Date]])</f>
        <v>2</v>
      </c>
    </row>
    <row r="944" spans="1:16" x14ac:dyDescent="0.25">
      <c r="A944" t="s">
        <v>963</v>
      </c>
      <c r="B944" t="s">
        <v>31</v>
      </c>
      <c r="C944" t="s">
        <v>37</v>
      </c>
      <c r="D944" s="1">
        <v>45706</v>
      </c>
      <c r="E944">
        <v>129168</v>
      </c>
      <c r="F944">
        <v>4377</v>
      </c>
      <c r="G944">
        <v>374</v>
      </c>
      <c r="H944" s="4">
        <v>609.12</v>
      </c>
      <c r="I944" s="4">
        <v>21409.119999999999</v>
      </c>
      <c r="J944" s="7">
        <f>Table1[[#This Row],[Clicks]]/Table1[[#This Row],[Impressions]]</f>
        <v>3.3886101820884432E-2</v>
      </c>
      <c r="K944" s="7">
        <f>IFERROR(Table1[[#This Row],[Conversions]]/Table1[[#This Row],[Clicks]],0)</f>
        <v>8.5446652958647479E-2</v>
      </c>
      <c r="L944" s="6">
        <f>IF(Table1[[#This Row],[Conversions]]=0,0,Table1[[#This Row],[Ad Spend]]/Table1[[#This Row],[Conversions]])</f>
        <v>1.6286631016042781</v>
      </c>
      <c r="M944" s="8">
        <f>IF(Table1[[#This Row],[Ad Spend]]=0,0,Table1[[#This Row],[Revenue]]/Table1[[#This Row],[Ad Spend]])</f>
        <v>35.147622800105069</v>
      </c>
      <c r="N944">
        <f>YEAR(Table1[[#This Row],[Date]])</f>
        <v>2025</v>
      </c>
      <c r="O944" t="str">
        <f>TEXT(Table1[[#This Row],[Date]],"mmm")</f>
        <v>Feb</v>
      </c>
      <c r="P944">
        <f>MONTH(Table1[[#This Row],[Date]])</f>
        <v>2</v>
      </c>
    </row>
    <row r="945" spans="1:16" x14ac:dyDescent="0.25">
      <c r="A945" t="s">
        <v>964</v>
      </c>
      <c r="B945" t="s">
        <v>21</v>
      </c>
      <c r="C945" t="s">
        <v>19</v>
      </c>
      <c r="D945" s="1">
        <v>45614</v>
      </c>
      <c r="E945">
        <v>69343</v>
      </c>
      <c r="F945">
        <v>1429</v>
      </c>
      <c r="G945">
        <v>168</v>
      </c>
      <c r="H945" s="4">
        <v>2224.27</v>
      </c>
      <c r="I945" s="4">
        <v>7193.46</v>
      </c>
      <c r="J945" s="7">
        <f>Table1[[#This Row],[Clicks]]/Table1[[#This Row],[Impressions]]</f>
        <v>2.0607703733614063E-2</v>
      </c>
      <c r="K945" s="7">
        <f>IFERROR(Table1[[#This Row],[Conversions]]/Table1[[#This Row],[Clicks]],0)</f>
        <v>0.11756473058082575</v>
      </c>
      <c r="L945" s="6">
        <f>IF(Table1[[#This Row],[Conversions]]=0,0,Table1[[#This Row],[Ad Spend]]/Table1[[#This Row],[Conversions]])</f>
        <v>13.23970238095238</v>
      </c>
      <c r="M945" s="8">
        <f>IF(Table1[[#This Row],[Ad Spend]]=0,0,Table1[[#This Row],[Revenue]]/Table1[[#This Row],[Ad Spend]])</f>
        <v>3.2340767982304306</v>
      </c>
      <c r="N945">
        <f>YEAR(Table1[[#This Row],[Date]])</f>
        <v>2024</v>
      </c>
      <c r="O945" t="str">
        <f>TEXT(Table1[[#This Row],[Date]],"mmm")</f>
        <v>Nov</v>
      </c>
      <c r="P945">
        <f>MONTH(Table1[[#This Row],[Date]])</f>
        <v>11</v>
      </c>
    </row>
    <row r="946" spans="1:16" x14ac:dyDescent="0.25">
      <c r="A946" t="s">
        <v>965</v>
      </c>
      <c r="B946" t="s">
        <v>21</v>
      </c>
      <c r="C946" t="s">
        <v>17</v>
      </c>
      <c r="D946" s="1">
        <v>45501</v>
      </c>
      <c r="E946">
        <v>125259</v>
      </c>
      <c r="F946">
        <v>9598</v>
      </c>
      <c r="G946">
        <v>835</v>
      </c>
      <c r="H946" s="4">
        <v>3474.55</v>
      </c>
      <c r="I946" s="4">
        <v>95502.31</v>
      </c>
      <c r="J946" s="7">
        <f>Table1[[#This Row],[Clicks]]/Table1[[#This Row],[Impressions]]</f>
        <v>7.6625232518222244E-2</v>
      </c>
      <c r="K946" s="7">
        <f>IFERROR(Table1[[#This Row],[Conversions]]/Table1[[#This Row],[Clicks]],0)</f>
        <v>8.6997291102312982E-2</v>
      </c>
      <c r="L946" s="6">
        <f>IF(Table1[[#This Row],[Conversions]]=0,0,Table1[[#This Row],[Ad Spend]]/Table1[[#This Row],[Conversions]])</f>
        <v>4.1611377245508985</v>
      </c>
      <c r="M946" s="8">
        <f>IF(Table1[[#This Row],[Ad Spend]]=0,0,Table1[[#This Row],[Revenue]]/Table1[[#This Row],[Ad Spend]])</f>
        <v>27.486238505705774</v>
      </c>
      <c r="N946">
        <f>YEAR(Table1[[#This Row],[Date]])</f>
        <v>2024</v>
      </c>
      <c r="O946" t="str">
        <f>TEXT(Table1[[#This Row],[Date]],"mmm")</f>
        <v>Jul</v>
      </c>
      <c r="P946">
        <f>MONTH(Table1[[#This Row],[Date]])</f>
        <v>7</v>
      </c>
    </row>
    <row r="947" spans="1:16" x14ac:dyDescent="0.25">
      <c r="A947" t="s">
        <v>966</v>
      </c>
      <c r="B947" t="s">
        <v>41</v>
      </c>
      <c r="C947" t="s">
        <v>37</v>
      </c>
      <c r="D947" s="1">
        <v>45686</v>
      </c>
      <c r="E947">
        <v>7607</v>
      </c>
      <c r="F947">
        <v>458</v>
      </c>
      <c r="G947">
        <v>39</v>
      </c>
      <c r="H947" s="4">
        <v>533.99</v>
      </c>
      <c r="I947" s="4">
        <v>2099.38</v>
      </c>
      <c r="J947" s="7">
        <f>Table1[[#This Row],[Clicks]]/Table1[[#This Row],[Impressions]]</f>
        <v>6.0207703431050349E-2</v>
      </c>
      <c r="K947" s="7">
        <f>IFERROR(Table1[[#This Row],[Conversions]]/Table1[[#This Row],[Clicks]],0)</f>
        <v>8.5152838427947602E-2</v>
      </c>
      <c r="L947" s="6">
        <f>IF(Table1[[#This Row],[Conversions]]=0,0,Table1[[#This Row],[Ad Spend]]/Table1[[#This Row],[Conversions]])</f>
        <v>13.692051282051283</v>
      </c>
      <c r="M947" s="8">
        <f>IF(Table1[[#This Row],[Ad Spend]]=0,0,Table1[[#This Row],[Revenue]]/Table1[[#This Row],[Ad Spend]])</f>
        <v>3.931496844510197</v>
      </c>
      <c r="N947">
        <f>YEAR(Table1[[#This Row],[Date]])</f>
        <v>2025</v>
      </c>
      <c r="O947" t="str">
        <f>TEXT(Table1[[#This Row],[Date]],"mmm")</f>
        <v>Jan</v>
      </c>
      <c r="P947">
        <f>MONTH(Table1[[#This Row],[Date]])</f>
        <v>1</v>
      </c>
    </row>
    <row r="948" spans="1:16" x14ac:dyDescent="0.25">
      <c r="A948" t="s">
        <v>967</v>
      </c>
      <c r="B948" t="s">
        <v>21</v>
      </c>
      <c r="C948" t="s">
        <v>37</v>
      </c>
      <c r="D948" s="1">
        <v>45514</v>
      </c>
      <c r="E948">
        <v>21113</v>
      </c>
      <c r="F948">
        <v>792</v>
      </c>
      <c r="G948">
        <v>19</v>
      </c>
      <c r="H948" s="4">
        <v>4628.09</v>
      </c>
      <c r="I948" s="4">
        <v>666.81</v>
      </c>
      <c r="J948" s="7">
        <f>Table1[[#This Row],[Clicks]]/Table1[[#This Row],[Impressions]]</f>
        <v>3.751243309809122E-2</v>
      </c>
      <c r="K948" s="7">
        <f>IFERROR(Table1[[#This Row],[Conversions]]/Table1[[#This Row],[Clicks]],0)</f>
        <v>2.3989898989898988E-2</v>
      </c>
      <c r="L948" s="6">
        <f>IF(Table1[[#This Row],[Conversions]]=0,0,Table1[[#This Row],[Ad Spend]]/Table1[[#This Row],[Conversions]])</f>
        <v>243.58368421052631</v>
      </c>
      <c r="M948" s="8">
        <f>IF(Table1[[#This Row],[Ad Spend]]=0,0,Table1[[#This Row],[Revenue]]/Table1[[#This Row],[Ad Spend]])</f>
        <v>0.14407887487062696</v>
      </c>
      <c r="N948">
        <f>YEAR(Table1[[#This Row],[Date]])</f>
        <v>2024</v>
      </c>
      <c r="O948" t="str">
        <f>TEXT(Table1[[#This Row],[Date]],"mmm")</f>
        <v>Aug</v>
      </c>
      <c r="P948">
        <f>MONTH(Table1[[#This Row],[Date]])</f>
        <v>8</v>
      </c>
    </row>
    <row r="949" spans="1:16" x14ac:dyDescent="0.25">
      <c r="A949" t="s">
        <v>968</v>
      </c>
      <c r="B949" t="s">
        <v>31</v>
      </c>
      <c r="C949" t="s">
        <v>12</v>
      </c>
      <c r="D949" s="1">
        <v>45443</v>
      </c>
      <c r="E949">
        <v>114918</v>
      </c>
      <c r="F949">
        <v>4382</v>
      </c>
      <c r="G949">
        <v>475</v>
      </c>
      <c r="H949" s="4">
        <v>2857.33</v>
      </c>
      <c r="I949" s="4">
        <v>23955.34</v>
      </c>
      <c r="J949" s="7">
        <f>Table1[[#This Row],[Clicks]]/Table1[[#This Row],[Impressions]]</f>
        <v>3.8131537270053431E-2</v>
      </c>
      <c r="K949" s="7">
        <f>IFERROR(Table1[[#This Row],[Conversions]]/Table1[[#This Row],[Clicks]],0)</f>
        <v>0.10839799178457325</v>
      </c>
      <c r="L949" s="6">
        <f>IF(Table1[[#This Row],[Conversions]]=0,0,Table1[[#This Row],[Ad Spend]]/Table1[[#This Row],[Conversions]])</f>
        <v>6.0154315789473687</v>
      </c>
      <c r="M949" s="8">
        <f>IF(Table1[[#This Row],[Ad Spend]]=0,0,Table1[[#This Row],[Revenue]]/Table1[[#This Row],[Ad Spend]])</f>
        <v>8.3838198597991838</v>
      </c>
      <c r="N949">
        <f>YEAR(Table1[[#This Row],[Date]])</f>
        <v>2024</v>
      </c>
      <c r="O949" t="str">
        <f>TEXT(Table1[[#This Row],[Date]],"mmm")</f>
        <v>May</v>
      </c>
      <c r="P949">
        <f>MONTH(Table1[[#This Row],[Date]])</f>
        <v>5</v>
      </c>
    </row>
    <row r="950" spans="1:16" x14ac:dyDescent="0.25">
      <c r="A950" t="s">
        <v>969</v>
      </c>
      <c r="B950" t="s">
        <v>47</v>
      </c>
      <c r="C950" t="s">
        <v>19</v>
      </c>
      <c r="D950" s="1">
        <v>45296</v>
      </c>
      <c r="E950">
        <v>78342</v>
      </c>
      <c r="F950">
        <v>5720</v>
      </c>
      <c r="G950">
        <v>568</v>
      </c>
      <c r="H950" s="4">
        <v>904.94</v>
      </c>
      <c r="I950" s="4">
        <v>34303.68</v>
      </c>
      <c r="J950" s="7">
        <f>Table1[[#This Row],[Clicks]]/Table1[[#This Row],[Impressions]]</f>
        <v>7.3013198539736035E-2</v>
      </c>
      <c r="K950" s="7">
        <f>IFERROR(Table1[[#This Row],[Conversions]]/Table1[[#This Row],[Clicks]],0)</f>
        <v>9.9300699300699305E-2</v>
      </c>
      <c r="L950" s="6">
        <f>IF(Table1[[#This Row],[Conversions]]=0,0,Table1[[#This Row],[Ad Spend]]/Table1[[#This Row],[Conversions]])</f>
        <v>1.5932042253521128</v>
      </c>
      <c r="M950" s="8">
        <f>IF(Table1[[#This Row],[Ad Spend]]=0,0,Table1[[#This Row],[Revenue]]/Table1[[#This Row],[Ad Spend]])</f>
        <v>37.907131964550132</v>
      </c>
      <c r="N950">
        <f>YEAR(Table1[[#This Row],[Date]])</f>
        <v>2024</v>
      </c>
      <c r="O950" t="str">
        <f>TEXT(Table1[[#This Row],[Date]],"mmm")</f>
        <v>Jan</v>
      </c>
      <c r="P950">
        <f>MONTH(Table1[[#This Row],[Date]])</f>
        <v>1</v>
      </c>
    </row>
    <row r="951" spans="1:16" x14ac:dyDescent="0.25">
      <c r="A951" t="s">
        <v>970</v>
      </c>
      <c r="B951" t="s">
        <v>14</v>
      </c>
      <c r="C951" t="s">
        <v>12</v>
      </c>
      <c r="D951" s="1">
        <v>45611</v>
      </c>
      <c r="E951">
        <v>120905</v>
      </c>
      <c r="F951">
        <v>7111</v>
      </c>
      <c r="G951">
        <v>962</v>
      </c>
      <c r="H951" s="4">
        <v>3951.5</v>
      </c>
      <c r="I951" s="4">
        <v>58153.45</v>
      </c>
      <c r="J951" s="7">
        <f>Table1[[#This Row],[Clicks]]/Table1[[#This Row],[Impressions]]</f>
        <v>5.8814771928373519E-2</v>
      </c>
      <c r="K951" s="7">
        <f>IFERROR(Table1[[#This Row],[Conversions]]/Table1[[#This Row],[Clicks]],0)</f>
        <v>0.13528336380255943</v>
      </c>
      <c r="L951" s="6">
        <f>IF(Table1[[#This Row],[Conversions]]=0,0,Table1[[#This Row],[Ad Spend]]/Table1[[#This Row],[Conversions]])</f>
        <v>4.1075883575883578</v>
      </c>
      <c r="M951" s="8">
        <f>IF(Table1[[#This Row],[Ad Spend]]=0,0,Table1[[#This Row],[Revenue]]/Table1[[#This Row],[Ad Spend]])</f>
        <v>14.716803745413133</v>
      </c>
      <c r="N951">
        <f>YEAR(Table1[[#This Row],[Date]])</f>
        <v>2024</v>
      </c>
      <c r="O951" t="str">
        <f>TEXT(Table1[[#This Row],[Date]],"mmm")</f>
        <v>Nov</v>
      </c>
      <c r="P951">
        <f>MONTH(Table1[[#This Row],[Date]])</f>
        <v>11</v>
      </c>
    </row>
    <row r="952" spans="1:16" x14ac:dyDescent="0.25">
      <c r="A952" t="s">
        <v>971</v>
      </c>
      <c r="B952" t="s">
        <v>14</v>
      </c>
      <c r="C952" t="s">
        <v>19</v>
      </c>
      <c r="D952" s="1">
        <v>45335</v>
      </c>
      <c r="E952">
        <v>14691</v>
      </c>
      <c r="F952">
        <v>699</v>
      </c>
      <c r="G952">
        <v>49</v>
      </c>
      <c r="H952" s="4">
        <v>3650.63</v>
      </c>
      <c r="I952" s="4">
        <v>5291.39</v>
      </c>
      <c r="J952" s="7">
        <f>Table1[[#This Row],[Clicks]]/Table1[[#This Row],[Impressions]]</f>
        <v>4.7580151112926281E-2</v>
      </c>
      <c r="K952" s="7">
        <f>IFERROR(Table1[[#This Row],[Conversions]]/Table1[[#This Row],[Clicks]],0)</f>
        <v>7.0100143061516448E-2</v>
      </c>
      <c r="L952" s="6">
        <f>IF(Table1[[#This Row],[Conversions]]=0,0,Table1[[#This Row],[Ad Spend]]/Table1[[#This Row],[Conversions]])</f>
        <v>74.502653061224493</v>
      </c>
      <c r="M952" s="8">
        <f>IF(Table1[[#This Row],[Ad Spend]]=0,0,Table1[[#This Row],[Revenue]]/Table1[[#This Row],[Ad Spend]])</f>
        <v>1.4494457121099646</v>
      </c>
      <c r="N952">
        <f>YEAR(Table1[[#This Row],[Date]])</f>
        <v>2024</v>
      </c>
      <c r="O952" t="str">
        <f>TEXT(Table1[[#This Row],[Date]],"mmm")</f>
        <v>Feb</v>
      </c>
      <c r="P952">
        <f>MONTH(Table1[[#This Row],[Date]])</f>
        <v>2</v>
      </c>
    </row>
    <row r="953" spans="1:16" x14ac:dyDescent="0.25">
      <c r="A953" t="s">
        <v>972</v>
      </c>
      <c r="B953" t="s">
        <v>34</v>
      </c>
      <c r="C953" t="s">
        <v>37</v>
      </c>
      <c r="D953" s="1">
        <v>45339</v>
      </c>
      <c r="E953">
        <v>139131</v>
      </c>
      <c r="F953">
        <v>6765</v>
      </c>
      <c r="G953">
        <v>593</v>
      </c>
      <c r="H953" s="4">
        <v>3833.82</v>
      </c>
      <c r="I953" s="4">
        <v>21349.62</v>
      </c>
      <c r="J953" s="7">
        <f>Table1[[#This Row],[Clicks]]/Table1[[#This Row],[Impressions]]</f>
        <v>4.862323996808763E-2</v>
      </c>
      <c r="K953" s="7">
        <f>IFERROR(Table1[[#This Row],[Conversions]]/Table1[[#This Row],[Clicks]],0)</f>
        <v>8.765705838876571E-2</v>
      </c>
      <c r="L953" s="6">
        <f>IF(Table1[[#This Row],[Conversions]]=0,0,Table1[[#This Row],[Ad Spend]]/Table1[[#This Row],[Conversions]])</f>
        <v>6.4651264755480611</v>
      </c>
      <c r="M953" s="8">
        <f>IF(Table1[[#This Row],[Ad Spend]]=0,0,Table1[[#This Row],[Revenue]]/Table1[[#This Row],[Ad Spend]])</f>
        <v>5.5687590966712044</v>
      </c>
      <c r="N953">
        <f>YEAR(Table1[[#This Row],[Date]])</f>
        <v>2024</v>
      </c>
      <c r="O953" t="str">
        <f>TEXT(Table1[[#This Row],[Date]],"mmm")</f>
        <v>Feb</v>
      </c>
      <c r="P953">
        <f>MONTH(Table1[[#This Row],[Date]])</f>
        <v>2</v>
      </c>
    </row>
    <row r="954" spans="1:16" x14ac:dyDescent="0.25">
      <c r="A954" t="s">
        <v>973</v>
      </c>
      <c r="B954" t="s">
        <v>31</v>
      </c>
      <c r="C954" t="s">
        <v>12</v>
      </c>
      <c r="D954" s="1">
        <v>45595</v>
      </c>
      <c r="E954">
        <v>72814</v>
      </c>
      <c r="F954">
        <v>1958</v>
      </c>
      <c r="G954">
        <v>236</v>
      </c>
      <c r="H954" s="4">
        <v>3687.24</v>
      </c>
      <c r="I954" s="4">
        <v>28012.13</v>
      </c>
      <c r="J954" s="7">
        <f>Table1[[#This Row],[Clicks]]/Table1[[#This Row],[Impressions]]</f>
        <v>2.689043315845854E-2</v>
      </c>
      <c r="K954" s="7">
        <f>IFERROR(Table1[[#This Row],[Conversions]]/Table1[[#This Row],[Clicks]],0)</f>
        <v>0.1205311542390194</v>
      </c>
      <c r="L954" s="6">
        <f>IF(Table1[[#This Row],[Conversions]]=0,0,Table1[[#This Row],[Ad Spend]]/Table1[[#This Row],[Conversions]])</f>
        <v>15.623898305084746</v>
      </c>
      <c r="M954" s="8">
        <f>IF(Table1[[#This Row],[Ad Spend]]=0,0,Table1[[#This Row],[Revenue]]/Table1[[#This Row],[Ad Spend]])</f>
        <v>7.5970454865970218</v>
      </c>
      <c r="N954">
        <f>YEAR(Table1[[#This Row],[Date]])</f>
        <v>2024</v>
      </c>
      <c r="O954" t="str">
        <f>TEXT(Table1[[#This Row],[Date]],"mmm")</f>
        <v>Oct</v>
      </c>
      <c r="P954">
        <f>MONTH(Table1[[#This Row],[Date]])</f>
        <v>10</v>
      </c>
    </row>
    <row r="955" spans="1:16" x14ac:dyDescent="0.25">
      <c r="A955" t="s">
        <v>974</v>
      </c>
      <c r="B955" t="s">
        <v>9</v>
      </c>
      <c r="C955" t="s">
        <v>10</v>
      </c>
      <c r="D955" s="1">
        <v>45482</v>
      </c>
      <c r="E955">
        <v>73093</v>
      </c>
      <c r="F955">
        <v>3938</v>
      </c>
      <c r="G955">
        <v>260</v>
      </c>
      <c r="H955" s="4">
        <v>429.12</v>
      </c>
      <c r="I955" s="4">
        <v>22125.02</v>
      </c>
      <c r="J955" s="7">
        <f>Table1[[#This Row],[Clicks]]/Table1[[#This Row],[Impressions]]</f>
        <v>5.3876568207625902E-2</v>
      </c>
      <c r="K955" s="7">
        <f>IFERROR(Table1[[#This Row],[Conversions]]/Table1[[#This Row],[Clicks]],0)</f>
        <v>6.6023362112747591E-2</v>
      </c>
      <c r="L955" s="6">
        <f>IF(Table1[[#This Row],[Conversions]]=0,0,Table1[[#This Row],[Ad Spend]]/Table1[[#This Row],[Conversions]])</f>
        <v>1.6504615384615384</v>
      </c>
      <c r="M955" s="8">
        <f>IF(Table1[[#This Row],[Ad Spend]]=0,0,Table1[[#This Row],[Revenue]]/Table1[[#This Row],[Ad Spend]])</f>
        <v>51.559051081282625</v>
      </c>
      <c r="N955">
        <f>YEAR(Table1[[#This Row],[Date]])</f>
        <v>2024</v>
      </c>
      <c r="O955" t="str">
        <f>TEXT(Table1[[#This Row],[Date]],"mmm")</f>
        <v>Jul</v>
      </c>
      <c r="P955">
        <f>MONTH(Table1[[#This Row],[Date]])</f>
        <v>7</v>
      </c>
    </row>
    <row r="956" spans="1:16" x14ac:dyDescent="0.25">
      <c r="A956" t="s">
        <v>975</v>
      </c>
      <c r="B956" t="s">
        <v>9</v>
      </c>
      <c r="C956" t="s">
        <v>17</v>
      </c>
      <c r="D956" s="1">
        <v>45444</v>
      </c>
      <c r="E956">
        <v>6366</v>
      </c>
      <c r="F956">
        <v>265</v>
      </c>
      <c r="G956">
        <v>39</v>
      </c>
      <c r="H956" s="4">
        <v>4065.86</v>
      </c>
      <c r="I956" s="4">
        <v>4637.1000000000004</v>
      </c>
      <c r="J956" s="7">
        <f>Table1[[#This Row],[Clicks]]/Table1[[#This Row],[Impressions]]</f>
        <v>4.1627395538799877E-2</v>
      </c>
      <c r="K956" s="7">
        <f>IFERROR(Table1[[#This Row],[Conversions]]/Table1[[#This Row],[Clicks]],0)</f>
        <v>0.14716981132075471</v>
      </c>
      <c r="L956" s="6">
        <f>IF(Table1[[#This Row],[Conversions]]=0,0,Table1[[#This Row],[Ad Spend]]/Table1[[#This Row],[Conversions]])</f>
        <v>104.25282051282052</v>
      </c>
      <c r="M956" s="8">
        <f>IF(Table1[[#This Row],[Ad Spend]]=0,0,Table1[[#This Row],[Revenue]]/Table1[[#This Row],[Ad Spend]])</f>
        <v>1.1404967214808184</v>
      </c>
      <c r="N956">
        <f>YEAR(Table1[[#This Row],[Date]])</f>
        <v>2024</v>
      </c>
      <c r="O956" t="str">
        <f>TEXT(Table1[[#This Row],[Date]],"mmm")</f>
        <v>Jun</v>
      </c>
      <c r="P956">
        <f>MONTH(Table1[[#This Row],[Date]])</f>
        <v>6</v>
      </c>
    </row>
    <row r="957" spans="1:16" x14ac:dyDescent="0.25">
      <c r="A957" t="s">
        <v>976</v>
      </c>
      <c r="B957" t="s">
        <v>14</v>
      </c>
      <c r="C957" t="s">
        <v>19</v>
      </c>
      <c r="D957" s="1">
        <v>45445</v>
      </c>
      <c r="E957">
        <v>79589</v>
      </c>
      <c r="F957">
        <v>4511</v>
      </c>
      <c r="G957">
        <v>568</v>
      </c>
      <c r="H957" s="4">
        <v>2949.28</v>
      </c>
      <c r="I957" s="4">
        <v>19310.38</v>
      </c>
      <c r="J957" s="7">
        <f>Table1[[#This Row],[Clicks]]/Table1[[#This Row],[Impressions]]</f>
        <v>5.6678686753194533E-2</v>
      </c>
      <c r="K957" s="7">
        <f>IFERROR(Table1[[#This Row],[Conversions]]/Table1[[#This Row],[Clicks]],0)</f>
        <v>0.12591443138993572</v>
      </c>
      <c r="L957" s="6">
        <f>IF(Table1[[#This Row],[Conversions]]=0,0,Table1[[#This Row],[Ad Spend]]/Table1[[#This Row],[Conversions]])</f>
        <v>5.1923943661971839</v>
      </c>
      <c r="M957" s="8">
        <f>IF(Table1[[#This Row],[Ad Spend]]=0,0,Table1[[#This Row],[Revenue]]/Table1[[#This Row],[Ad Spend]])</f>
        <v>6.5474895567731783</v>
      </c>
      <c r="N957">
        <f>YEAR(Table1[[#This Row],[Date]])</f>
        <v>2024</v>
      </c>
      <c r="O957" t="str">
        <f>TEXT(Table1[[#This Row],[Date]],"mmm")</f>
        <v>Jun</v>
      </c>
      <c r="P957">
        <f>MONTH(Table1[[#This Row],[Date]])</f>
        <v>6</v>
      </c>
    </row>
    <row r="958" spans="1:16" x14ac:dyDescent="0.25">
      <c r="A958" t="s">
        <v>977</v>
      </c>
      <c r="B958" t="s">
        <v>21</v>
      </c>
      <c r="C958" t="s">
        <v>12</v>
      </c>
      <c r="D958" s="1">
        <v>45669</v>
      </c>
      <c r="E958">
        <v>69915</v>
      </c>
      <c r="F958">
        <v>1214</v>
      </c>
      <c r="G958">
        <v>105</v>
      </c>
      <c r="H958" s="4">
        <v>1124.27</v>
      </c>
      <c r="I958" s="4">
        <v>10274.77</v>
      </c>
      <c r="J958" s="7">
        <f>Table1[[#This Row],[Clicks]]/Table1[[#This Row],[Impressions]]</f>
        <v>1.7363941929485805E-2</v>
      </c>
      <c r="K958" s="7">
        <f>IFERROR(Table1[[#This Row],[Conversions]]/Table1[[#This Row],[Clicks]],0)</f>
        <v>8.6490939044481061E-2</v>
      </c>
      <c r="L958" s="6">
        <f>IF(Table1[[#This Row],[Conversions]]=0,0,Table1[[#This Row],[Ad Spend]]/Table1[[#This Row],[Conversions]])</f>
        <v>10.707333333333333</v>
      </c>
      <c r="M958" s="8">
        <f>IF(Table1[[#This Row],[Ad Spend]]=0,0,Table1[[#This Row],[Revenue]]/Table1[[#This Row],[Ad Spend]])</f>
        <v>9.1390591228085789</v>
      </c>
      <c r="N958">
        <f>YEAR(Table1[[#This Row],[Date]])</f>
        <v>2025</v>
      </c>
      <c r="O958" t="str">
        <f>TEXT(Table1[[#This Row],[Date]],"mmm")</f>
        <v>Jan</v>
      </c>
      <c r="P958">
        <f>MONTH(Table1[[#This Row],[Date]])</f>
        <v>1</v>
      </c>
    </row>
    <row r="959" spans="1:16" x14ac:dyDescent="0.25">
      <c r="A959" t="s">
        <v>978</v>
      </c>
      <c r="B959" t="s">
        <v>41</v>
      </c>
      <c r="C959" t="s">
        <v>10</v>
      </c>
      <c r="D959" s="1">
        <v>45367</v>
      </c>
      <c r="E959">
        <v>116592</v>
      </c>
      <c r="F959">
        <v>7927</v>
      </c>
      <c r="G959">
        <v>242</v>
      </c>
      <c r="H959" s="4">
        <v>498.53</v>
      </c>
      <c r="I959" s="4">
        <v>26341.919999999998</v>
      </c>
      <c r="J959" s="7">
        <f>Table1[[#This Row],[Clicks]]/Table1[[#This Row],[Impressions]]</f>
        <v>6.7989227391244689E-2</v>
      </c>
      <c r="K959" s="7">
        <f>IFERROR(Table1[[#This Row],[Conversions]]/Table1[[#This Row],[Clicks]],0)</f>
        <v>3.0528573230730414E-2</v>
      </c>
      <c r="L959" s="6">
        <f>IF(Table1[[#This Row],[Conversions]]=0,0,Table1[[#This Row],[Ad Spend]]/Table1[[#This Row],[Conversions]])</f>
        <v>2.0600413223140497</v>
      </c>
      <c r="M959" s="8">
        <f>IF(Table1[[#This Row],[Ad Spend]]=0,0,Table1[[#This Row],[Revenue]]/Table1[[#This Row],[Ad Spend]])</f>
        <v>52.83918721039857</v>
      </c>
      <c r="N959">
        <f>YEAR(Table1[[#This Row],[Date]])</f>
        <v>2024</v>
      </c>
      <c r="O959" t="str">
        <f>TEXT(Table1[[#This Row],[Date]],"mmm")</f>
        <v>Mar</v>
      </c>
      <c r="P959">
        <f>MONTH(Table1[[#This Row],[Date]])</f>
        <v>3</v>
      </c>
    </row>
    <row r="960" spans="1:16" x14ac:dyDescent="0.25">
      <c r="A960" t="s">
        <v>979</v>
      </c>
      <c r="B960" t="s">
        <v>41</v>
      </c>
      <c r="C960" t="s">
        <v>37</v>
      </c>
      <c r="D960" s="1">
        <v>45520</v>
      </c>
      <c r="E960">
        <v>25466</v>
      </c>
      <c r="F960">
        <v>912</v>
      </c>
      <c r="G960">
        <v>80</v>
      </c>
      <c r="H960" s="4">
        <v>3023.55</v>
      </c>
      <c r="I960" s="4">
        <v>5751.56</v>
      </c>
      <c r="J960" s="7">
        <f>Table1[[#This Row],[Clicks]]/Table1[[#This Row],[Impressions]]</f>
        <v>3.5812455823450877E-2</v>
      </c>
      <c r="K960" s="7">
        <f>IFERROR(Table1[[#This Row],[Conversions]]/Table1[[#This Row],[Clicks]],0)</f>
        <v>8.771929824561403E-2</v>
      </c>
      <c r="L960" s="6">
        <f>IF(Table1[[#This Row],[Conversions]]=0,0,Table1[[#This Row],[Ad Spend]]/Table1[[#This Row],[Conversions]])</f>
        <v>37.794375000000002</v>
      </c>
      <c r="M960" s="8">
        <f>IF(Table1[[#This Row],[Ad Spend]]=0,0,Table1[[#This Row],[Revenue]]/Table1[[#This Row],[Ad Spend]])</f>
        <v>1.9022539729787833</v>
      </c>
      <c r="N960">
        <f>YEAR(Table1[[#This Row],[Date]])</f>
        <v>2024</v>
      </c>
      <c r="O960" t="str">
        <f>TEXT(Table1[[#This Row],[Date]],"mmm")</f>
        <v>Aug</v>
      </c>
      <c r="P960">
        <f>MONTH(Table1[[#This Row],[Date]])</f>
        <v>8</v>
      </c>
    </row>
    <row r="961" spans="1:16" x14ac:dyDescent="0.25">
      <c r="A961" t="s">
        <v>980</v>
      </c>
      <c r="B961" t="s">
        <v>21</v>
      </c>
      <c r="C961" t="s">
        <v>19</v>
      </c>
      <c r="D961" s="1">
        <v>45591</v>
      </c>
      <c r="E961">
        <v>135764</v>
      </c>
      <c r="F961">
        <v>7406</v>
      </c>
      <c r="G961">
        <v>1107</v>
      </c>
      <c r="H961" s="4">
        <v>3507.29</v>
      </c>
      <c r="I961" s="4">
        <v>127063.67999999999</v>
      </c>
      <c r="J961" s="7">
        <f>Table1[[#This Row],[Clicks]]/Table1[[#This Row],[Impressions]]</f>
        <v>5.4550543590347958E-2</v>
      </c>
      <c r="K961" s="7">
        <f>IFERROR(Table1[[#This Row],[Conversions]]/Table1[[#This Row],[Clicks]],0)</f>
        <v>0.14947339994598974</v>
      </c>
      <c r="L961" s="6">
        <f>IF(Table1[[#This Row],[Conversions]]=0,0,Table1[[#This Row],[Ad Spend]]/Table1[[#This Row],[Conversions]])</f>
        <v>3.1682836495031617</v>
      </c>
      <c r="M961" s="8">
        <f>IF(Table1[[#This Row],[Ad Spend]]=0,0,Table1[[#This Row],[Revenue]]/Table1[[#This Row],[Ad Spend]])</f>
        <v>36.228449885809269</v>
      </c>
      <c r="N961">
        <f>YEAR(Table1[[#This Row],[Date]])</f>
        <v>2024</v>
      </c>
      <c r="O961" t="str">
        <f>TEXT(Table1[[#This Row],[Date]],"mmm")</f>
        <v>Oct</v>
      </c>
      <c r="P961">
        <f>MONTH(Table1[[#This Row],[Date]])</f>
        <v>10</v>
      </c>
    </row>
    <row r="962" spans="1:16" x14ac:dyDescent="0.25">
      <c r="A962" t="s">
        <v>981</v>
      </c>
      <c r="B962" t="s">
        <v>21</v>
      </c>
      <c r="C962" t="s">
        <v>37</v>
      </c>
      <c r="D962" s="1">
        <v>45365</v>
      </c>
      <c r="E962">
        <v>137588</v>
      </c>
      <c r="F962">
        <v>2600</v>
      </c>
      <c r="G962">
        <v>292</v>
      </c>
      <c r="H962" s="4">
        <v>821.05</v>
      </c>
      <c r="I962" s="4">
        <v>26412.12</v>
      </c>
      <c r="J962" s="7">
        <f>Table1[[#This Row],[Clicks]]/Table1[[#This Row],[Impressions]]</f>
        <v>1.8896996831118992E-2</v>
      </c>
      <c r="K962" s="7">
        <f>IFERROR(Table1[[#This Row],[Conversions]]/Table1[[#This Row],[Clicks]],0)</f>
        <v>0.1123076923076923</v>
      </c>
      <c r="L962" s="6">
        <f>IF(Table1[[#This Row],[Conversions]]=0,0,Table1[[#This Row],[Ad Spend]]/Table1[[#This Row],[Conversions]])</f>
        <v>2.8118150684931504</v>
      </c>
      <c r="M962" s="8">
        <f>IF(Table1[[#This Row],[Ad Spend]]=0,0,Table1[[#This Row],[Revenue]]/Table1[[#This Row],[Ad Spend]])</f>
        <v>32.168710797149991</v>
      </c>
      <c r="N962">
        <f>YEAR(Table1[[#This Row],[Date]])</f>
        <v>2024</v>
      </c>
      <c r="O962" t="str">
        <f>TEXT(Table1[[#This Row],[Date]],"mmm")</f>
        <v>Mar</v>
      </c>
      <c r="P962">
        <f>MONTH(Table1[[#This Row],[Date]])</f>
        <v>3</v>
      </c>
    </row>
    <row r="963" spans="1:16" x14ac:dyDescent="0.25">
      <c r="A963" t="s">
        <v>982</v>
      </c>
      <c r="B963" t="s">
        <v>9</v>
      </c>
      <c r="C963" t="s">
        <v>37</v>
      </c>
      <c r="D963" s="1">
        <v>45525</v>
      </c>
      <c r="E963">
        <v>129087</v>
      </c>
      <c r="F963">
        <v>1585</v>
      </c>
      <c r="G963">
        <v>64</v>
      </c>
      <c r="H963" s="4">
        <v>2883.33</v>
      </c>
      <c r="I963" s="4">
        <v>7178.86</v>
      </c>
      <c r="J963" s="7">
        <f>Table1[[#This Row],[Clicks]]/Table1[[#This Row],[Impressions]]</f>
        <v>1.2278540829053275E-2</v>
      </c>
      <c r="K963" s="7">
        <f>IFERROR(Table1[[#This Row],[Conversions]]/Table1[[#This Row],[Clicks]],0)</f>
        <v>4.0378548895899057E-2</v>
      </c>
      <c r="L963" s="6">
        <f>IF(Table1[[#This Row],[Conversions]]=0,0,Table1[[#This Row],[Ad Spend]]/Table1[[#This Row],[Conversions]])</f>
        <v>45.052031249999999</v>
      </c>
      <c r="M963" s="8">
        <f>IF(Table1[[#This Row],[Ad Spend]]=0,0,Table1[[#This Row],[Revenue]]/Table1[[#This Row],[Ad Spend]])</f>
        <v>2.4897809130415181</v>
      </c>
      <c r="N963">
        <f>YEAR(Table1[[#This Row],[Date]])</f>
        <v>2024</v>
      </c>
      <c r="O963" t="str">
        <f>TEXT(Table1[[#This Row],[Date]],"mmm")</f>
        <v>Aug</v>
      </c>
      <c r="P963">
        <f>MONTH(Table1[[#This Row],[Date]])</f>
        <v>8</v>
      </c>
    </row>
    <row r="964" spans="1:16" x14ac:dyDescent="0.25">
      <c r="A964" t="s">
        <v>983</v>
      </c>
      <c r="B964" t="s">
        <v>9</v>
      </c>
      <c r="C964" t="s">
        <v>12</v>
      </c>
      <c r="D964" s="1">
        <v>45501</v>
      </c>
      <c r="E964">
        <v>33923</v>
      </c>
      <c r="F964">
        <v>626</v>
      </c>
      <c r="G964">
        <v>59</v>
      </c>
      <c r="H964" s="4">
        <v>393.35</v>
      </c>
      <c r="I964" s="4">
        <v>2084.5</v>
      </c>
      <c r="J964" s="7">
        <f>Table1[[#This Row],[Clicks]]/Table1[[#This Row],[Impressions]]</f>
        <v>1.8453556584028537E-2</v>
      </c>
      <c r="K964" s="7">
        <f>IFERROR(Table1[[#This Row],[Conversions]]/Table1[[#This Row],[Clicks]],0)</f>
        <v>9.4249201277955275E-2</v>
      </c>
      <c r="L964" s="6">
        <f>IF(Table1[[#This Row],[Conversions]]=0,0,Table1[[#This Row],[Ad Spend]]/Table1[[#This Row],[Conversions]])</f>
        <v>6.6669491525423732</v>
      </c>
      <c r="M964" s="8">
        <f>IF(Table1[[#This Row],[Ad Spend]]=0,0,Table1[[#This Row],[Revenue]]/Table1[[#This Row],[Ad Spend]])</f>
        <v>5.2993517223846442</v>
      </c>
      <c r="N964">
        <f>YEAR(Table1[[#This Row],[Date]])</f>
        <v>2024</v>
      </c>
      <c r="O964" t="str">
        <f>TEXT(Table1[[#This Row],[Date]],"mmm")</f>
        <v>Jul</v>
      </c>
      <c r="P964">
        <f>MONTH(Table1[[#This Row],[Date]])</f>
        <v>7</v>
      </c>
    </row>
    <row r="965" spans="1:16" x14ac:dyDescent="0.25">
      <c r="A965" t="s">
        <v>984</v>
      </c>
      <c r="B965" t="s">
        <v>47</v>
      </c>
      <c r="C965" t="s">
        <v>19</v>
      </c>
      <c r="D965" s="1">
        <v>45483</v>
      </c>
      <c r="E965">
        <v>84497</v>
      </c>
      <c r="F965">
        <v>2583</v>
      </c>
      <c r="G965">
        <v>61</v>
      </c>
      <c r="H965" s="4">
        <v>885.77</v>
      </c>
      <c r="I965" s="4">
        <v>6001.13</v>
      </c>
      <c r="J965" s="7">
        <f>Table1[[#This Row],[Clicks]]/Table1[[#This Row],[Impressions]]</f>
        <v>3.0569132631927762E-2</v>
      </c>
      <c r="K965" s="7">
        <f>IFERROR(Table1[[#This Row],[Conversions]]/Table1[[#This Row],[Clicks]],0)</f>
        <v>2.3615950445218737E-2</v>
      </c>
      <c r="L965" s="6">
        <f>IF(Table1[[#This Row],[Conversions]]=0,0,Table1[[#This Row],[Ad Spend]]/Table1[[#This Row],[Conversions]])</f>
        <v>14.520819672131147</v>
      </c>
      <c r="M965" s="8">
        <f>IF(Table1[[#This Row],[Ad Spend]]=0,0,Table1[[#This Row],[Revenue]]/Table1[[#This Row],[Ad Spend]])</f>
        <v>6.7750431827675355</v>
      </c>
      <c r="N965">
        <f>YEAR(Table1[[#This Row],[Date]])</f>
        <v>2024</v>
      </c>
      <c r="O965" t="str">
        <f>TEXT(Table1[[#This Row],[Date]],"mmm")</f>
        <v>Jul</v>
      </c>
      <c r="P965">
        <f>MONTH(Table1[[#This Row],[Date]])</f>
        <v>7</v>
      </c>
    </row>
    <row r="966" spans="1:16" x14ac:dyDescent="0.25">
      <c r="A966" t="s">
        <v>985</v>
      </c>
      <c r="B966" t="s">
        <v>21</v>
      </c>
      <c r="C966" t="s">
        <v>10</v>
      </c>
      <c r="D966" s="1">
        <v>45448</v>
      </c>
      <c r="E966">
        <v>79313</v>
      </c>
      <c r="F966">
        <v>1990</v>
      </c>
      <c r="G966">
        <v>251</v>
      </c>
      <c r="H966" s="4">
        <v>2546.21</v>
      </c>
      <c r="I966" s="4">
        <v>8090.43</v>
      </c>
      <c r="J966" s="7">
        <f>Table1[[#This Row],[Clicks]]/Table1[[#This Row],[Impressions]]</f>
        <v>2.5090464362714813E-2</v>
      </c>
      <c r="K966" s="7">
        <f>IFERROR(Table1[[#This Row],[Conversions]]/Table1[[#This Row],[Clicks]],0)</f>
        <v>0.12613065326633166</v>
      </c>
      <c r="L966" s="6">
        <f>IF(Table1[[#This Row],[Conversions]]=0,0,Table1[[#This Row],[Ad Spend]]/Table1[[#This Row],[Conversions]])</f>
        <v>10.144262948207171</v>
      </c>
      <c r="M966" s="8">
        <f>IF(Table1[[#This Row],[Ad Spend]]=0,0,Table1[[#This Row],[Revenue]]/Table1[[#This Row],[Ad Spend]])</f>
        <v>3.1774401954277143</v>
      </c>
      <c r="N966">
        <f>YEAR(Table1[[#This Row],[Date]])</f>
        <v>2024</v>
      </c>
      <c r="O966" t="str">
        <f>TEXT(Table1[[#This Row],[Date]],"mmm")</f>
        <v>Jun</v>
      </c>
      <c r="P966">
        <f>MONTH(Table1[[#This Row],[Date]])</f>
        <v>6</v>
      </c>
    </row>
    <row r="967" spans="1:16" x14ac:dyDescent="0.25">
      <c r="A967" t="s">
        <v>986</v>
      </c>
      <c r="B967" t="s">
        <v>47</v>
      </c>
      <c r="C967" t="s">
        <v>10</v>
      </c>
      <c r="D967" s="1">
        <v>45314</v>
      </c>
      <c r="E967">
        <v>114464</v>
      </c>
      <c r="F967">
        <v>5000</v>
      </c>
      <c r="G967">
        <v>301</v>
      </c>
      <c r="H967" s="4">
        <v>2371.4</v>
      </c>
      <c r="I967" s="4">
        <v>16188.48</v>
      </c>
      <c r="J967" s="7">
        <f>Table1[[#This Row],[Clicks]]/Table1[[#This Row],[Impressions]]</f>
        <v>4.3681856304165503E-2</v>
      </c>
      <c r="K967" s="7">
        <f>IFERROR(Table1[[#This Row],[Conversions]]/Table1[[#This Row],[Clicks]],0)</f>
        <v>6.0199999999999997E-2</v>
      </c>
      <c r="L967" s="6">
        <f>IF(Table1[[#This Row],[Conversions]]=0,0,Table1[[#This Row],[Ad Spend]]/Table1[[#This Row],[Conversions]])</f>
        <v>7.8784053156146179</v>
      </c>
      <c r="M967" s="8">
        <f>IF(Table1[[#This Row],[Ad Spend]]=0,0,Table1[[#This Row],[Revenue]]/Table1[[#This Row],[Ad Spend]])</f>
        <v>6.8265497174664747</v>
      </c>
      <c r="N967">
        <f>YEAR(Table1[[#This Row],[Date]])</f>
        <v>2024</v>
      </c>
      <c r="O967" t="str">
        <f>TEXT(Table1[[#This Row],[Date]],"mmm")</f>
        <v>Jan</v>
      </c>
      <c r="P967">
        <f>MONTH(Table1[[#This Row],[Date]])</f>
        <v>1</v>
      </c>
    </row>
    <row r="968" spans="1:16" x14ac:dyDescent="0.25">
      <c r="A968" t="s">
        <v>987</v>
      </c>
      <c r="B968" t="s">
        <v>21</v>
      </c>
      <c r="C968" t="s">
        <v>17</v>
      </c>
      <c r="D968" s="1">
        <v>45660</v>
      </c>
      <c r="E968">
        <v>39815</v>
      </c>
      <c r="F968">
        <v>2521</v>
      </c>
      <c r="G968">
        <v>215</v>
      </c>
      <c r="H968" s="4">
        <v>2412.4899999999998</v>
      </c>
      <c r="I968" s="4">
        <v>13973.48</v>
      </c>
      <c r="J968" s="7">
        <f>Table1[[#This Row],[Clicks]]/Table1[[#This Row],[Impressions]]</f>
        <v>6.3317845033278919E-2</v>
      </c>
      <c r="K968" s="7">
        <f>IFERROR(Table1[[#This Row],[Conversions]]/Table1[[#This Row],[Clicks]],0)</f>
        <v>8.5283617612058701E-2</v>
      </c>
      <c r="L968" s="6">
        <f>IF(Table1[[#This Row],[Conversions]]=0,0,Table1[[#This Row],[Ad Spend]]/Table1[[#This Row],[Conversions]])</f>
        <v>11.220883720930232</v>
      </c>
      <c r="M968" s="8">
        <f>IF(Table1[[#This Row],[Ad Spend]]=0,0,Table1[[#This Row],[Revenue]]/Table1[[#This Row],[Ad Spend]])</f>
        <v>5.7921400710469273</v>
      </c>
      <c r="N968">
        <f>YEAR(Table1[[#This Row],[Date]])</f>
        <v>2025</v>
      </c>
      <c r="O968" t="str">
        <f>TEXT(Table1[[#This Row],[Date]],"mmm")</f>
        <v>Jan</v>
      </c>
      <c r="P968">
        <f>MONTH(Table1[[#This Row],[Date]])</f>
        <v>1</v>
      </c>
    </row>
    <row r="969" spans="1:16" x14ac:dyDescent="0.25">
      <c r="A969" t="s">
        <v>988</v>
      </c>
      <c r="B969" t="s">
        <v>41</v>
      </c>
      <c r="C969" t="s">
        <v>37</v>
      </c>
      <c r="D969" s="1">
        <v>45664</v>
      </c>
      <c r="E969">
        <v>90253</v>
      </c>
      <c r="F969">
        <v>1466</v>
      </c>
      <c r="G969">
        <v>148</v>
      </c>
      <c r="H969" s="4">
        <v>3193.23</v>
      </c>
      <c r="I969" s="4">
        <v>8691.08</v>
      </c>
      <c r="J969" s="7">
        <f>Table1[[#This Row],[Clicks]]/Table1[[#This Row],[Impressions]]</f>
        <v>1.6243227371943315E-2</v>
      </c>
      <c r="K969" s="7">
        <f>IFERROR(Table1[[#This Row],[Conversions]]/Table1[[#This Row],[Clicks]],0)</f>
        <v>0.1009549795361528</v>
      </c>
      <c r="L969" s="6">
        <f>IF(Table1[[#This Row],[Conversions]]=0,0,Table1[[#This Row],[Ad Spend]]/Table1[[#This Row],[Conversions]])</f>
        <v>21.575878378378377</v>
      </c>
      <c r="M969" s="8">
        <f>IF(Table1[[#This Row],[Ad Spend]]=0,0,Table1[[#This Row],[Revenue]]/Table1[[#This Row],[Ad Spend]])</f>
        <v>2.7217206402294853</v>
      </c>
      <c r="N969">
        <f>YEAR(Table1[[#This Row],[Date]])</f>
        <v>2025</v>
      </c>
      <c r="O969" t="str">
        <f>TEXT(Table1[[#This Row],[Date]],"mmm")</f>
        <v>Jan</v>
      </c>
      <c r="P969">
        <f>MONTH(Table1[[#This Row],[Date]])</f>
        <v>1</v>
      </c>
    </row>
    <row r="970" spans="1:16" x14ac:dyDescent="0.25">
      <c r="A970" t="s">
        <v>989</v>
      </c>
      <c r="B970" t="s">
        <v>21</v>
      </c>
      <c r="C970" t="s">
        <v>19</v>
      </c>
      <c r="D970" s="1">
        <v>45568</v>
      </c>
      <c r="E970">
        <v>17011</v>
      </c>
      <c r="F970">
        <v>1310</v>
      </c>
      <c r="G970">
        <v>177</v>
      </c>
      <c r="H970" s="4">
        <v>3732.38</v>
      </c>
      <c r="I970" s="4">
        <v>14972.72</v>
      </c>
      <c r="J970" s="7">
        <f>Table1[[#This Row],[Clicks]]/Table1[[#This Row],[Impressions]]</f>
        <v>7.7008994180236323E-2</v>
      </c>
      <c r="K970" s="7">
        <f>IFERROR(Table1[[#This Row],[Conversions]]/Table1[[#This Row],[Clicks]],0)</f>
        <v>0.13511450381679388</v>
      </c>
      <c r="L970" s="6">
        <f>IF(Table1[[#This Row],[Conversions]]=0,0,Table1[[#This Row],[Ad Spend]]/Table1[[#This Row],[Conversions]])</f>
        <v>21.086892655367233</v>
      </c>
      <c r="M970" s="8">
        <f>IF(Table1[[#This Row],[Ad Spend]]=0,0,Table1[[#This Row],[Revenue]]/Table1[[#This Row],[Ad Spend]])</f>
        <v>4.0115743841731009</v>
      </c>
      <c r="N970">
        <f>YEAR(Table1[[#This Row],[Date]])</f>
        <v>2024</v>
      </c>
      <c r="O970" t="str">
        <f>TEXT(Table1[[#This Row],[Date]],"mmm")</f>
        <v>Oct</v>
      </c>
      <c r="P970">
        <f>MONTH(Table1[[#This Row],[Date]])</f>
        <v>10</v>
      </c>
    </row>
    <row r="971" spans="1:16" x14ac:dyDescent="0.25">
      <c r="A971" t="s">
        <v>990</v>
      </c>
      <c r="B971" t="s">
        <v>16</v>
      </c>
      <c r="C971" t="s">
        <v>10</v>
      </c>
      <c r="D971" s="1">
        <v>45584</v>
      </c>
      <c r="E971">
        <v>85962</v>
      </c>
      <c r="F971">
        <v>4235</v>
      </c>
      <c r="G971">
        <v>152</v>
      </c>
      <c r="H971" s="4">
        <v>2884.89</v>
      </c>
      <c r="I971" s="4">
        <v>5964.89</v>
      </c>
      <c r="J971" s="7">
        <f>Table1[[#This Row],[Clicks]]/Table1[[#This Row],[Impressions]]</f>
        <v>4.9265954724180452E-2</v>
      </c>
      <c r="K971" s="7">
        <f>IFERROR(Table1[[#This Row],[Conversions]]/Table1[[#This Row],[Clicks]],0)</f>
        <v>3.5891381345926801E-2</v>
      </c>
      <c r="L971" s="6">
        <f>IF(Table1[[#This Row],[Conversions]]=0,0,Table1[[#This Row],[Ad Spend]]/Table1[[#This Row],[Conversions]])</f>
        <v>18.979539473684209</v>
      </c>
      <c r="M971" s="8">
        <f>IF(Table1[[#This Row],[Ad Spend]]=0,0,Table1[[#This Row],[Revenue]]/Table1[[#This Row],[Ad Spend]])</f>
        <v>2.0676316947959887</v>
      </c>
      <c r="N971">
        <f>YEAR(Table1[[#This Row],[Date]])</f>
        <v>2024</v>
      </c>
      <c r="O971" t="str">
        <f>TEXT(Table1[[#This Row],[Date]],"mmm")</f>
        <v>Oct</v>
      </c>
      <c r="P971">
        <f>MONTH(Table1[[#This Row],[Date]])</f>
        <v>10</v>
      </c>
    </row>
    <row r="972" spans="1:16" x14ac:dyDescent="0.25">
      <c r="A972" t="s">
        <v>991</v>
      </c>
      <c r="B972" t="s">
        <v>31</v>
      </c>
      <c r="C972" t="s">
        <v>12</v>
      </c>
      <c r="D972" s="1">
        <v>45559</v>
      </c>
      <c r="E972">
        <v>54648</v>
      </c>
      <c r="F972">
        <v>3417</v>
      </c>
      <c r="G972">
        <v>291</v>
      </c>
      <c r="H972" s="4">
        <v>289.58999999999997</v>
      </c>
      <c r="I972" s="4">
        <v>24975.200000000001</v>
      </c>
      <c r="J972" s="7">
        <f>Table1[[#This Row],[Clicks]]/Table1[[#This Row],[Impressions]]</f>
        <v>6.2527448397013616E-2</v>
      </c>
      <c r="K972" s="7">
        <f>IFERROR(Table1[[#This Row],[Conversions]]/Table1[[#This Row],[Clicks]],0)</f>
        <v>8.5162423178226518E-2</v>
      </c>
      <c r="L972" s="6">
        <f>IF(Table1[[#This Row],[Conversions]]=0,0,Table1[[#This Row],[Ad Spend]]/Table1[[#This Row],[Conversions]])</f>
        <v>0.99515463917525759</v>
      </c>
      <c r="M972" s="8">
        <f>IF(Table1[[#This Row],[Ad Spend]]=0,0,Table1[[#This Row],[Revenue]]/Table1[[#This Row],[Ad Spend]])</f>
        <v>86.243309506543739</v>
      </c>
      <c r="N972">
        <f>YEAR(Table1[[#This Row],[Date]])</f>
        <v>2024</v>
      </c>
      <c r="O972" t="str">
        <f>TEXT(Table1[[#This Row],[Date]],"mmm")</f>
        <v>Sept</v>
      </c>
      <c r="P972">
        <f>MONTH(Table1[[#This Row],[Date]])</f>
        <v>9</v>
      </c>
    </row>
    <row r="973" spans="1:16" x14ac:dyDescent="0.25">
      <c r="A973" t="s">
        <v>992</v>
      </c>
      <c r="B973" t="s">
        <v>16</v>
      </c>
      <c r="C973" t="s">
        <v>10</v>
      </c>
      <c r="D973" s="1">
        <v>45432</v>
      </c>
      <c r="E973">
        <v>58950</v>
      </c>
      <c r="F973">
        <v>1601</v>
      </c>
      <c r="G973">
        <v>178</v>
      </c>
      <c r="H973" s="4">
        <v>4460.75</v>
      </c>
      <c r="I973" s="4">
        <v>11467.28</v>
      </c>
      <c r="J973" s="7">
        <f>Table1[[#This Row],[Clicks]]/Table1[[#This Row],[Impressions]]</f>
        <v>2.7158608990670061E-2</v>
      </c>
      <c r="K973" s="7">
        <f>IFERROR(Table1[[#This Row],[Conversions]]/Table1[[#This Row],[Clicks]],0)</f>
        <v>0.11118051217988757</v>
      </c>
      <c r="L973" s="6">
        <f>IF(Table1[[#This Row],[Conversions]]=0,0,Table1[[#This Row],[Ad Spend]]/Table1[[#This Row],[Conversions]])</f>
        <v>25.060393258426966</v>
      </c>
      <c r="M973" s="8">
        <f>IF(Table1[[#This Row],[Ad Spend]]=0,0,Table1[[#This Row],[Revenue]]/Table1[[#This Row],[Ad Spend]])</f>
        <v>2.5707067197220201</v>
      </c>
      <c r="N973">
        <f>YEAR(Table1[[#This Row],[Date]])</f>
        <v>2024</v>
      </c>
      <c r="O973" t="str">
        <f>TEXT(Table1[[#This Row],[Date]],"mmm")</f>
        <v>May</v>
      </c>
      <c r="P973">
        <f>MONTH(Table1[[#This Row],[Date]])</f>
        <v>5</v>
      </c>
    </row>
    <row r="974" spans="1:16" x14ac:dyDescent="0.25">
      <c r="A974" t="s">
        <v>993</v>
      </c>
      <c r="B974" t="s">
        <v>47</v>
      </c>
      <c r="C974" t="s">
        <v>17</v>
      </c>
      <c r="D974" s="1">
        <v>45593</v>
      </c>
      <c r="E974">
        <v>16792</v>
      </c>
      <c r="F974">
        <v>745</v>
      </c>
      <c r="G974">
        <v>105</v>
      </c>
      <c r="H974" s="4">
        <v>1831.79</v>
      </c>
      <c r="I974" s="4">
        <v>3995.33</v>
      </c>
      <c r="J974" s="7">
        <f>Table1[[#This Row],[Clicks]]/Table1[[#This Row],[Impressions]]</f>
        <v>4.4366364935683661E-2</v>
      </c>
      <c r="K974" s="7">
        <f>IFERROR(Table1[[#This Row],[Conversions]]/Table1[[#This Row],[Clicks]],0)</f>
        <v>0.14093959731543623</v>
      </c>
      <c r="L974" s="6">
        <f>IF(Table1[[#This Row],[Conversions]]=0,0,Table1[[#This Row],[Ad Spend]]/Table1[[#This Row],[Conversions]])</f>
        <v>17.445619047619047</v>
      </c>
      <c r="M974" s="8">
        <f>IF(Table1[[#This Row],[Ad Spend]]=0,0,Table1[[#This Row],[Revenue]]/Table1[[#This Row],[Ad Spend]])</f>
        <v>2.1811070046238923</v>
      </c>
      <c r="N974">
        <f>YEAR(Table1[[#This Row],[Date]])</f>
        <v>2024</v>
      </c>
      <c r="O974" t="str">
        <f>TEXT(Table1[[#This Row],[Date]],"mmm")</f>
        <v>Oct</v>
      </c>
      <c r="P974">
        <f>MONTH(Table1[[#This Row],[Date]])</f>
        <v>10</v>
      </c>
    </row>
    <row r="975" spans="1:16" x14ac:dyDescent="0.25">
      <c r="A975" t="s">
        <v>994</v>
      </c>
      <c r="B975" t="s">
        <v>31</v>
      </c>
      <c r="C975" t="s">
        <v>12</v>
      </c>
      <c r="D975" s="1">
        <v>45454</v>
      </c>
      <c r="E975">
        <v>105141</v>
      </c>
      <c r="F975">
        <v>2944</v>
      </c>
      <c r="G975">
        <v>102</v>
      </c>
      <c r="H975" s="4">
        <v>676.8</v>
      </c>
      <c r="I975" s="4">
        <v>3755.19</v>
      </c>
      <c r="J975" s="7">
        <f>Table1[[#This Row],[Clicks]]/Table1[[#This Row],[Impressions]]</f>
        <v>2.8000494573953073E-2</v>
      </c>
      <c r="K975" s="7">
        <f>IFERROR(Table1[[#This Row],[Conversions]]/Table1[[#This Row],[Clicks]],0)</f>
        <v>3.4646739130434784E-2</v>
      </c>
      <c r="L975" s="6">
        <f>IF(Table1[[#This Row],[Conversions]]=0,0,Table1[[#This Row],[Ad Spend]]/Table1[[#This Row],[Conversions]])</f>
        <v>6.6352941176470583</v>
      </c>
      <c r="M975" s="8">
        <f>IF(Table1[[#This Row],[Ad Spend]]=0,0,Table1[[#This Row],[Revenue]]/Table1[[#This Row],[Ad Spend]])</f>
        <v>5.548448581560284</v>
      </c>
      <c r="N975">
        <f>YEAR(Table1[[#This Row],[Date]])</f>
        <v>2024</v>
      </c>
      <c r="O975" t="str">
        <f>TEXT(Table1[[#This Row],[Date]],"mmm")</f>
        <v>Jun</v>
      </c>
      <c r="P975">
        <f>MONTH(Table1[[#This Row],[Date]])</f>
        <v>6</v>
      </c>
    </row>
    <row r="976" spans="1:16" x14ac:dyDescent="0.25">
      <c r="A976" t="s">
        <v>995</v>
      </c>
      <c r="B976" t="s">
        <v>16</v>
      </c>
      <c r="C976" t="s">
        <v>37</v>
      </c>
      <c r="D976" s="1">
        <v>45422</v>
      </c>
      <c r="E976">
        <v>28495</v>
      </c>
      <c r="F976">
        <v>592</v>
      </c>
      <c r="G976">
        <v>85</v>
      </c>
      <c r="H976" s="4">
        <v>3457.32</v>
      </c>
      <c r="I976" s="4">
        <v>2200.77</v>
      </c>
      <c r="J976" s="7">
        <f>Table1[[#This Row],[Clicks]]/Table1[[#This Row],[Impressions]]</f>
        <v>2.0775574662221442E-2</v>
      </c>
      <c r="K976" s="7">
        <f>IFERROR(Table1[[#This Row],[Conversions]]/Table1[[#This Row],[Clicks]],0)</f>
        <v>0.14358108108108109</v>
      </c>
      <c r="L976" s="6">
        <f>IF(Table1[[#This Row],[Conversions]]=0,0,Table1[[#This Row],[Ad Spend]]/Table1[[#This Row],[Conversions]])</f>
        <v>40.674352941176473</v>
      </c>
      <c r="M976" s="8">
        <f>IF(Table1[[#This Row],[Ad Spend]]=0,0,Table1[[#This Row],[Revenue]]/Table1[[#This Row],[Ad Spend]])</f>
        <v>0.63655374683280685</v>
      </c>
      <c r="N976">
        <f>YEAR(Table1[[#This Row],[Date]])</f>
        <v>2024</v>
      </c>
      <c r="O976" t="str">
        <f>TEXT(Table1[[#This Row],[Date]],"mmm")</f>
        <v>May</v>
      </c>
      <c r="P976">
        <f>MONTH(Table1[[#This Row],[Date]])</f>
        <v>5</v>
      </c>
    </row>
    <row r="977" spans="1:16" x14ac:dyDescent="0.25">
      <c r="A977" t="s">
        <v>996</v>
      </c>
      <c r="B977" t="s">
        <v>47</v>
      </c>
      <c r="C977" t="s">
        <v>37</v>
      </c>
      <c r="D977" s="1">
        <v>45305</v>
      </c>
      <c r="E977">
        <v>20335</v>
      </c>
      <c r="F977">
        <v>627</v>
      </c>
      <c r="G977">
        <v>20</v>
      </c>
      <c r="H977" s="4">
        <v>883.81</v>
      </c>
      <c r="I977" s="4">
        <v>2186.02</v>
      </c>
      <c r="J977" s="7">
        <f>Table1[[#This Row],[Clicks]]/Table1[[#This Row],[Impressions]]</f>
        <v>3.0833538234570936E-2</v>
      </c>
      <c r="K977" s="7">
        <f>IFERROR(Table1[[#This Row],[Conversions]]/Table1[[#This Row],[Clicks]],0)</f>
        <v>3.1897926634768738E-2</v>
      </c>
      <c r="L977" s="6">
        <f>IF(Table1[[#This Row],[Conversions]]=0,0,Table1[[#This Row],[Ad Spend]]/Table1[[#This Row],[Conversions]])</f>
        <v>44.1905</v>
      </c>
      <c r="M977" s="8">
        <f>IF(Table1[[#This Row],[Ad Spend]]=0,0,Table1[[#This Row],[Revenue]]/Table1[[#This Row],[Ad Spend]])</f>
        <v>2.4734049173464885</v>
      </c>
      <c r="N977">
        <f>YEAR(Table1[[#This Row],[Date]])</f>
        <v>2024</v>
      </c>
      <c r="O977" t="str">
        <f>TEXT(Table1[[#This Row],[Date]],"mmm")</f>
        <v>Jan</v>
      </c>
      <c r="P977">
        <f>MONTH(Table1[[#This Row],[Date]])</f>
        <v>1</v>
      </c>
    </row>
    <row r="978" spans="1:16" x14ac:dyDescent="0.25">
      <c r="A978" t="s">
        <v>997</v>
      </c>
      <c r="B978" t="s">
        <v>34</v>
      </c>
      <c r="C978" t="s">
        <v>17</v>
      </c>
      <c r="D978" s="1">
        <v>45715</v>
      </c>
      <c r="E978">
        <v>36710</v>
      </c>
      <c r="F978">
        <v>500</v>
      </c>
      <c r="G978">
        <v>25</v>
      </c>
      <c r="H978" s="4">
        <v>3065.62</v>
      </c>
      <c r="I978" s="4">
        <v>1091.23</v>
      </c>
      <c r="J978" s="7">
        <f>Table1[[#This Row],[Clicks]]/Table1[[#This Row],[Impressions]]</f>
        <v>1.3620266957232362E-2</v>
      </c>
      <c r="K978" s="7">
        <f>IFERROR(Table1[[#This Row],[Conversions]]/Table1[[#This Row],[Clicks]],0)</f>
        <v>0.05</v>
      </c>
      <c r="L978" s="6">
        <f>IF(Table1[[#This Row],[Conversions]]=0,0,Table1[[#This Row],[Ad Spend]]/Table1[[#This Row],[Conversions]])</f>
        <v>122.62479999999999</v>
      </c>
      <c r="M978" s="8">
        <f>IF(Table1[[#This Row],[Ad Spend]]=0,0,Table1[[#This Row],[Revenue]]/Table1[[#This Row],[Ad Spend]])</f>
        <v>0.35595735935960754</v>
      </c>
      <c r="N978">
        <f>YEAR(Table1[[#This Row],[Date]])</f>
        <v>2025</v>
      </c>
      <c r="O978" t="str">
        <f>TEXT(Table1[[#This Row],[Date]],"mmm")</f>
        <v>Feb</v>
      </c>
      <c r="P978">
        <f>MONTH(Table1[[#This Row],[Date]])</f>
        <v>2</v>
      </c>
    </row>
    <row r="979" spans="1:16" x14ac:dyDescent="0.25">
      <c r="A979" t="s">
        <v>998</v>
      </c>
      <c r="B979" t="s">
        <v>21</v>
      </c>
      <c r="C979" t="s">
        <v>10</v>
      </c>
      <c r="D979" s="1">
        <v>45429</v>
      </c>
      <c r="E979">
        <v>20894</v>
      </c>
      <c r="F979">
        <v>674</v>
      </c>
      <c r="G979">
        <v>61</v>
      </c>
      <c r="H979" s="4">
        <v>514.20000000000005</v>
      </c>
      <c r="I979" s="4">
        <v>1396.33</v>
      </c>
      <c r="J979" s="7">
        <f>Table1[[#This Row],[Clicks]]/Table1[[#This Row],[Impressions]]</f>
        <v>3.2258064516129031E-2</v>
      </c>
      <c r="K979" s="7">
        <f>IFERROR(Table1[[#This Row],[Conversions]]/Table1[[#This Row],[Clicks]],0)</f>
        <v>9.050445103857567E-2</v>
      </c>
      <c r="L979" s="6">
        <f>IF(Table1[[#This Row],[Conversions]]=0,0,Table1[[#This Row],[Ad Spend]]/Table1[[#This Row],[Conversions]])</f>
        <v>8.4295081967213115</v>
      </c>
      <c r="M979" s="8">
        <f>IF(Table1[[#This Row],[Ad Spend]]=0,0,Table1[[#This Row],[Revenue]]/Table1[[#This Row],[Ad Spend]])</f>
        <v>2.715538700894593</v>
      </c>
      <c r="N979">
        <f>YEAR(Table1[[#This Row],[Date]])</f>
        <v>2024</v>
      </c>
      <c r="O979" t="str">
        <f>TEXT(Table1[[#This Row],[Date]],"mmm")</f>
        <v>May</v>
      </c>
      <c r="P979">
        <f>MONTH(Table1[[#This Row],[Date]])</f>
        <v>5</v>
      </c>
    </row>
    <row r="980" spans="1:16" x14ac:dyDescent="0.25">
      <c r="A980" t="s">
        <v>999</v>
      </c>
      <c r="B980" t="s">
        <v>14</v>
      </c>
      <c r="C980" t="s">
        <v>10</v>
      </c>
      <c r="D980" s="1">
        <v>45429</v>
      </c>
      <c r="E980">
        <v>31610</v>
      </c>
      <c r="F980">
        <v>861</v>
      </c>
      <c r="G980">
        <v>79</v>
      </c>
      <c r="H980" s="4">
        <v>3969.03</v>
      </c>
      <c r="I980" s="4">
        <v>3986.44</v>
      </c>
      <c r="J980" s="7">
        <f>Table1[[#This Row],[Clicks]]/Table1[[#This Row],[Impressions]]</f>
        <v>2.7238215754508067E-2</v>
      </c>
      <c r="K980" s="7">
        <f>IFERROR(Table1[[#This Row],[Conversions]]/Table1[[#This Row],[Clicks]],0)</f>
        <v>9.1753774680603944E-2</v>
      </c>
      <c r="L980" s="6">
        <f>IF(Table1[[#This Row],[Conversions]]=0,0,Table1[[#This Row],[Ad Spend]]/Table1[[#This Row],[Conversions]])</f>
        <v>50.240886075949369</v>
      </c>
      <c r="M980" s="8">
        <f>IF(Table1[[#This Row],[Ad Spend]]=0,0,Table1[[#This Row],[Revenue]]/Table1[[#This Row],[Ad Spend]])</f>
        <v>1.0043864621834553</v>
      </c>
      <c r="N980">
        <f>YEAR(Table1[[#This Row],[Date]])</f>
        <v>2024</v>
      </c>
      <c r="O980" t="str">
        <f>TEXT(Table1[[#This Row],[Date]],"mmm")</f>
        <v>May</v>
      </c>
      <c r="P980">
        <f>MONTH(Table1[[#This Row],[Date]])</f>
        <v>5</v>
      </c>
    </row>
    <row r="981" spans="1:16" x14ac:dyDescent="0.25">
      <c r="A981" t="s">
        <v>1000</v>
      </c>
      <c r="B981" t="s">
        <v>21</v>
      </c>
      <c r="C981" t="s">
        <v>17</v>
      </c>
      <c r="D981" s="1">
        <v>45334</v>
      </c>
      <c r="E981">
        <v>136185</v>
      </c>
      <c r="F981">
        <v>3301</v>
      </c>
      <c r="G981">
        <v>481</v>
      </c>
      <c r="H981" s="4">
        <v>1991.87</v>
      </c>
      <c r="I981" s="4">
        <v>57013.35</v>
      </c>
      <c r="J981" s="7">
        <f>Table1[[#This Row],[Clicks]]/Table1[[#This Row],[Impressions]]</f>
        <v>2.4239086536696406E-2</v>
      </c>
      <c r="K981" s="7">
        <f>IFERROR(Table1[[#This Row],[Conversions]]/Table1[[#This Row],[Clicks]],0)</f>
        <v>0.14571342017570432</v>
      </c>
      <c r="L981" s="6">
        <f>IF(Table1[[#This Row],[Conversions]]=0,0,Table1[[#This Row],[Ad Spend]]/Table1[[#This Row],[Conversions]])</f>
        <v>4.1411018711018706</v>
      </c>
      <c r="M981" s="8">
        <f>IF(Table1[[#This Row],[Ad Spend]]=0,0,Table1[[#This Row],[Revenue]]/Table1[[#This Row],[Ad Spend]])</f>
        <v>28.623027607223364</v>
      </c>
      <c r="N981">
        <f>YEAR(Table1[[#This Row],[Date]])</f>
        <v>2024</v>
      </c>
      <c r="O981" t="str">
        <f>TEXT(Table1[[#This Row],[Date]],"mmm")</f>
        <v>Feb</v>
      </c>
      <c r="P981">
        <f>MONTH(Table1[[#This Row],[Date]])</f>
        <v>2</v>
      </c>
    </row>
    <row r="982" spans="1:16" x14ac:dyDescent="0.25">
      <c r="A982" t="s">
        <v>1001</v>
      </c>
      <c r="B982" t="s">
        <v>14</v>
      </c>
      <c r="C982" t="s">
        <v>12</v>
      </c>
      <c r="D982" s="1">
        <v>45508</v>
      </c>
      <c r="E982">
        <v>123421</v>
      </c>
      <c r="F982">
        <v>1595</v>
      </c>
      <c r="G982">
        <v>200</v>
      </c>
      <c r="H982" s="4">
        <v>4813.3500000000004</v>
      </c>
      <c r="I982" s="4">
        <v>16414.599999999999</v>
      </c>
      <c r="J982" s="7">
        <f>Table1[[#This Row],[Clicks]]/Table1[[#This Row],[Impressions]]</f>
        <v>1.2923246449145607E-2</v>
      </c>
      <c r="K982" s="7">
        <f>IFERROR(Table1[[#This Row],[Conversions]]/Table1[[#This Row],[Clicks]],0)</f>
        <v>0.12539184952978055</v>
      </c>
      <c r="L982" s="6">
        <f>IF(Table1[[#This Row],[Conversions]]=0,0,Table1[[#This Row],[Ad Spend]]/Table1[[#This Row],[Conversions]])</f>
        <v>24.066750000000003</v>
      </c>
      <c r="M982" s="8">
        <f>IF(Table1[[#This Row],[Ad Spend]]=0,0,Table1[[#This Row],[Revenue]]/Table1[[#This Row],[Ad Spend]])</f>
        <v>3.4102236488100797</v>
      </c>
      <c r="N982">
        <f>YEAR(Table1[[#This Row],[Date]])</f>
        <v>2024</v>
      </c>
      <c r="O982" t="str">
        <f>TEXT(Table1[[#This Row],[Date]],"mmm")</f>
        <v>Aug</v>
      </c>
      <c r="P982">
        <f>MONTH(Table1[[#This Row],[Date]])</f>
        <v>8</v>
      </c>
    </row>
    <row r="983" spans="1:16" x14ac:dyDescent="0.25">
      <c r="A983" t="s">
        <v>1002</v>
      </c>
      <c r="B983" t="s">
        <v>16</v>
      </c>
      <c r="C983" t="s">
        <v>10</v>
      </c>
      <c r="D983" s="1">
        <v>45322</v>
      </c>
      <c r="E983">
        <v>131402</v>
      </c>
      <c r="F983">
        <v>3827</v>
      </c>
      <c r="G983">
        <v>201</v>
      </c>
      <c r="H983" s="4">
        <v>3463.99</v>
      </c>
      <c r="I983" s="4">
        <v>24104.76</v>
      </c>
      <c r="J983" s="7">
        <f>Table1[[#This Row],[Clicks]]/Table1[[#This Row],[Impressions]]</f>
        <v>2.9124366447999268E-2</v>
      </c>
      <c r="K983" s="7">
        <f>IFERROR(Table1[[#This Row],[Conversions]]/Table1[[#This Row],[Clicks]],0)</f>
        <v>5.2521557355631042E-2</v>
      </c>
      <c r="L983" s="6">
        <f>IF(Table1[[#This Row],[Conversions]]=0,0,Table1[[#This Row],[Ad Spend]]/Table1[[#This Row],[Conversions]])</f>
        <v>17.233781094527362</v>
      </c>
      <c r="M983" s="8">
        <f>IF(Table1[[#This Row],[Ad Spend]]=0,0,Table1[[#This Row],[Revenue]]/Table1[[#This Row],[Ad Spend]])</f>
        <v>6.9586690492755467</v>
      </c>
      <c r="N983">
        <f>YEAR(Table1[[#This Row],[Date]])</f>
        <v>2024</v>
      </c>
      <c r="O983" t="str">
        <f>TEXT(Table1[[#This Row],[Date]],"mmm")</f>
        <v>Jan</v>
      </c>
      <c r="P983">
        <f>MONTH(Table1[[#This Row],[Date]])</f>
        <v>1</v>
      </c>
    </row>
    <row r="984" spans="1:16" x14ac:dyDescent="0.25">
      <c r="A984" t="s">
        <v>1003</v>
      </c>
      <c r="B984" t="s">
        <v>14</v>
      </c>
      <c r="C984" t="s">
        <v>12</v>
      </c>
      <c r="D984" s="1">
        <v>45553</v>
      </c>
      <c r="E984">
        <v>78744</v>
      </c>
      <c r="F984">
        <v>1038</v>
      </c>
      <c r="G984">
        <v>120</v>
      </c>
      <c r="H984" s="4">
        <v>2902.79</v>
      </c>
      <c r="I984" s="4">
        <v>6007.66</v>
      </c>
      <c r="J984" s="7">
        <f>Table1[[#This Row],[Clicks]]/Table1[[#This Row],[Impressions]]</f>
        <v>1.3181956720512039E-2</v>
      </c>
      <c r="K984" s="7">
        <f>IFERROR(Table1[[#This Row],[Conversions]]/Table1[[#This Row],[Clicks]],0)</f>
        <v>0.11560693641618497</v>
      </c>
      <c r="L984" s="6">
        <f>IF(Table1[[#This Row],[Conversions]]=0,0,Table1[[#This Row],[Ad Spend]]/Table1[[#This Row],[Conversions]])</f>
        <v>24.189916666666665</v>
      </c>
      <c r="M984" s="8">
        <f>IF(Table1[[#This Row],[Ad Spend]]=0,0,Table1[[#This Row],[Revenue]]/Table1[[#This Row],[Ad Spend]])</f>
        <v>2.0696157834359359</v>
      </c>
      <c r="N984">
        <f>YEAR(Table1[[#This Row],[Date]])</f>
        <v>2024</v>
      </c>
      <c r="O984" t="str">
        <f>TEXT(Table1[[#This Row],[Date]],"mmm")</f>
        <v>Sept</v>
      </c>
      <c r="P984">
        <f>MONTH(Table1[[#This Row],[Date]])</f>
        <v>9</v>
      </c>
    </row>
    <row r="985" spans="1:16" x14ac:dyDescent="0.25">
      <c r="A985" t="s">
        <v>1004</v>
      </c>
      <c r="B985" t="s">
        <v>21</v>
      </c>
      <c r="C985" t="s">
        <v>10</v>
      </c>
      <c r="D985" s="1">
        <v>45717</v>
      </c>
      <c r="E985">
        <v>41608</v>
      </c>
      <c r="F985">
        <v>2527</v>
      </c>
      <c r="G985">
        <v>378</v>
      </c>
      <c r="H985" s="4">
        <v>4415.74</v>
      </c>
      <c r="I985" s="4">
        <v>15530.14</v>
      </c>
      <c r="J985" s="7">
        <f>Table1[[#This Row],[Clicks]]/Table1[[#This Row],[Impressions]]</f>
        <v>6.073351278600269E-2</v>
      </c>
      <c r="K985" s="7">
        <f>IFERROR(Table1[[#This Row],[Conversions]]/Table1[[#This Row],[Clicks]],0)</f>
        <v>0.14958448753462603</v>
      </c>
      <c r="L985" s="6">
        <f>IF(Table1[[#This Row],[Conversions]]=0,0,Table1[[#This Row],[Ad Spend]]/Table1[[#This Row],[Conversions]])</f>
        <v>11.681851851851851</v>
      </c>
      <c r="M985" s="8">
        <f>IF(Table1[[#This Row],[Ad Spend]]=0,0,Table1[[#This Row],[Revenue]]/Table1[[#This Row],[Ad Spend]])</f>
        <v>3.5169960187873381</v>
      </c>
      <c r="N985">
        <f>YEAR(Table1[[#This Row],[Date]])</f>
        <v>2025</v>
      </c>
      <c r="O985" t="str">
        <f>TEXT(Table1[[#This Row],[Date]],"mmm")</f>
        <v>Mar</v>
      </c>
      <c r="P985">
        <f>MONTH(Table1[[#This Row],[Date]])</f>
        <v>3</v>
      </c>
    </row>
    <row r="986" spans="1:16" x14ac:dyDescent="0.25">
      <c r="A986" t="s">
        <v>1005</v>
      </c>
      <c r="B986" t="s">
        <v>47</v>
      </c>
      <c r="C986" t="s">
        <v>19</v>
      </c>
      <c r="D986" s="1">
        <v>45617</v>
      </c>
      <c r="E986">
        <v>73514</v>
      </c>
      <c r="F986">
        <v>5776</v>
      </c>
      <c r="G986">
        <v>646</v>
      </c>
      <c r="H986" s="4">
        <v>1510.46</v>
      </c>
      <c r="I986" s="4">
        <v>55703.1</v>
      </c>
      <c r="J986" s="7">
        <f>Table1[[#This Row],[Clicks]]/Table1[[#This Row],[Impressions]]</f>
        <v>7.8570068286312814E-2</v>
      </c>
      <c r="K986" s="7">
        <f>IFERROR(Table1[[#This Row],[Conversions]]/Table1[[#This Row],[Clicks]],0)</f>
        <v>0.1118421052631579</v>
      </c>
      <c r="L986" s="6">
        <f>IF(Table1[[#This Row],[Conversions]]=0,0,Table1[[#This Row],[Ad Spend]]/Table1[[#This Row],[Conversions]])</f>
        <v>2.3381733746130031</v>
      </c>
      <c r="M986" s="8">
        <f>IF(Table1[[#This Row],[Ad Spend]]=0,0,Table1[[#This Row],[Revenue]]/Table1[[#This Row],[Ad Spend]])</f>
        <v>36.878235769235857</v>
      </c>
      <c r="N986">
        <f>YEAR(Table1[[#This Row],[Date]])</f>
        <v>2024</v>
      </c>
      <c r="O986" t="str">
        <f>TEXT(Table1[[#This Row],[Date]],"mmm")</f>
        <v>Nov</v>
      </c>
      <c r="P986">
        <f>MONTH(Table1[[#This Row],[Date]])</f>
        <v>11</v>
      </c>
    </row>
    <row r="987" spans="1:16" x14ac:dyDescent="0.25">
      <c r="A987" t="s">
        <v>1006</v>
      </c>
      <c r="B987" t="s">
        <v>47</v>
      </c>
      <c r="C987" t="s">
        <v>19</v>
      </c>
      <c r="D987" s="1">
        <v>45399</v>
      </c>
      <c r="E987">
        <v>125533</v>
      </c>
      <c r="F987">
        <v>9682</v>
      </c>
      <c r="G987">
        <v>607</v>
      </c>
      <c r="H987" s="4">
        <v>4587.29</v>
      </c>
      <c r="I987" s="4">
        <v>20257.150000000001</v>
      </c>
      <c r="J987" s="7">
        <f>Table1[[#This Row],[Clicks]]/Table1[[#This Row],[Impressions]]</f>
        <v>7.7127129918029516E-2</v>
      </c>
      <c r="K987" s="7">
        <f>IFERROR(Table1[[#This Row],[Conversions]]/Table1[[#This Row],[Clicks]],0)</f>
        <v>6.2693658335054747E-2</v>
      </c>
      <c r="L987" s="6">
        <f>IF(Table1[[#This Row],[Conversions]]=0,0,Table1[[#This Row],[Ad Spend]]/Table1[[#This Row],[Conversions]])</f>
        <v>7.5573146622734759</v>
      </c>
      <c r="M987" s="8">
        <f>IF(Table1[[#This Row],[Ad Spend]]=0,0,Table1[[#This Row],[Revenue]]/Table1[[#This Row],[Ad Spend]])</f>
        <v>4.4159296665351446</v>
      </c>
      <c r="N987">
        <f>YEAR(Table1[[#This Row],[Date]])</f>
        <v>2024</v>
      </c>
      <c r="O987" t="str">
        <f>TEXT(Table1[[#This Row],[Date]],"mmm")</f>
        <v>Apr</v>
      </c>
      <c r="P987">
        <f>MONTH(Table1[[#This Row],[Date]])</f>
        <v>4</v>
      </c>
    </row>
    <row r="988" spans="1:16" x14ac:dyDescent="0.25">
      <c r="A988" t="s">
        <v>1007</v>
      </c>
      <c r="B988" t="s">
        <v>31</v>
      </c>
      <c r="C988" t="s">
        <v>12</v>
      </c>
      <c r="D988" s="1">
        <v>45535</v>
      </c>
      <c r="E988">
        <v>6121</v>
      </c>
      <c r="F988">
        <v>447</v>
      </c>
      <c r="G988">
        <v>48</v>
      </c>
      <c r="H988" s="4">
        <v>2183.1799999999998</v>
      </c>
      <c r="I988" s="4">
        <v>5257.29</v>
      </c>
      <c r="J988" s="7">
        <f>Table1[[#This Row],[Clicks]]/Table1[[#This Row],[Impressions]]</f>
        <v>7.3027283123672598E-2</v>
      </c>
      <c r="K988" s="7">
        <f>IFERROR(Table1[[#This Row],[Conversions]]/Table1[[#This Row],[Clicks]],0)</f>
        <v>0.10738255033557047</v>
      </c>
      <c r="L988" s="6">
        <f>IF(Table1[[#This Row],[Conversions]]=0,0,Table1[[#This Row],[Ad Spend]]/Table1[[#This Row],[Conversions]])</f>
        <v>45.482916666666661</v>
      </c>
      <c r="M988" s="8">
        <f>IF(Table1[[#This Row],[Ad Spend]]=0,0,Table1[[#This Row],[Revenue]]/Table1[[#This Row],[Ad Spend]])</f>
        <v>2.4080882016141594</v>
      </c>
      <c r="N988">
        <f>YEAR(Table1[[#This Row],[Date]])</f>
        <v>2024</v>
      </c>
      <c r="O988" t="str">
        <f>TEXT(Table1[[#This Row],[Date]],"mmm")</f>
        <v>Aug</v>
      </c>
      <c r="P988">
        <f>MONTH(Table1[[#This Row],[Date]])</f>
        <v>8</v>
      </c>
    </row>
    <row r="989" spans="1:16" x14ac:dyDescent="0.25">
      <c r="A989" t="s">
        <v>1008</v>
      </c>
      <c r="B989" t="s">
        <v>41</v>
      </c>
      <c r="C989" t="s">
        <v>17</v>
      </c>
      <c r="D989" s="1">
        <v>45567</v>
      </c>
      <c r="E989">
        <v>26272</v>
      </c>
      <c r="F989">
        <v>1710</v>
      </c>
      <c r="G989">
        <v>178</v>
      </c>
      <c r="H989" s="4">
        <v>572.11</v>
      </c>
      <c r="I989" s="4">
        <v>4110.87</v>
      </c>
      <c r="J989" s="7">
        <f>Table1[[#This Row],[Clicks]]/Table1[[#This Row],[Impressions]]</f>
        <v>6.5088306942752736E-2</v>
      </c>
      <c r="K989" s="7">
        <f>IFERROR(Table1[[#This Row],[Conversions]]/Table1[[#This Row],[Clicks]],0)</f>
        <v>0.10409356725146199</v>
      </c>
      <c r="L989" s="6">
        <f>IF(Table1[[#This Row],[Conversions]]=0,0,Table1[[#This Row],[Ad Spend]]/Table1[[#This Row],[Conversions]])</f>
        <v>3.2141011235955057</v>
      </c>
      <c r="M989" s="8">
        <f>IF(Table1[[#This Row],[Ad Spend]]=0,0,Table1[[#This Row],[Revenue]]/Table1[[#This Row],[Ad Spend]])</f>
        <v>7.1854538462883006</v>
      </c>
      <c r="N989">
        <f>YEAR(Table1[[#This Row],[Date]])</f>
        <v>2024</v>
      </c>
      <c r="O989" t="str">
        <f>TEXT(Table1[[#This Row],[Date]],"mmm")</f>
        <v>Oct</v>
      </c>
      <c r="P989">
        <f>MONTH(Table1[[#This Row],[Date]])</f>
        <v>10</v>
      </c>
    </row>
    <row r="990" spans="1:16" x14ac:dyDescent="0.25">
      <c r="A990" t="s">
        <v>1009</v>
      </c>
      <c r="B990" t="s">
        <v>41</v>
      </c>
      <c r="C990" t="s">
        <v>10</v>
      </c>
      <c r="D990" s="1">
        <v>45472</v>
      </c>
      <c r="E990">
        <v>103664</v>
      </c>
      <c r="F990">
        <v>7041</v>
      </c>
      <c r="G990">
        <v>468</v>
      </c>
      <c r="H990" s="4">
        <v>1050.5</v>
      </c>
      <c r="I990" s="4">
        <v>45300.800000000003</v>
      </c>
      <c r="J990" s="7">
        <f>Table1[[#This Row],[Clicks]]/Table1[[#This Row],[Impressions]]</f>
        <v>6.7921361321191545E-2</v>
      </c>
      <c r="K990" s="7">
        <f>IFERROR(Table1[[#This Row],[Conversions]]/Table1[[#This Row],[Clicks]],0)</f>
        <v>6.6467831273966771E-2</v>
      </c>
      <c r="L990" s="6">
        <f>IF(Table1[[#This Row],[Conversions]]=0,0,Table1[[#This Row],[Ad Spend]]/Table1[[#This Row],[Conversions]])</f>
        <v>2.2446581196581197</v>
      </c>
      <c r="M990" s="8">
        <f>IF(Table1[[#This Row],[Ad Spend]]=0,0,Table1[[#This Row],[Revenue]]/Table1[[#This Row],[Ad Spend]])</f>
        <v>43.12308424559734</v>
      </c>
      <c r="N990">
        <f>YEAR(Table1[[#This Row],[Date]])</f>
        <v>2024</v>
      </c>
      <c r="O990" t="str">
        <f>TEXT(Table1[[#This Row],[Date]],"mmm")</f>
        <v>Jun</v>
      </c>
      <c r="P990">
        <f>MONTH(Table1[[#This Row],[Date]])</f>
        <v>6</v>
      </c>
    </row>
    <row r="991" spans="1:16" x14ac:dyDescent="0.25">
      <c r="A991" t="s">
        <v>1010</v>
      </c>
      <c r="B991" t="s">
        <v>31</v>
      </c>
      <c r="C991" t="s">
        <v>10</v>
      </c>
      <c r="D991" s="1">
        <v>45528</v>
      </c>
      <c r="E991">
        <v>102119</v>
      </c>
      <c r="F991">
        <v>7713</v>
      </c>
      <c r="G991">
        <v>600</v>
      </c>
      <c r="H991" s="4">
        <v>1263.3</v>
      </c>
      <c r="I991" s="4">
        <v>13186.9</v>
      </c>
      <c r="J991" s="7">
        <f>Table1[[#This Row],[Clicks]]/Table1[[#This Row],[Impressions]]</f>
        <v>7.5529529274669743E-2</v>
      </c>
      <c r="K991" s="7">
        <f>IFERROR(Table1[[#This Row],[Conversions]]/Table1[[#This Row],[Clicks]],0)</f>
        <v>7.7790742901594712E-2</v>
      </c>
      <c r="L991" s="6">
        <f>IF(Table1[[#This Row],[Conversions]]=0,0,Table1[[#This Row],[Ad Spend]]/Table1[[#This Row],[Conversions]])</f>
        <v>2.1054999999999997</v>
      </c>
      <c r="M991" s="8">
        <f>IF(Table1[[#This Row],[Ad Spend]]=0,0,Table1[[#This Row],[Revenue]]/Table1[[#This Row],[Ad Spend]])</f>
        <v>10.43845484049711</v>
      </c>
      <c r="N991">
        <f>YEAR(Table1[[#This Row],[Date]])</f>
        <v>2024</v>
      </c>
      <c r="O991" t="str">
        <f>TEXT(Table1[[#This Row],[Date]],"mmm")</f>
        <v>Aug</v>
      </c>
      <c r="P991">
        <f>MONTH(Table1[[#This Row],[Date]])</f>
        <v>8</v>
      </c>
    </row>
    <row r="992" spans="1:16" x14ac:dyDescent="0.25">
      <c r="A992" t="s">
        <v>1011</v>
      </c>
      <c r="B992" t="s">
        <v>34</v>
      </c>
      <c r="C992" t="s">
        <v>19</v>
      </c>
      <c r="D992" s="1">
        <v>45390</v>
      </c>
      <c r="E992">
        <v>28584</v>
      </c>
      <c r="F992">
        <v>1919</v>
      </c>
      <c r="G992">
        <v>194</v>
      </c>
      <c r="H992" s="4">
        <v>4080.39</v>
      </c>
      <c r="I992" s="4">
        <v>8170.27</v>
      </c>
      <c r="J992" s="7">
        <f>Table1[[#This Row],[Clicks]]/Table1[[#This Row],[Impressions]]</f>
        <v>6.7135460397425128E-2</v>
      </c>
      <c r="K992" s="7">
        <f>IFERROR(Table1[[#This Row],[Conversions]]/Table1[[#This Row],[Clicks]],0)</f>
        <v>0.10109431995831163</v>
      </c>
      <c r="L992" s="6">
        <f>IF(Table1[[#This Row],[Conversions]]=0,0,Table1[[#This Row],[Ad Spend]]/Table1[[#This Row],[Conversions]])</f>
        <v>21.032938144329897</v>
      </c>
      <c r="M992" s="8">
        <f>IF(Table1[[#This Row],[Ad Spend]]=0,0,Table1[[#This Row],[Revenue]]/Table1[[#This Row],[Ad Spend]])</f>
        <v>2.0023257580770468</v>
      </c>
      <c r="N992">
        <f>YEAR(Table1[[#This Row],[Date]])</f>
        <v>2024</v>
      </c>
      <c r="O992" t="str">
        <f>TEXT(Table1[[#This Row],[Date]],"mmm")</f>
        <v>Apr</v>
      </c>
      <c r="P992">
        <f>MONTH(Table1[[#This Row],[Date]])</f>
        <v>4</v>
      </c>
    </row>
    <row r="993" spans="1:16" x14ac:dyDescent="0.25">
      <c r="A993" t="s">
        <v>1012</v>
      </c>
      <c r="B993" t="s">
        <v>41</v>
      </c>
      <c r="C993" t="s">
        <v>19</v>
      </c>
      <c r="D993" s="1">
        <v>45310</v>
      </c>
      <c r="E993">
        <v>78598</v>
      </c>
      <c r="F993">
        <v>3497</v>
      </c>
      <c r="G993">
        <v>390</v>
      </c>
      <c r="H993" s="4">
        <v>3108.93</v>
      </c>
      <c r="I993" s="4">
        <v>8078.28</v>
      </c>
      <c r="J993" s="7">
        <f>Table1[[#This Row],[Clicks]]/Table1[[#This Row],[Impressions]]</f>
        <v>4.4492226265299369E-2</v>
      </c>
      <c r="K993" s="7">
        <f>IFERROR(Table1[[#This Row],[Conversions]]/Table1[[#This Row],[Clicks]],0)</f>
        <v>0.11152416356877323</v>
      </c>
      <c r="L993" s="6">
        <f>IF(Table1[[#This Row],[Conversions]]=0,0,Table1[[#This Row],[Ad Spend]]/Table1[[#This Row],[Conversions]])</f>
        <v>7.9716153846153839</v>
      </c>
      <c r="M993" s="8">
        <f>IF(Table1[[#This Row],[Ad Spend]]=0,0,Table1[[#This Row],[Revenue]]/Table1[[#This Row],[Ad Spend]])</f>
        <v>2.5984116721830341</v>
      </c>
      <c r="N993">
        <f>YEAR(Table1[[#This Row],[Date]])</f>
        <v>2024</v>
      </c>
      <c r="O993" t="str">
        <f>TEXT(Table1[[#This Row],[Date]],"mmm")</f>
        <v>Jan</v>
      </c>
      <c r="P993">
        <f>MONTH(Table1[[#This Row],[Date]])</f>
        <v>1</v>
      </c>
    </row>
    <row r="994" spans="1:16" x14ac:dyDescent="0.25">
      <c r="A994" t="s">
        <v>1013</v>
      </c>
      <c r="B994" t="s">
        <v>21</v>
      </c>
      <c r="C994" t="s">
        <v>10</v>
      </c>
      <c r="D994" s="1">
        <v>45434</v>
      </c>
      <c r="E994">
        <v>136157</v>
      </c>
      <c r="F994">
        <v>6069</v>
      </c>
      <c r="G994">
        <v>556</v>
      </c>
      <c r="H994" s="4">
        <v>3367.22</v>
      </c>
      <c r="I994" s="4">
        <v>42573.31</v>
      </c>
      <c r="J994" s="7">
        <f>Table1[[#This Row],[Clicks]]/Table1[[#This Row],[Impressions]]</f>
        <v>4.4573543776669583E-2</v>
      </c>
      <c r="K994" s="7">
        <f>IFERROR(Table1[[#This Row],[Conversions]]/Table1[[#This Row],[Clicks]],0)</f>
        <v>9.1613115834569117E-2</v>
      </c>
      <c r="L994" s="6">
        <f>IF(Table1[[#This Row],[Conversions]]=0,0,Table1[[#This Row],[Ad Spend]]/Table1[[#This Row],[Conversions]])</f>
        <v>6.0561510791366899</v>
      </c>
      <c r="M994" s="8">
        <f>IF(Table1[[#This Row],[Ad Spend]]=0,0,Table1[[#This Row],[Revenue]]/Table1[[#This Row],[Ad Spend]])</f>
        <v>12.643459589809991</v>
      </c>
      <c r="N994">
        <f>YEAR(Table1[[#This Row],[Date]])</f>
        <v>2024</v>
      </c>
      <c r="O994" t="str">
        <f>TEXT(Table1[[#This Row],[Date]],"mmm")</f>
        <v>May</v>
      </c>
      <c r="P994">
        <f>MONTH(Table1[[#This Row],[Date]])</f>
        <v>5</v>
      </c>
    </row>
    <row r="995" spans="1:16" x14ac:dyDescent="0.25">
      <c r="A995" t="s">
        <v>1014</v>
      </c>
      <c r="B995" t="s">
        <v>16</v>
      </c>
      <c r="C995" t="s">
        <v>10</v>
      </c>
      <c r="D995" s="1">
        <v>45593</v>
      </c>
      <c r="E995">
        <v>38619</v>
      </c>
      <c r="F995">
        <v>2402</v>
      </c>
      <c r="G995">
        <v>87</v>
      </c>
      <c r="H995" s="4">
        <v>4681.1000000000004</v>
      </c>
      <c r="I995" s="4">
        <v>9182.67</v>
      </c>
      <c r="J995" s="7">
        <f>Table1[[#This Row],[Clicks]]/Table1[[#This Row],[Impressions]]</f>
        <v>6.2197363991817502E-2</v>
      </c>
      <c r="K995" s="7">
        <f>IFERROR(Table1[[#This Row],[Conversions]]/Table1[[#This Row],[Clicks]],0)</f>
        <v>3.6219816819317234E-2</v>
      </c>
      <c r="L995" s="6">
        <f>IF(Table1[[#This Row],[Conversions]]=0,0,Table1[[#This Row],[Ad Spend]]/Table1[[#This Row],[Conversions]])</f>
        <v>53.805747126436785</v>
      </c>
      <c r="M995" s="8">
        <f>IF(Table1[[#This Row],[Ad Spend]]=0,0,Table1[[#This Row],[Revenue]]/Table1[[#This Row],[Ad Spend]])</f>
        <v>1.9616479032705987</v>
      </c>
      <c r="N995">
        <f>YEAR(Table1[[#This Row],[Date]])</f>
        <v>2024</v>
      </c>
      <c r="O995" t="str">
        <f>TEXT(Table1[[#This Row],[Date]],"mmm")</f>
        <v>Oct</v>
      </c>
      <c r="P995">
        <f>MONTH(Table1[[#This Row],[Date]])</f>
        <v>10</v>
      </c>
    </row>
    <row r="996" spans="1:16" x14ac:dyDescent="0.25">
      <c r="A996" t="s">
        <v>1015</v>
      </c>
      <c r="B996" t="s">
        <v>34</v>
      </c>
      <c r="C996" t="s">
        <v>37</v>
      </c>
      <c r="D996" s="1">
        <v>45639</v>
      </c>
      <c r="E996">
        <v>11060</v>
      </c>
      <c r="F996">
        <v>878</v>
      </c>
      <c r="G996">
        <v>96</v>
      </c>
      <c r="H996" s="4">
        <v>2758.12</v>
      </c>
      <c r="I996" s="4">
        <v>4348.04</v>
      </c>
      <c r="J996" s="7">
        <f>Table1[[#This Row],[Clicks]]/Table1[[#This Row],[Impressions]]</f>
        <v>7.9385171790235076E-2</v>
      </c>
      <c r="K996" s="7">
        <f>IFERROR(Table1[[#This Row],[Conversions]]/Table1[[#This Row],[Clicks]],0)</f>
        <v>0.10933940774487472</v>
      </c>
      <c r="L996" s="6">
        <f>IF(Table1[[#This Row],[Conversions]]=0,0,Table1[[#This Row],[Ad Spend]]/Table1[[#This Row],[Conversions]])</f>
        <v>28.730416666666667</v>
      </c>
      <c r="M996" s="8">
        <f>IF(Table1[[#This Row],[Ad Spend]]=0,0,Table1[[#This Row],[Revenue]]/Table1[[#This Row],[Ad Spend]])</f>
        <v>1.5764506257885806</v>
      </c>
      <c r="N996">
        <f>YEAR(Table1[[#This Row],[Date]])</f>
        <v>2024</v>
      </c>
      <c r="O996" t="str">
        <f>TEXT(Table1[[#This Row],[Date]],"mmm")</f>
        <v>Dec</v>
      </c>
      <c r="P996">
        <f>MONTH(Table1[[#This Row],[Date]])</f>
        <v>12</v>
      </c>
    </row>
    <row r="997" spans="1:16" x14ac:dyDescent="0.25">
      <c r="A997" t="s">
        <v>1016</v>
      </c>
      <c r="B997" t="s">
        <v>41</v>
      </c>
      <c r="C997" t="s">
        <v>10</v>
      </c>
      <c r="D997" s="1">
        <v>45510</v>
      </c>
      <c r="E997">
        <v>18595</v>
      </c>
      <c r="F997">
        <v>1297</v>
      </c>
      <c r="G997">
        <v>80</v>
      </c>
      <c r="H997" s="4">
        <v>4252.84</v>
      </c>
      <c r="I997" s="4">
        <v>4855.01</v>
      </c>
      <c r="J997" s="7">
        <f>Table1[[#This Row],[Clicks]]/Table1[[#This Row],[Impressions]]</f>
        <v>6.9749932777628393E-2</v>
      </c>
      <c r="K997" s="7">
        <f>IFERROR(Table1[[#This Row],[Conversions]]/Table1[[#This Row],[Clicks]],0)</f>
        <v>6.1680801850424058E-2</v>
      </c>
      <c r="L997" s="6">
        <f>IF(Table1[[#This Row],[Conversions]]=0,0,Table1[[#This Row],[Ad Spend]]/Table1[[#This Row],[Conversions]])</f>
        <v>53.160499999999999</v>
      </c>
      <c r="M997" s="8">
        <f>IF(Table1[[#This Row],[Ad Spend]]=0,0,Table1[[#This Row],[Revenue]]/Table1[[#This Row],[Ad Spend]])</f>
        <v>1.1415924417565675</v>
      </c>
      <c r="N997">
        <f>YEAR(Table1[[#This Row],[Date]])</f>
        <v>2024</v>
      </c>
      <c r="O997" t="str">
        <f>TEXT(Table1[[#This Row],[Date]],"mmm")</f>
        <v>Aug</v>
      </c>
      <c r="P997">
        <f>MONTH(Table1[[#This Row],[Date]])</f>
        <v>8</v>
      </c>
    </row>
    <row r="998" spans="1:16" x14ac:dyDescent="0.25">
      <c r="A998" t="s">
        <v>1017</v>
      </c>
      <c r="B998" t="s">
        <v>9</v>
      </c>
      <c r="C998" t="s">
        <v>12</v>
      </c>
      <c r="D998" s="1">
        <v>45530</v>
      </c>
      <c r="E998">
        <v>134911</v>
      </c>
      <c r="F998">
        <v>4762</v>
      </c>
      <c r="G998">
        <v>565</v>
      </c>
      <c r="H998" s="4">
        <v>4442.25</v>
      </c>
      <c r="I998" s="4">
        <v>23986.97</v>
      </c>
      <c r="J998" s="7">
        <f>Table1[[#This Row],[Clicks]]/Table1[[#This Row],[Impressions]]</f>
        <v>3.5297344175048734E-2</v>
      </c>
      <c r="K998" s="7">
        <f>IFERROR(Table1[[#This Row],[Conversions]]/Table1[[#This Row],[Clicks]],0)</f>
        <v>0.11864762704745906</v>
      </c>
      <c r="L998" s="6">
        <f>IF(Table1[[#This Row],[Conversions]]=0,0,Table1[[#This Row],[Ad Spend]]/Table1[[#This Row],[Conversions]])</f>
        <v>7.8623893805309732</v>
      </c>
      <c r="M998" s="8">
        <f>IF(Table1[[#This Row],[Ad Spend]]=0,0,Table1[[#This Row],[Revenue]]/Table1[[#This Row],[Ad Spend]])</f>
        <v>5.3997343688446175</v>
      </c>
      <c r="N998">
        <f>YEAR(Table1[[#This Row],[Date]])</f>
        <v>2024</v>
      </c>
      <c r="O998" t="str">
        <f>TEXT(Table1[[#This Row],[Date]],"mmm")</f>
        <v>Aug</v>
      </c>
      <c r="P998">
        <f>MONTH(Table1[[#This Row],[Date]])</f>
        <v>8</v>
      </c>
    </row>
    <row r="999" spans="1:16" x14ac:dyDescent="0.25">
      <c r="A999" t="s">
        <v>1018</v>
      </c>
      <c r="B999" t="s">
        <v>34</v>
      </c>
      <c r="C999" t="s">
        <v>17</v>
      </c>
      <c r="D999" s="1">
        <v>45564</v>
      </c>
      <c r="E999">
        <v>122666</v>
      </c>
      <c r="F999">
        <v>3942</v>
      </c>
      <c r="G999">
        <v>279</v>
      </c>
      <c r="H999" s="4">
        <v>1806.59</v>
      </c>
      <c r="I999" s="4">
        <v>30134.75</v>
      </c>
      <c r="J999" s="7">
        <f>Table1[[#This Row],[Clicks]]/Table1[[#This Row],[Impressions]]</f>
        <v>3.2136044217631617E-2</v>
      </c>
      <c r="K999" s="7">
        <f>IFERROR(Table1[[#This Row],[Conversions]]/Table1[[#This Row],[Clicks]],0)</f>
        <v>7.0776255707762553E-2</v>
      </c>
      <c r="L999" s="6">
        <f>IF(Table1[[#This Row],[Conversions]]=0,0,Table1[[#This Row],[Ad Spend]]/Table1[[#This Row],[Conversions]])</f>
        <v>6.4752329749103943</v>
      </c>
      <c r="M999" s="8">
        <f>IF(Table1[[#This Row],[Ad Spend]]=0,0,Table1[[#This Row],[Revenue]]/Table1[[#This Row],[Ad Spend]])</f>
        <v>16.680458764855334</v>
      </c>
      <c r="N999">
        <f>YEAR(Table1[[#This Row],[Date]])</f>
        <v>2024</v>
      </c>
      <c r="O999" t="str">
        <f>TEXT(Table1[[#This Row],[Date]],"mmm")</f>
        <v>Sept</v>
      </c>
      <c r="P999">
        <f>MONTH(Table1[[#This Row],[Date]])</f>
        <v>9</v>
      </c>
    </row>
    <row r="1000" spans="1:16" x14ac:dyDescent="0.25">
      <c r="A1000" t="s">
        <v>1019</v>
      </c>
      <c r="B1000" t="s">
        <v>31</v>
      </c>
      <c r="C1000" t="s">
        <v>37</v>
      </c>
      <c r="D1000" s="1">
        <v>45645</v>
      </c>
      <c r="E1000">
        <v>116101</v>
      </c>
      <c r="F1000">
        <v>8944</v>
      </c>
      <c r="G1000">
        <v>1245</v>
      </c>
      <c r="H1000" s="4">
        <v>1145.01</v>
      </c>
      <c r="I1000" s="4">
        <v>65888.47</v>
      </c>
      <c r="J1000" s="7">
        <f>Table1[[#This Row],[Clicks]]/Table1[[#This Row],[Impressions]]</f>
        <v>7.7036373502381544E-2</v>
      </c>
      <c r="K1000" s="7">
        <f>IFERROR(Table1[[#This Row],[Conversions]]/Table1[[#This Row],[Clicks]],0)</f>
        <v>0.13919946332737029</v>
      </c>
      <c r="L1000" s="6">
        <f>IF(Table1[[#This Row],[Conversions]]=0,0,Table1[[#This Row],[Ad Spend]]/Table1[[#This Row],[Conversions]])</f>
        <v>0.91968674698795183</v>
      </c>
      <c r="M1000" s="8">
        <f>IF(Table1[[#This Row],[Ad Spend]]=0,0,Table1[[#This Row],[Revenue]]/Table1[[#This Row],[Ad Spend]])</f>
        <v>57.544012716046147</v>
      </c>
      <c r="N1000">
        <f>YEAR(Table1[[#This Row],[Date]])</f>
        <v>2024</v>
      </c>
      <c r="O1000" t="str">
        <f>TEXT(Table1[[#This Row],[Date]],"mmm")</f>
        <v>Dec</v>
      </c>
      <c r="P1000">
        <f>MONTH(Table1[[#This Row],[Date]])</f>
        <v>12</v>
      </c>
    </row>
    <row r="1001" spans="1:16" x14ac:dyDescent="0.25">
      <c r="A1001" t="s">
        <v>1020</v>
      </c>
      <c r="B1001" t="s">
        <v>9</v>
      </c>
      <c r="C1001" t="s">
        <v>10</v>
      </c>
      <c r="D1001" s="1">
        <v>45306</v>
      </c>
      <c r="E1001">
        <v>130820</v>
      </c>
      <c r="F1001">
        <v>5263</v>
      </c>
      <c r="G1001">
        <v>121</v>
      </c>
      <c r="H1001" s="4">
        <v>4026.66</v>
      </c>
      <c r="I1001" s="4">
        <v>13734.24</v>
      </c>
      <c r="J1001" s="7">
        <f>Table1[[#This Row],[Clicks]]/Table1[[#This Row],[Impressions]]</f>
        <v>4.0230851551750497E-2</v>
      </c>
      <c r="K1001" s="7">
        <f>IFERROR(Table1[[#This Row],[Conversions]]/Table1[[#This Row],[Clicks]],0)</f>
        <v>2.2990689720691619E-2</v>
      </c>
      <c r="L1001" s="6">
        <f>IF(Table1[[#This Row],[Conversions]]=0,0,Table1[[#This Row],[Ad Spend]]/Table1[[#This Row],[Conversions]])</f>
        <v>33.278181818181814</v>
      </c>
      <c r="M1001" s="8">
        <f>IF(Table1[[#This Row],[Ad Spend]]=0,0,Table1[[#This Row],[Revenue]]/Table1[[#This Row],[Ad Spend]])</f>
        <v>3.4108268391172833</v>
      </c>
      <c r="N1001">
        <f>YEAR(Table1[[#This Row],[Date]])</f>
        <v>2024</v>
      </c>
      <c r="O1001" t="str">
        <f>TEXT(Table1[[#This Row],[Date]],"mmm")</f>
        <v>Jan</v>
      </c>
      <c r="P1001">
        <f>MONTH(Table1[[#This Row],[Date]])</f>
        <v>1</v>
      </c>
    </row>
    <row r="1002" spans="1:16" x14ac:dyDescent="0.25">
      <c r="A1002" t="s">
        <v>1021</v>
      </c>
      <c r="B1002" t="s">
        <v>34</v>
      </c>
      <c r="C1002" t="s">
        <v>37</v>
      </c>
      <c r="D1002" s="1">
        <v>45347</v>
      </c>
      <c r="E1002">
        <v>129145</v>
      </c>
      <c r="F1002">
        <v>3446</v>
      </c>
      <c r="G1002">
        <v>221</v>
      </c>
      <c r="H1002" s="4">
        <v>461.28</v>
      </c>
      <c r="I1002" s="4">
        <v>11792.3</v>
      </c>
      <c r="J1002" s="7">
        <f>Table1[[#This Row],[Clicks]]/Table1[[#This Row],[Impressions]]</f>
        <v>2.6683185566611173E-2</v>
      </c>
      <c r="K1002" s="7">
        <f>IFERROR(Table1[[#This Row],[Conversions]]/Table1[[#This Row],[Clicks]],0)</f>
        <v>6.4132327336041794E-2</v>
      </c>
      <c r="L1002" s="6">
        <f>IF(Table1[[#This Row],[Conversions]]=0,0,Table1[[#This Row],[Ad Spend]]/Table1[[#This Row],[Conversions]])</f>
        <v>2.0872398190045249</v>
      </c>
      <c r="M1002" s="8">
        <f>IF(Table1[[#This Row],[Ad Spend]]=0,0,Table1[[#This Row],[Revenue]]/Table1[[#This Row],[Ad Spend]])</f>
        <v>25.564299340964272</v>
      </c>
      <c r="N1002">
        <f>YEAR(Table1[[#This Row],[Date]])</f>
        <v>2024</v>
      </c>
      <c r="O1002" t="str">
        <f>TEXT(Table1[[#This Row],[Date]],"mmm")</f>
        <v>Feb</v>
      </c>
      <c r="P1002">
        <f>MONTH(Table1[[#This Row],[Date]])</f>
        <v>2</v>
      </c>
    </row>
    <row r="1003" spans="1:16" x14ac:dyDescent="0.25">
      <c r="A1003" t="s">
        <v>1022</v>
      </c>
      <c r="B1003" t="s">
        <v>14</v>
      </c>
      <c r="C1003" t="s">
        <v>10</v>
      </c>
      <c r="D1003" s="1">
        <v>45689</v>
      </c>
      <c r="E1003">
        <v>119957</v>
      </c>
      <c r="F1003">
        <v>7615</v>
      </c>
      <c r="G1003">
        <v>771</v>
      </c>
      <c r="H1003" s="4">
        <v>2978.89</v>
      </c>
      <c r="I1003" s="4">
        <v>22014.73</v>
      </c>
      <c r="J1003" s="7">
        <f>Table1[[#This Row],[Clicks]]/Table1[[#This Row],[Impressions]]</f>
        <v>6.348108072059154E-2</v>
      </c>
      <c r="K1003" s="7">
        <f>IFERROR(Table1[[#This Row],[Conversions]]/Table1[[#This Row],[Clicks]],0)</f>
        <v>0.10124753775443204</v>
      </c>
      <c r="L1003" s="6">
        <f>IF(Table1[[#This Row],[Conversions]]=0,0,Table1[[#This Row],[Ad Spend]]/Table1[[#This Row],[Conversions]])</f>
        <v>3.8636705577172501</v>
      </c>
      <c r="M1003" s="8">
        <f>IF(Table1[[#This Row],[Ad Spend]]=0,0,Table1[[#This Row],[Revenue]]/Table1[[#This Row],[Ad Spend]])</f>
        <v>7.3902460312398244</v>
      </c>
      <c r="N1003">
        <f>YEAR(Table1[[#This Row],[Date]])</f>
        <v>2025</v>
      </c>
      <c r="O1003" t="str">
        <f>TEXT(Table1[[#This Row],[Date]],"mmm")</f>
        <v>Feb</v>
      </c>
      <c r="P1003">
        <f>MONTH(Table1[[#This Row],[Date]])</f>
        <v>2</v>
      </c>
    </row>
    <row r="1004" spans="1:16" x14ac:dyDescent="0.25">
      <c r="A1004" t="s">
        <v>1023</v>
      </c>
      <c r="B1004" t="s">
        <v>31</v>
      </c>
      <c r="C1004" t="s">
        <v>10</v>
      </c>
      <c r="D1004" s="1">
        <v>45485</v>
      </c>
      <c r="E1004">
        <v>87124</v>
      </c>
      <c r="F1004">
        <v>6299</v>
      </c>
      <c r="G1004">
        <v>693</v>
      </c>
      <c r="H1004" s="4">
        <v>3956.7</v>
      </c>
      <c r="I1004" s="4">
        <v>18156.75</v>
      </c>
      <c r="J1004" s="7">
        <f>Table1[[#This Row],[Clicks]]/Table1[[#This Row],[Impressions]]</f>
        <v>7.2299251641338783E-2</v>
      </c>
      <c r="K1004" s="7">
        <f>IFERROR(Table1[[#This Row],[Conversions]]/Table1[[#This Row],[Clicks]],0)</f>
        <v>0.11001746308937926</v>
      </c>
      <c r="L1004" s="6">
        <f>IF(Table1[[#This Row],[Conversions]]=0,0,Table1[[#This Row],[Ad Spend]]/Table1[[#This Row],[Conversions]])</f>
        <v>5.7095238095238097</v>
      </c>
      <c r="M1004" s="8">
        <f>IF(Table1[[#This Row],[Ad Spend]]=0,0,Table1[[#This Row],[Revenue]]/Table1[[#This Row],[Ad Spend]])</f>
        <v>4.5888619303965426</v>
      </c>
      <c r="N1004">
        <f>YEAR(Table1[[#This Row],[Date]])</f>
        <v>2024</v>
      </c>
      <c r="O1004" t="str">
        <f>TEXT(Table1[[#This Row],[Date]],"mmm")</f>
        <v>Jul</v>
      </c>
      <c r="P1004">
        <f>MONTH(Table1[[#This Row],[Date]])</f>
        <v>7</v>
      </c>
    </row>
    <row r="1005" spans="1:16" x14ac:dyDescent="0.25">
      <c r="A1005" t="s">
        <v>1024</v>
      </c>
      <c r="B1005" t="s">
        <v>41</v>
      </c>
      <c r="C1005" t="s">
        <v>10</v>
      </c>
      <c r="D1005" s="1">
        <v>45446</v>
      </c>
      <c r="E1005">
        <v>118204</v>
      </c>
      <c r="F1005">
        <v>1726</v>
      </c>
      <c r="G1005">
        <v>186</v>
      </c>
      <c r="H1005" s="4">
        <v>2884.44</v>
      </c>
      <c r="I1005" s="4">
        <v>9205.4500000000007</v>
      </c>
      <c r="J1005" s="7">
        <f>Table1[[#This Row],[Clicks]]/Table1[[#This Row],[Impressions]]</f>
        <v>1.4601874725051606E-2</v>
      </c>
      <c r="K1005" s="7">
        <f>IFERROR(Table1[[#This Row],[Conversions]]/Table1[[#This Row],[Clicks]],0)</f>
        <v>0.10776361529548088</v>
      </c>
      <c r="L1005" s="6">
        <f>IF(Table1[[#This Row],[Conversions]]=0,0,Table1[[#This Row],[Ad Spend]]/Table1[[#This Row],[Conversions]])</f>
        <v>15.507741935483871</v>
      </c>
      <c r="M1005" s="8">
        <f>IF(Table1[[#This Row],[Ad Spend]]=0,0,Table1[[#This Row],[Revenue]]/Table1[[#This Row],[Ad Spend]])</f>
        <v>3.191416704802319</v>
      </c>
      <c r="N1005">
        <f>YEAR(Table1[[#This Row],[Date]])</f>
        <v>2024</v>
      </c>
      <c r="O1005" t="str">
        <f>TEXT(Table1[[#This Row],[Date]],"mmm")</f>
        <v>Jun</v>
      </c>
      <c r="P1005">
        <f>MONTH(Table1[[#This Row],[Date]])</f>
        <v>6</v>
      </c>
    </row>
    <row r="1006" spans="1:16" x14ac:dyDescent="0.25">
      <c r="A1006" t="s">
        <v>1025</v>
      </c>
      <c r="B1006" t="s">
        <v>21</v>
      </c>
      <c r="C1006" t="s">
        <v>17</v>
      </c>
      <c r="D1006" s="1">
        <v>45341</v>
      </c>
      <c r="E1006">
        <v>112769</v>
      </c>
      <c r="F1006">
        <v>2967</v>
      </c>
      <c r="G1006">
        <v>290</v>
      </c>
      <c r="H1006" s="4">
        <v>3366.68</v>
      </c>
      <c r="I1006" s="4">
        <v>6107.59</v>
      </c>
      <c r="J1006" s="7">
        <f>Table1[[#This Row],[Clicks]]/Table1[[#This Row],[Impressions]]</f>
        <v>2.6310422190495616E-2</v>
      </c>
      <c r="K1006" s="7">
        <f>IFERROR(Table1[[#This Row],[Conversions]]/Table1[[#This Row],[Clicks]],0)</f>
        <v>9.7741826761038084E-2</v>
      </c>
      <c r="L1006" s="6">
        <f>IF(Table1[[#This Row],[Conversions]]=0,0,Table1[[#This Row],[Ad Spend]]/Table1[[#This Row],[Conversions]])</f>
        <v>11.609241379310344</v>
      </c>
      <c r="M1006" s="8">
        <f>IF(Table1[[#This Row],[Ad Spend]]=0,0,Table1[[#This Row],[Revenue]]/Table1[[#This Row],[Ad Spend]])</f>
        <v>1.8141284588971927</v>
      </c>
      <c r="N1006">
        <f>YEAR(Table1[[#This Row],[Date]])</f>
        <v>2024</v>
      </c>
      <c r="O1006" t="str">
        <f>TEXT(Table1[[#This Row],[Date]],"mmm")</f>
        <v>Feb</v>
      </c>
      <c r="P1006">
        <f>MONTH(Table1[[#This Row],[Date]])</f>
        <v>2</v>
      </c>
    </row>
    <row r="1007" spans="1:16" x14ac:dyDescent="0.25">
      <c r="A1007" t="s">
        <v>1026</v>
      </c>
      <c r="B1007" t="s">
        <v>21</v>
      </c>
      <c r="C1007" t="s">
        <v>17</v>
      </c>
      <c r="D1007" s="1">
        <v>45699</v>
      </c>
      <c r="E1007">
        <v>117225</v>
      </c>
      <c r="F1007">
        <v>8392</v>
      </c>
      <c r="G1007">
        <v>843</v>
      </c>
      <c r="H1007" s="4">
        <v>1830.16</v>
      </c>
      <c r="I1007" s="4">
        <v>95898.4</v>
      </c>
      <c r="J1007" s="7">
        <f>Table1[[#This Row],[Clicks]]/Table1[[#This Row],[Impressions]]</f>
        <v>7.1588824909362331E-2</v>
      </c>
      <c r="K1007" s="7">
        <f>IFERROR(Table1[[#This Row],[Conversions]]/Table1[[#This Row],[Clicks]],0)</f>
        <v>0.10045281220209723</v>
      </c>
      <c r="L1007" s="6">
        <f>IF(Table1[[#This Row],[Conversions]]=0,0,Table1[[#This Row],[Ad Spend]]/Table1[[#This Row],[Conversions]])</f>
        <v>2.1710083036773429</v>
      </c>
      <c r="M1007" s="8">
        <f>IF(Table1[[#This Row],[Ad Spend]]=0,0,Table1[[#This Row],[Revenue]]/Table1[[#This Row],[Ad Spend]])</f>
        <v>52.398915941775577</v>
      </c>
      <c r="N1007">
        <f>YEAR(Table1[[#This Row],[Date]])</f>
        <v>2025</v>
      </c>
      <c r="O1007" t="str">
        <f>TEXT(Table1[[#This Row],[Date]],"mmm")</f>
        <v>Feb</v>
      </c>
      <c r="P1007">
        <f>MONTH(Table1[[#This Row],[Date]])</f>
        <v>2</v>
      </c>
    </row>
    <row r="1008" spans="1:16" x14ac:dyDescent="0.25">
      <c r="A1008" t="s">
        <v>1027</v>
      </c>
      <c r="B1008" t="s">
        <v>31</v>
      </c>
      <c r="C1008" t="s">
        <v>17</v>
      </c>
      <c r="D1008" s="1">
        <v>45556</v>
      </c>
      <c r="E1008">
        <v>91034</v>
      </c>
      <c r="F1008">
        <v>4656</v>
      </c>
      <c r="G1008">
        <v>158</v>
      </c>
      <c r="H1008" s="4">
        <v>258.99</v>
      </c>
      <c r="I1008" s="4">
        <v>14430.13</v>
      </c>
      <c r="J1008" s="7">
        <f>Table1[[#This Row],[Clicks]]/Table1[[#This Row],[Impressions]]</f>
        <v>5.1145725772788191E-2</v>
      </c>
      <c r="K1008" s="7">
        <f>IFERROR(Table1[[#This Row],[Conversions]]/Table1[[#This Row],[Clicks]],0)</f>
        <v>3.3934707903780066E-2</v>
      </c>
      <c r="L1008" s="6">
        <f>IF(Table1[[#This Row],[Conversions]]=0,0,Table1[[#This Row],[Ad Spend]]/Table1[[#This Row],[Conversions]])</f>
        <v>1.6391772151898736</v>
      </c>
      <c r="M1008" s="8">
        <f>IF(Table1[[#This Row],[Ad Spend]]=0,0,Table1[[#This Row],[Revenue]]/Table1[[#This Row],[Ad Spend]])</f>
        <v>55.716938877948948</v>
      </c>
      <c r="N1008">
        <f>YEAR(Table1[[#This Row],[Date]])</f>
        <v>2024</v>
      </c>
      <c r="O1008" t="str">
        <f>TEXT(Table1[[#This Row],[Date]],"mmm")</f>
        <v>Sept</v>
      </c>
      <c r="P1008">
        <f>MONTH(Table1[[#This Row],[Date]])</f>
        <v>9</v>
      </c>
    </row>
    <row r="1009" spans="1:16" x14ac:dyDescent="0.25">
      <c r="A1009" t="s">
        <v>1028</v>
      </c>
      <c r="B1009" t="s">
        <v>14</v>
      </c>
      <c r="C1009" t="s">
        <v>12</v>
      </c>
      <c r="D1009" s="1">
        <v>45356</v>
      </c>
      <c r="E1009">
        <v>138404</v>
      </c>
      <c r="F1009">
        <v>3867</v>
      </c>
      <c r="G1009">
        <v>288</v>
      </c>
      <c r="H1009" s="4">
        <v>3678.19</v>
      </c>
      <c r="I1009" s="4">
        <v>18565.18</v>
      </c>
      <c r="J1009" s="7">
        <f>Table1[[#This Row],[Clicks]]/Table1[[#This Row],[Impressions]]</f>
        <v>2.7939943932256295E-2</v>
      </c>
      <c r="K1009" s="7">
        <f>IFERROR(Table1[[#This Row],[Conversions]]/Table1[[#This Row],[Clicks]],0)</f>
        <v>7.447633824670287E-2</v>
      </c>
      <c r="L1009" s="6">
        <f>IF(Table1[[#This Row],[Conversions]]=0,0,Table1[[#This Row],[Ad Spend]]/Table1[[#This Row],[Conversions]])</f>
        <v>12.771493055555556</v>
      </c>
      <c r="M1009" s="8">
        <f>IF(Table1[[#This Row],[Ad Spend]]=0,0,Table1[[#This Row],[Revenue]]/Table1[[#This Row],[Ad Spend]])</f>
        <v>5.0473684067435345</v>
      </c>
      <c r="N1009">
        <f>YEAR(Table1[[#This Row],[Date]])</f>
        <v>2024</v>
      </c>
      <c r="O1009" t="str">
        <f>TEXT(Table1[[#This Row],[Date]],"mmm")</f>
        <v>Mar</v>
      </c>
      <c r="P1009">
        <f>MONTH(Table1[[#This Row],[Date]])</f>
        <v>3</v>
      </c>
    </row>
    <row r="1010" spans="1:16" x14ac:dyDescent="0.25">
      <c r="A1010" t="s">
        <v>1029</v>
      </c>
      <c r="B1010" t="s">
        <v>14</v>
      </c>
      <c r="C1010" t="s">
        <v>37</v>
      </c>
      <c r="D1010" s="1">
        <v>45700</v>
      </c>
      <c r="E1010">
        <v>16552</v>
      </c>
      <c r="F1010">
        <v>235</v>
      </c>
      <c r="G1010">
        <v>14</v>
      </c>
      <c r="H1010" s="4">
        <v>2292.0700000000002</v>
      </c>
      <c r="I1010" s="4">
        <v>1623.64</v>
      </c>
      <c r="J1010" s="7">
        <f>Table1[[#This Row],[Clicks]]/Table1[[#This Row],[Impressions]]</f>
        <v>1.4197680038666022E-2</v>
      </c>
      <c r="K1010" s="7">
        <f>IFERROR(Table1[[#This Row],[Conversions]]/Table1[[#This Row],[Clicks]],0)</f>
        <v>5.9574468085106386E-2</v>
      </c>
      <c r="L1010" s="6">
        <f>IF(Table1[[#This Row],[Conversions]]=0,0,Table1[[#This Row],[Ad Spend]]/Table1[[#This Row],[Conversions]])</f>
        <v>163.71928571428572</v>
      </c>
      <c r="M1010" s="8">
        <f>IF(Table1[[#This Row],[Ad Spend]]=0,0,Table1[[#This Row],[Revenue]]/Table1[[#This Row],[Ad Spend]])</f>
        <v>0.70837278093600975</v>
      </c>
      <c r="N1010">
        <f>YEAR(Table1[[#This Row],[Date]])</f>
        <v>2025</v>
      </c>
      <c r="O1010" t="str">
        <f>TEXT(Table1[[#This Row],[Date]],"mmm")</f>
        <v>Feb</v>
      </c>
      <c r="P1010">
        <f>MONTH(Table1[[#This Row],[Date]])</f>
        <v>2</v>
      </c>
    </row>
    <row r="1011" spans="1:16" x14ac:dyDescent="0.25">
      <c r="A1011" t="s">
        <v>1030</v>
      </c>
      <c r="B1011" t="s">
        <v>47</v>
      </c>
      <c r="C1011" t="s">
        <v>19</v>
      </c>
      <c r="D1011" s="1">
        <v>45590</v>
      </c>
      <c r="E1011">
        <v>146857</v>
      </c>
      <c r="F1011">
        <v>9440</v>
      </c>
      <c r="G1011">
        <v>369</v>
      </c>
      <c r="H1011" s="4">
        <v>1681.64</v>
      </c>
      <c r="I1011" s="4">
        <v>20033.02</v>
      </c>
      <c r="J1011" s="7">
        <f>Table1[[#This Row],[Clicks]]/Table1[[#This Row],[Impressions]]</f>
        <v>6.4280218171418449E-2</v>
      </c>
      <c r="K1011" s="7">
        <f>IFERROR(Table1[[#This Row],[Conversions]]/Table1[[#This Row],[Clicks]],0)</f>
        <v>3.9088983050847459E-2</v>
      </c>
      <c r="L1011" s="6">
        <f>IF(Table1[[#This Row],[Conversions]]=0,0,Table1[[#This Row],[Ad Spend]]/Table1[[#This Row],[Conversions]])</f>
        <v>4.5572899728997296</v>
      </c>
      <c r="M1011" s="8">
        <f>IF(Table1[[#This Row],[Ad Spend]]=0,0,Table1[[#This Row],[Revenue]]/Table1[[#This Row],[Ad Spend]])</f>
        <v>11.912787516947741</v>
      </c>
      <c r="N1011">
        <f>YEAR(Table1[[#This Row],[Date]])</f>
        <v>2024</v>
      </c>
      <c r="O1011" t="str">
        <f>TEXT(Table1[[#This Row],[Date]],"mmm")</f>
        <v>Oct</v>
      </c>
      <c r="P1011">
        <f>MONTH(Table1[[#This Row],[Date]])</f>
        <v>10</v>
      </c>
    </row>
    <row r="1012" spans="1:16" x14ac:dyDescent="0.25">
      <c r="A1012" t="s">
        <v>1031</v>
      </c>
      <c r="B1012" t="s">
        <v>47</v>
      </c>
      <c r="C1012" t="s">
        <v>10</v>
      </c>
      <c r="D1012" s="1">
        <v>45557</v>
      </c>
      <c r="E1012">
        <v>42906</v>
      </c>
      <c r="F1012">
        <v>601</v>
      </c>
      <c r="G1012">
        <v>51</v>
      </c>
      <c r="H1012" s="4">
        <v>4208.84</v>
      </c>
      <c r="I1012" s="4">
        <v>5399.38</v>
      </c>
      <c r="J1012" s="7">
        <f>Table1[[#This Row],[Clicks]]/Table1[[#This Row],[Impressions]]</f>
        <v>1.4007364937304806E-2</v>
      </c>
      <c r="K1012" s="7">
        <f>IFERROR(Table1[[#This Row],[Conversions]]/Table1[[#This Row],[Clicks]],0)</f>
        <v>8.4858569051580693E-2</v>
      </c>
      <c r="L1012" s="6">
        <f>IF(Table1[[#This Row],[Conversions]]=0,0,Table1[[#This Row],[Ad Spend]]/Table1[[#This Row],[Conversions]])</f>
        <v>82.526274509803926</v>
      </c>
      <c r="M1012" s="8">
        <f>IF(Table1[[#This Row],[Ad Spend]]=0,0,Table1[[#This Row],[Revenue]]/Table1[[#This Row],[Ad Spend]])</f>
        <v>1.2828665380484885</v>
      </c>
      <c r="N1012">
        <f>YEAR(Table1[[#This Row],[Date]])</f>
        <v>2024</v>
      </c>
      <c r="O1012" t="str">
        <f>TEXT(Table1[[#This Row],[Date]],"mmm")</f>
        <v>Sept</v>
      </c>
      <c r="P1012">
        <f>MONTH(Table1[[#This Row],[Date]])</f>
        <v>9</v>
      </c>
    </row>
    <row r="1013" spans="1:16" x14ac:dyDescent="0.25">
      <c r="A1013" t="s">
        <v>1032</v>
      </c>
      <c r="B1013" t="s">
        <v>21</v>
      </c>
      <c r="C1013" t="s">
        <v>19</v>
      </c>
      <c r="D1013" s="1">
        <v>45392</v>
      </c>
      <c r="E1013">
        <v>57526</v>
      </c>
      <c r="F1013">
        <v>3154</v>
      </c>
      <c r="G1013">
        <v>145</v>
      </c>
      <c r="H1013" s="4">
        <v>528.34</v>
      </c>
      <c r="I1013" s="4">
        <v>5645.66</v>
      </c>
      <c r="J1013" s="7">
        <f>Table1[[#This Row],[Clicks]]/Table1[[#This Row],[Impressions]]</f>
        <v>5.4827382401001289E-2</v>
      </c>
      <c r="K1013" s="7">
        <f>IFERROR(Table1[[#This Row],[Conversions]]/Table1[[#This Row],[Clicks]],0)</f>
        <v>4.5973367152821812E-2</v>
      </c>
      <c r="L1013" s="6">
        <f>IF(Table1[[#This Row],[Conversions]]=0,0,Table1[[#This Row],[Ad Spend]]/Table1[[#This Row],[Conversions]])</f>
        <v>3.6437241379310348</v>
      </c>
      <c r="M1013" s="8">
        <f>IF(Table1[[#This Row],[Ad Spend]]=0,0,Table1[[#This Row],[Revenue]]/Table1[[#This Row],[Ad Spend]])</f>
        <v>10.685656963319074</v>
      </c>
      <c r="N1013">
        <f>YEAR(Table1[[#This Row],[Date]])</f>
        <v>2024</v>
      </c>
      <c r="O1013" t="str">
        <f>TEXT(Table1[[#This Row],[Date]],"mmm")</f>
        <v>Apr</v>
      </c>
      <c r="P1013">
        <f>MONTH(Table1[[#This Row],[Date]])</f>
        <v>4</v>
      </c>
    </row>
    <row r="1014" spans="1:16" x14ac:dyDescent="0.25">
      <c r="A1014" t="s">
        <v>1033</v>
      </c>
      <c r="B1014" t="s">
        <v>41</v>
      </c>
      <c r="C1014" t="s">
        <v>17</v>
      </c>
      <c r="D1014" s="1">
        <v>45599</v>
      </c>
      <c r="E1014">
        <v>91807</v>
      </c>
      <c r="F1014">
        <v>6393</v>
      </c>
      <c r="G1014">
        <v>598</v>
      </c>
      <c r="H1014" s="4">
        <v>1811.17</v>
      </c>
      <c r="I1014" s="4">
        <v>29877.97</v>
      </c>
      <c r="J1014" s="7">
        <f>Table1[[#This Row],[Clicks]]/Table1[[#This Row],[Impressions]]</f>
        <v>6.9635213001187274E-2</v>
      </c>
      <c r="K1014" s="7">
        <f>IFERROR(Table1[[#This Row],[Conversions]]/Table1[[#This Row],[Clicks]],0)</f>
        <v>9.353980916627562E-2</v>
      </c>
      <c r="L1014" s="6">
        <f>IF(Table1[[#This Row],[Conversions]]=0,0,Table1[[#This Row],[Ad Spend]]/Table1[[#This Row],[Conversions]])</f>
        <v>3.0287123745819398</v>
      </c>
      <c r="M1014" s="8">
        <f>IF(Table1[[#This Row],[Ad Spend]]=0,0,Table1[[#This Row],[Revenue]]/Table1[[#This Row],[Ad Spend]])</f>
        <v>16.496502260969429</v>
      </c>
      <c r="N1014">
        <f>YEAR(Table1[[#This Row],[Date]])</f>
        <v>2024</v>
      </c>
      <c r="O1014" t="str">
        <f>TEXT(Table1[[#This Row],[Date]],"mmm")</f>
        <v>Nov</v>
      </c>
      <c r="P1014">
        <f>MONTH(Table1[[#This Row],[Date]])</f>
        <v>11</v>
      </c>
    </row>
    <row r="1015" spans="1:16" x14ac:dyDescent="0.25">
      <c r="A1015" t="s">
        <v>1034</v>
      </c>
      <c r="B1015" t="s">
        <v>47</v>
      </c>
      <c r="C1015" t="s">
        <v>37</v>
      </c>
      <c r="D1015" s="1">
        <v>45345</v>
      </c>
      <c r="E1015">
        <v>124092</v>
      </c>
      <c r="F1015">
        <v>8851</v>
      </c>
      <c r="G1015">
        <v>1224</v>
      </c>
      <c r="H1015" s="4">
        <v>2580.4699999999998</v>
      </c>
      <c r="I1015" s="4">
        <v>137082.32</v>
      </c>
      <c r="J1015" s="7">
        <f>Table1[[#This Row],[Clicks]]/Table1[[#This Row],[Impressions]]</f>
        <v>7.1326112883989295E-2</v>
      </c>
      <c r="K1015" s="7">
        <f>IFERROR(Table1[[#This Row],[Conversions]]/Table1[[#This Row],[Clicks]],0)</f>
        <v>0.13828945881821264</v>
      </c>
      <c r="L1015" s="6">
        <f>IF(Table1[[#This Row],[Conversions]]=0,0,Table1[[#This Row],[Ad Spend]]/Table1[[#This Row],[Conversions]])</f>
        <v>2.1082271241830064</v>
      </c>
      <c r="M1015" s="8">
        <f>IF(Table1[[#This Row],[Ad Spend]]=0,0,Table1[[#This Row],[Revenue]]/Table1[[#This Row],[Ad Spend]])</f>
        <v>53.123004723945641</v>
      </c>
      <c r="N1015">
        <f>YEAR(Table1[[#This Row],[Date]])</f>
        <v>2024</v>
      </c>
      <c r="O1015" t="str">
        <f>TEXT(Table1[[#This Row],[Date]],"mmm")</f>
        <v>Feb</v>
      </c>
      <c r="P1015">
        <f>MONTH(Table1[[#This Row],[Date]])</f>
        <v>2</v>
      </c>
    </row>
    <row r="1016" spans="1:16" x14ac:dyDescent="0.25">
      <c r="A1016" t="s">
        <v>1035</v>
      </c>
      <c r="B1016" t="s">
        <v>14</v>
      </c>
      <c r="C1016" t="s">
        <v>37</v>
      </c>
      <c r="D1016" s="1">
        <v>45530</v>
      </c>
      <c r="E1016">
        <v>60872</v>
      </c>
      <c r="F1016">
        <v>1627</v>
      </c>
      <c r="G1016">
        <v>187</v>
      </c>
      <c r="H1016" s="4">
        <v>4772.42</v>
      </c>
      <c r="I1016" s="4">
        <v>9939.33</v>
      </c>
      <c r="J1016" s="7">
        <f>Table1[[#This Row],[Clicks]]/Table1[[#This Row],[Impressions]]</f>
        <v>2.6728216585622289E-2</v>
      </c>
      <c r="K1016" s="7">
        <f>IFERROR(Table1[[#This Row],[Conversions]]/Table1[[#This Row],[Clicks]],0)</f>
        <v>0.11493546404425323</v>
      </c>
      <c r="L1016" s="6">
        <f>IF(Table1[[#This Row],[Conversions]]=0,0,Table1[[#This Row],[Ad Spend]]/Table1[[#This Row],[Conversions]])</f>
        <v>25.520962566844918</v>
      </c>
      <c r="M1016" s="8">
        <f>IF(Table1[[#This Row],[Ad Spend]]=0,0,Table1[[#This Row],[Revenue]]/Table1[[#This Row],[Ad Spend]])</f>
        <v>2.082660369372352</v>
      </c>
      <c r="N1016">
        <f>YEAR(Table1[[#This Row],[Date]])</f>
        <v>2024</v>
      </c>
      <c r="O1016" t="str">
        <f>TEXT(Table1[[#This Row],[Date]],"mmm")</f>
        <v>Aug</v>
      </c>
      <c r="P1016">
        <f>MONTH(Table1[[#This Row],[Date]])</f>
        <v>8</v>
      </c>
    </row>
    <row r="1017" spans="1:16" x14ac:dyDescent="0.25">
      <c r="A1017" t="s">
        <v>1036</v>
      </c>
      <c r="B1017" t="s">
        <v>21</v>
      </c>
      <c r="C1017" t="s">
        <v>37</v>
      </c>
      <c r="D1017" s="1">
        <v>45496</v>
      </c>
      <c r="E1017">
        <v>53298</v>
      </c>
      <c r="F1017">
        <v>3614</v>
      </c>
      <c r="G1017">
        <v>75</v>
      </c>
      <c r="H1017" s="4">
        <v>247.48</v>
      </c>
      <c r="I1017" s="4">
        <v>4184.1499999999996</v>
      </c>
      <c r="J1017" s="7">
        <f>Table1[[#This Row],[Clicks]]/Table1[[#This Row],[Impressions]]</f>
        <v>6.7807422417351493E-2</v>
      </c>
      <c r="K1017" s="7">
        <f>IFERROR(Table1[[#This Row],[Conversions]]/Table1[[#This Row],[Clicks]],0)</f>
        <v>2.0752628666297731E-2</v>
      </c>
      <c r="L1017" s="6">
        <f>IF(Table1[[#This Row],[Conversions]]=0,0,Table1[[#This Row],[Ad Spend]]/Table1[[#This Row],[Conversions]])</f>
        <v>3.2997333333333332</v>
      </c>
      <c r="M1017" s="8">
        <f>IF(Table1[[#This Row],[Ad Spend]]=0,0,Table1[[#This Row],[Revenue]]/Table1[[#This Row],[Ad Spend]])</f>
        <v>16.907022789720379</v>
      </c>
      <c r="N1017">
        <f>YEAR(Table1[[#This Row],[Date]])</f>
        <v>2024</v>
      </c>
      <c r="O1017" t="str">
        <f>TEXT(Table1[[#This Row],[Date]],"mmm")</f>
        <v>Jul</v>
      </c>
      <c r="P1017">
        <f>MONTH(Table1[[#This Row],[Date]])</f>
        <v>7</v>
      </c>
    </row>
    <row r="1018" spans="1:16" x14ac:dyDescent="0.25">
      <c r="A1018" t="s">
        <v>1037</v>
      </c>
      <c r="B1018" t="s">
        <v>9</v>
      </c>
      <c r="C1018" t="s">
        <v>37</v>
      </c>
      <c r="D1018" s="1">
        <v>45440</v>
      </c>
      <c r="E1018">
        <v>120450</v>
      </c>
      <c r="F1018">
        <v>2843</v>
      </c>
      <c r="G1018">
        <v>273</v>
      </c>
      <c r="H1018" s="4">
        <v>3874.56</v>
      </c>
      <c r="I1018" s="4">
        <v>6658.6</v>
      </c>
      <c r="J1018" s="7">
        <f>Table1[[#This Row],[Clicks]]/Table1[[#This Row],[Impressions]]</f>
        <v>2.3603154836031547E-2</v>
      </c>
      <c r="K1018" s="7">
        <f>IFERROR(Table1[[#This Row],[Conversions]]/Table1[[#This Row],[Clicks]],0)</f>
        <v>9.6025325360534652E-2</v>
      </c>
      <c r="L1018" s="6">
        <f>IF(Table1[[#This Row],[Conversions]]=0,0,Table1[[#This Row],[Ad Spend]]/Table1[[#This Row],[Conversions]])</f>
        <v>14.192527472527471</v>
      </c>
      <c r="M1018" s="8">
        <f>IF(Table1[[#This Row],[Ad Spend]]=0,0,Table1[[#This Row],[Revenue]]/Table1[[#This Row],[Ad Spend]])</f>
        <v>1.7185435249421872</v>
      </c>
      <c r="N1018">
        <f>YEAR(Table1[[#This Row],[Date]])</f>
        <v>2024</v>
      </c>
      <c r="O1018" t="str">
        <f>TEXT(Table1[[#This Row],[Date]],"mmm")</f>
        <v>May</v>
      </c>
      <c r="P1018">
        <f>MONTH(Table1[[#This Row],[Date]])</f>
        <v>5</v>
      </c>
    </row>
    <row r="1019" spans="1:16" x14ac:dyDescent="0.25">
      <c r="A1019" t="s">
        <v>1038</v>
      </c>
      <c r="B1019" t="s">
        <v>31</v>
      </c>
      <c r="C1019" t="s">
        <v>37</v>
      </c>
      <c r="D1019" s="1">
        <v>45393</v>
      </c>
      <c r="E1019">
        <v>79475</v>
      </c>
      <c r="F1019">
        <v>1763</v>
      </c>
      <c r="G1019">
        <v>238</v>
      </c>
      <c r="H1019" s="4">
        <v>3650.42</v>
      </c>
      <c r="I1019" s="4">
        <v>12847.66</v>
      </c>
      <c r="J1019" s="7">
        <f>Table1[[#This Row],[Clicks]]/Table1[[#This Row],[Impressions]]</f>
        <v>2.2183076439131803E-2</v>
      </c>
      <c r="K1019" s="7">
        <f>IFERROR(Table1[[#This Row],[Conversions]]/Table1[[#This Row],[Clicks]],0)</f>
        <v>0.13499716392512762</v>
      </c>
      <c r="L1019" s="6">
        <f>IF(Table1[[#This Row],[Conversions]]=0,0,Table1[[#This Row],[Ad Spend]]/Table1[[#This Row],[Conversions]])</f>
        <v>15.337899159663866</v>
      </c>
      <c r="M1019" s="8">
        <f>IF(Table1[[#This Row],[Ad Spend]]=0,0,Table1[[#This Row],[Revenue]]/Table1[[#This Row],[Ad Spend]])</f>
        <v>3.5195018655387598</v>
      </c>
      <c r="N1019">
        <f>YEAR(Table1[[#This Row],[Date]])</f>
        <v>2024</v>
      </c>
      <c r="O1019" t="str">
        <f>TEXT(Table1[[#This Row],[Date]],"mmm")</f>
        <v>Apr</v>
      </c>
      <c r="P1019">
        <f>MONTH(Table1[[#This Row],[Date]])</f>
        <v>4</v>
      </c>
    </row>
    <row r="1020" spans="1:16" x14ac:dyDescent="0.25">
      <c r="A1020" t="s">
        <v>1039</v>
      </c>
      <c r="B1020" t="s">
        <v>14</v>
      </c>
      <c r="C1020" t="s">
        <v>37</v>
      </c>
      <c r="D1020" s="1">
        <v>45392</v>
      </c>
      <c r="E1020">
        <v>10634</v>
      </c>
      <c r="F1020">
        <v>237</v>
      </c>
      <c r="G1020">
        <v>12</v>
      </c>
      <c r="H1020" s="4">
        <v>685.71</v>
      </c>
      <c r="I1020" s="4">
        <v>1237.73</v>
      </c>
      <c r="J1020" s="7">
        <f>Table1[[#This Row],[Clicks]]/Table1[[#This Row],[Impressions]]</f>
        <v>2.2287003949595638E-2</v>
      </c>
      <c r="K1020" s="7">
        <f>IFERROR(Table1[[#This Row],[Conversions]]/Table1[[#This Row],[Clicks]],0)</f>
        <v>5.0632911392405063E-2</v>
      </c>
      <c r="L1020" s="6">
        <f>IF(Table1[[#This Row],[Conversions]]=0,0,Table1[[#This Row],[Ad Spend]]/Table1[[#This Row],[Conversions]])</f>
        <v>57.142500000000005</v>
      </c>
      <c r="M1020" s="8">
        <f>IF(Table1[[#This Row],[Ad Spend]]=0,0,Table1[[#This Row],[Revenue]]/Table1[[#This Row],[Ad Spend]])</f>
        <v>1.805034198130405</v>
      </c>
      <c r="N1020">
        <f>YEAR(Table1[[#This Row],[Date]])</f>
        <v>2024</v>
      </c>
      <c r="O1020" t="str">
        <f>TEXT(Table1[[#This Row],[Date]],"mmm")</f>
        <v>Apr</v>
      </c>
      <c r="P1020">
        <f>MONTH(Table1[[#This Row],[Date]])</f>
        <v>4</v>
      </c>
    </row>
    <row r="1021" spans="1:16" x14ac:dyDescent="0.25">
      <c r="A1021" t="s">
        <v>1040</v>
      </c>
      <c r="B1021" t="s">
        <v>16</v>
      </c>
      <c r="C1021" t="s">
        <v>17</v>
      </c>
      <c r="D1021" s="1">
        <v>45627</v>
      </c>
      <c r="E1021">
        <v>34089</v>
      </c>
      <c r="F1021">
        <v>1148</v>
      </c>
      <c r="G1021">
        <v>54</v>
      </c>
      <c r="H1021" s="4">
        <v>2389.7800000000002</v>
      </c>
      <c r="I1021" s="4">
        <v>3076.06</v>
      </c>
      <c r="J1021" s="7">
        <f>Table1[[#This Row],[Clicks]]/Table1[[#This Row],[Impressions]]</f>
        <v>3.367655255360967E-2</v>
      </c>
      <c r="K1021" s="7">
        <f>IFERROR(Table1[[#This Row],[Conversions]]/Table1[[#This Row],[Clicks]],0)</f>
        <v>4.7038327526132406E-2</v>
      </c>
      <c r="L1021" s="6">
        <f>IF(Table1[[#This Row],[Conversions]]=0,0,Table1[[#This Row],[Ad Spend]]/Table1[[#This Row],[Conversions]])</f>
        <v>44.255185185185191</v>
      </c>
      <c r="M1021" s="8">
        <f>IF(Table1[[#This Row],[Ad Spend]]=0,0,Table1[[#This Row],[Revenue]]/Table1[[#This Row],[Ad Spend]])</f>
        <v>1.2871728778381273</v>
      </c>
      <c r="N1021">
        <f>YEAR(Table1[[#This Row],[Date]])</f>
        <v>2024</v>
      </c>
      <c r="O1021" t="str">
        <f>TEXT(Table1[[#This Row],[Date]],"mmm")</f>
        <v>Dec</v>
      </c>
      <c r="P1021">
        <f>MONTH(Table1[[#This Row],[Date]])</f>
        <v>12</v>
      </c>
    </row>
    <row r="1022" spans="1:16" x14ac:dyDescent="0.25">
      <c r="A1022" t="s">
        <v>1041</v>
      </c>
      <c r="B1022" t="s">
        <v>47</v>
      </c>
      <c r="C1022" t="s">
        <v>37</v>
      </c>
      <c r="D1022" s="1">
        <v>45561</v>
      </c>
      <c r="E1022">
        <v>118696</v>
      </c>
      <c r="F1022">
        <v>8485</v>
      </c>
      <c r="G1022">
        <v>241</v>
      </c>
      <c r="H1022" s="4">
        <v>893.27</v>
      </c>
      <c r="I1022" s="4">
        <v>27092.15</v>
      </c>
      <c r="J1022" s="7">
        <f>Table1[[#This Row],[Clicks]]/Table1[[#This Row],[Impressions]]</f>
        <v>7.1485138505088627E-2</v>
      </c>
      <c r="K1022" s="7">
        <f>IFERROR(Table1[[#This Row],[Conversions]]/Table1[[#This Row],[Clicks]],0)</f>
        <v>2.8403064230995874E-2</v>
      </c>
      <c r="L1022" s="6">
        <f>IF(Table1[[#This Row],[Conversions]]=0,0,Table1[[#This Row],[Ad Spend]]/Table1[[#This Row],[Conversions]])</f>
        <v>3.7065145228215766</v>
      </c>
      <c r="M1022" s="8">
        <f>IF(Table1[[#This Row],[Ad Spend]]=0,0,Table1[[#This Row],[Revenue]]/Table1[[#This Row],[Ad Spend]])</f>
        <v>30.329183785417626</v>
      </c>
      <c r="N1022">
        <f>YEAR(Table1[[#This Row],[Date]])</f>
        <v>2024</v>
      </c>
      <c r="O1022" t="str">
        <f>TEXT(Table1[[#This Row],[Date]],"mmm")</f>
        <v>Sept</v>
      </c>
      <c r="P1022">
        <f>MONTH(Table1[[#This Row],[Date]])</f>
        <v>9</v>
      </c>
    </row>
    <row r="1023" spans="1:16" x14ac:dyDescent="0.25">
      <c r="A1023" t="s">
        <v>1042</v>
      </c>
      <c r="B1023" t="s">
        <v>14</v>
      </c>
      <c r="C1023" t="s">
        <v>37</v>
      </c>
      <c r="D1023" s="1">
        <v>45564</v>
      </c>
      <c r="E1023">
        <v>104141</v>
      </c>
      <c r="F1023">
        <v>6103</v>
      </c>
      <c r="G1023">
        <v>374</v>
      </c>
      <c r="H1023" s="4">
        <v>2261.79</v>
      </c>
      <c r="I1023" s="4">
        <v>31271.75</v>
      </c>
      <c r="J1023" s="7">
        <f>Table1[[#This Row],[Clicks]]/Table1[[#This Row],[Impressions]]</f>
        <v>5.8603239838296156E-2</v>
      </c>
      <c r="K1023" s="7">
        <f>IFERROR(Table1[[#This Row],[Conversions]]/Table1[[#This Row],[Clicks]],0)</f>
        <v>6.1281337047353758E-2</v>
      </c>
      <c r="L1023" s="6">
        <f>IF(Table1[[#This Row],[Conversions]]=0,0,Table1[[#This Row],[Ad Spend]]/Table1[[#This Row],[Conversions]])</f>
        <v>6.0475668449197864</v>
      </c>
      <c r="M1023" s="8">
        <f>IF(Table1[[#This Row],[Ad Spend]]=0,0,Table1[[#This Row],[Revenue]]/Table1[[#This Row],[Ad Spend]])</f>
        <v>13.826106756153312</v>
      </c>
      <c r="N1023">
        <f>YEAR(Table1[[#This Row],[Date]])</f>
        <v>2024</v>
      </c>
      <c r="O1023" t="str">
        <f>TEXT(Table1[[#This Row],[Date]],"mmm")</f>
        <v>Sept</v>
      </c>
      <c r="P1023">
        <f>MONTH(Table1[[#This Row],[Date]])</f>
        <v>9</v>
      </c>
    </row>
    <row r="1024" spans="1:16" x14ac:dyDescent="0.25">
      <c r="A1024" t="s">
        <v>1043</v>
      </c>
      <c r="B1024" t="s">
        <v>31</v>
      </c>
      <c r="C1024" t="s">
        <v>12</v>
      </c>
      <c r="D1024" s="1">
        <v>45592</v>
      </c>
      <c r="E1024">
        <v>54571</v>
      </c>
      <c r="F1024">
        <v>3809</v>
      </c>
      <c r="G1024">
        <v>221</v>
      </c>
      <c r="H1024" s="4">
        <v>913.12</v>
      </c>
      <c r="I1024" s="4">
        <v>9882.49</v>
      </c>
      <c r="J1024" s="7">
        <f>Table1[[#This Row],[Clicks]]/Table1[[#This Row],[Impressions]]</f>
        <v>6.9798977478880725E-2</v>
      </c>
      <c r="K1024" s="7">
        <f>IFERROR(Table1[[#This Row],[Conversions]]/Table1[[#This Row],[Clicks]],0)</f>
        <v>5.8020477815699661E-2</v>
      </c>
      <c r="L1024" s="6">
        <f>IF(Table1[[#This Row],[Conversions]]=0,0,Table1[[#This Row],[Ad Spend]]/Table1[[#This Row],[Conversions]])</f>
        <v>4.131764705882353</v>
      </c>
      <c r="M1024" s="8">
        <f>IF(Table1[[#This Row],[Ad Spend]]=0,0,Table1[[#This Row],[Revenue]]/Table1[[#This Row],[Ad Spend]])</f>
        <v>10.822772472402313</v>
      </c>
      <c r="N1024">
        <f>YEAR(Table1[[#This Row],[Date]])</f>
        <v>2024</v>
      </c>
      <c r="O1024" t="str">
        <f>TEXT(Table1[[#This Row],[Date]],"mmm")</f>
        <v>Oct</v>
      </c>
      <c r="P1024">
        <f>MONTH(Table1[[#This Row],[Date]])</f>
        <v>10</v>
      </c>
    </row>
    <row r="1025" spans="1:16" x14ac:dyDescent="0.25">
      <c r="A1025" t="s">
        <v>1044</v>
      </c>
      <c r="B1025" t="s">
        <v>34</v>
      </c>
      <c r="C1025" t="s">
        <v>37</v>
      </c>
      <c r="D1025" s="1">
        <v>45552</v>
      </c>
      <c r="E1025">
        <v>133185</v>
      </c>
      <c r="F1025">
        <v>3282</v>
      </c>
      <c r="G1025">
        <v>100</v>
      </c>
      <c r="H1025" s="4">
        <v>2459.1999999999998</v>
      </c>
      <c r="I1025" s="4">
        <v>8635.02</v>
      </c>
      <c r="J1025" s="7">
        <f>Table1[[#This Row],[Clicks]]/Table1[[#This Row],[Impressions]]</f>
        <v>2.4642414686338553E-2</v>
      </c>
      <c r="K1025" s="7">
        <f>IFERROR(Table1[[#This Row],[Conversions]]/Table1[[#This Row],[Clicks]],0)</f>
        <v>3.0469226081657527E-2</v>
      </c>
      <c r="L1025" s="6">
        <f>IF(Table1[[#This Row],[Conversions]]=0,0,Table1[[#This Row],[Ad Spend]]/Table1[[#This Row],[Conversions]])</f>
        <v>24.591999999999999</v>
      </c>
      <c r="M1025" s="8">
        <f>IF(Table1[[#This Row],[Ad Spend]]=0,0,Table1[[#This Row],[Revenue]]/Table1[[#This Row],[Ad Spend]])</f>
        <v>3.5113126219908919</v>
      </c>
      <c r="N1025">
        <f>YEAR(Table1[[#This Row],[Date]])</f>
        <v>2024</v>
      </c>
      <c r="O1025" t="str">
        <f>TEXT(Table1[[#This Row],[Date]],"mmm")</f>
        <v>Sept</v>
      </c>
      <c r="P1025">
        <f>MONTH(Table1[[#This Row],[Date]])</f>
        <v>9</v>
      </c>
    </row>
    <row r="1026" spans="1:16" x14ac:dyDescent="0.25">
      <c r="A1026" t="s">
        <v>1045</v>
      </c>
      <c r="B1026" t="s">
        <v>9</v>
      </c>
      <c r="C1026" t="s">
        <v>37</v>
      </c>
      <c r="D1026" s="1">
        <v>45552</v>
      </c>
      <c r="E1026">
        <v>106742</v>
      </c>
      <c r="F1026">
        <v>6681</v>
      </c>
      <c r="G1026">
        <v>693</v>
      </c>
      <c r="H1026" s="4">
        <v>2643.96</v>
      </c>
      <c r="I1026" s="4">
        <v>48412.13</v>
      </c>
      <c r="J1026" s="7">
        <f>Table1[[#This Row],[Clicks]]/Table1[[#This Row],[Impressions]]</f>
        <v>6.2590170691948804E-2</v>
      </c>
      <c r="K1026" s="7">
        <f>IFERROR(Table1[[#This Row],[Conversions]]/Table1[[#This Row],[Clicks]],0)</f>
        <v>0.1037269869779973</v>
      </c>
      <c r="L1026" s="6">
        <f>IF(Table1[[#This Row],[Conversions]]=0,0,Table1[[#This Row],[Ad Spend]]/Table1[[#This Row],[Conversions]])</f>
        <v>3.8152380952380951</v>
      </c>
      <c r="M1026" s="8">
        <f>IF(Table1[[#This Row],[Ad Spend]]=0,0,Table1[[#This Row],[Revenue]]/Table1[[#This Row],[Ad Spend]])</f>
        <v>18.310462336797833</v>
      </c>
      <c r="N1026">
        <f>YEAR(Table1[[#This Row],[Date]])</f>
        <v>2024</v>
      </c>
      <c r="O1026" t="str">
        <f>TEXT(Table1[[#This Row],[Date]],"mmm")</f>
        <v>Sept</v>
      </c>
      <c r="P1026">
        <f>MONTH(Table1[[#This Row],[Date]])</f>
        <v>9</v>
      </c>
    </row>
    <row r="1027" spans="1:16" x14ac:dyDescent="0.25">
      <c r="A1027" t="s">
        <v>1046</v>
      </c>
      <c r="B1027" t="s">
        <v>41</v>
      </c>
      <c r="C1027" t="s">
        <v>37</v>
      </c>
      <c r="D1027" s="1">
        <v>45456</v>
      </c>
      <c r="E1027">
        <v>103010</v>
      </c>
      <c r="F1027">
        <v>4819</v>
      </c>
      <c r="G1027">
        <v>399</v>
      </c>
      <c r="H1027" s="4">
        <v>4787.6099999999997</v>
      </c>
      <c r="I1027" s="4">
        <v>26882.95</v>
      </c>
      <c r="J1027" s="7">
        <f>Table1[[#This Row],[Clicks]]/Table1[[#This Row],[Impressions]]</f>
        <v>4.6781865838268127E-2</v>
      </c>
      <c r="K1027" s="7">
        <f>IFERROR(Table1[[#This Row],[Conversions]]/Table1[[#This Row],[Clicks]],0)</f>
        <v>8.2797260842498444E-2</v>
      </c>
      <c r="L1027" s="6">
        <f>IF(Table1[[#This Row],[Conversions]]=0,0,Table1[[#This Row],[Ad Spend]]/Table1[[#This Row],[Conversions]])</f>
        <v>11.999022556390976</v>
      </c>
      <c r="M1027" s="8">
        <f>IF(Table1[[#This Row],[Ad Spend]]=0,0,Table1[[#This Row],[Revenue]]/Table1[[#This Row],[Ad Spend]])</f>
        <v>5.6151085823615547</v>
      </c>
      <c r="N1027">
        <f>YEAR(Table1[[#This Row],[Date]])</f>
        <v>2024</v>
      </c>
      <c r="O1027" t="str">
        <f>TEXT(Table1[[#This Row],[Date]],"mmm")</f>
        <v>Jun</v>
      </c>
      <c r="P1027">
        <f>MONTH(Table1[[#This Row],[Date]])</f>
        <v>6</v>
      </c>
    </row>
    <row r="1028" spans="1:16" x14ac:dyDescent="0.25">
      <c r="A1028" t="s">
        <v>1047</v>
      </c>
      <c r="B1028" t="s">
        <v>21</v>
      </c>
      <c r="C1028" t="s">
        <v>12</v>
      </c>
      <c r="D1028" s="1">
        <v>45624</v>
      </c>
      <c r="E1028">
        <v>14595</v>
      </c>
      <c r="F1028">
        <v>357</v>
      </c>
      <c r="G1028">
        <v>48</v>
      </c>
      <c r="H1028" s="4">
        <v>2369.98</v>
      </c>
      <c r="I1028" s="4">
        <v>2085.0500000000002</v>
      </c>
      <c r="J1028" s="7">
        <f>Table1[[#This Row],[Clicks]]/Table1[[#This Row],[Impressions]]</f>
        <v>2.4460431654676259E-2</v>
      </c>
      <c r="K1028" s="7">
        <f>IFERROR(Table1[[#This Row],[Conversions]]/Table1[[#This Row],[Clicks]],0)</f>
        <v>0.13445378151260504</v>
      </c>
      <c r="L1028" s="6">
        <f>IF(Table1[[#This Row],[Conversions]]=0,0,Table1[[#This Row],[Ad Spend]]/Table1[[#This Row],[Conversions]])</f>
        <v>49.374583333333334</v>
      </c>
      <c r="M1028" s="8">
        <f>IF(Table1[[#This Row],[Ad Spend]]=0,0,Table1[[#This Row],[Revenue]]/Table1[[#This Row],[Ad Spend]])</f>
        <v>0.87977535675406549</v>
      </c>
      <c r="N1028">
        <f>YEAR(Table1[[#This Row],[Date]])</f>
        <v>2024</v>
      </c>
      <c r="O1028" t="str">
        <f>TEXT(Table1[[#This Row],[Date]],"mmm")</f>
        <v>Nov</v>
      </c>
      <c r="P1028">
        <f>MONTH(Table1[[#This Row],[Date]])</f>
        <v>11</v>
      </c>
    </row>
    <row r="1029" spans="1:16" x14ac:dyDescent="0.25">
      <c r="A1029" t="s">
        <v>1048</v>
      </c>
      <c r="B1029" t="s">
        <v>14</v>
      </c>
      <c r="C1029" t="s">
        <v>19</v>
      </c>
      <c r="D1029" s="1">
        <v>45509</v>
      </c>
      <c r="E1029">
        <v>103850</v>
      </c>
      <c r="F1029">
        <v>5192</v>
      </c>
      <c r="G1029">
        <v>735</v>
      </c>
      <c r="H1029" s="4">
        <v>1995.72</v>
      </c>
      <c r="I1029" s="4">
        <v>55165.57</v>
      </c>
      <c r="J1029" s="7">
        <f>Table1[[#This Row],[Clicks]]/Table1[[#This Row],[Impressions]]</f>
        <v>4.9995185363505057E-2</v>
      </c>
      <c r="K1029" s="7">
        <f>IFERROR(Table1[[#This Row],[Conversions]]/Table1[[#This Row],[Clicks]],0)</f>
        <v>0.14156394453004623</v>
      </c>
      <c r="L1029" s="6">
        <f>IF(Table1[[#This Row],[Conversions]]=0,0,Table1[[#This Row],[Ad Spend]]/Table1[[#This Row],[Conversions]])</f>
        <v>2.7152653061224492</v>
      </c>
      <c r="M1029" s="8">
        <f>IF(Table1[[#This Row],[Ad Spend]]=0,0,Table1[[#This Row],[Revenue]]/Table1[[#This Row],[Ad Spend]])</f>
        <v>27.641938748922694</v>
      </c>
      <c r="N1029">
        <f>YEAR(Table1[[#This Row],[Date]])</f>
        <v>2024</v>
      </c>
      <c r="O1029" t="str">
        <f>TEXT(Table1[[#This Row],[Date]],"mmm")</f>
        <v>Aug</v>
      </c>
      <c r="P1029">
        <f>MONTH(Table1[[#This Row],[Date]])</f>
        <v>8</v>
      </c>
    </row>
    <row r="1030" spans="1:16" x14ac:dyDescent="0.25">
      <c r="A1030" t="s">
        <v>1049</v>
      </c>
      <c r="B1030" t="s">
        <v>16</v>
      </c>
      <c r="C1030" t="s">
        <v>10</v>
      </c>
      <c r="D1030" s="1">
        <v>45443</v>
      </c>
      <c r="E1030">
        <v>121524</v>
      </c>
      <c r="F1030">
        <v>5628</v>
      </c>
      <c r="G1030">
        <v>280</v>
      </c>
      <c r="H1030" s="4">
        <v>397.49</v>
      </c>
      <c r="I1030" s="4">
        <v>19943.34</v>
      </c>
      <c r="J1030" s="7">
        <f>Table1[[#This Row],[Clicks]]/Table1[[#This Row],[Impressions]]</f>
        <v>4.631183963661499E-2</v>
      </c>
      <c r="K1030" s="7">
        <f>IFERROR(Table1[[#This Row],[Conversions]]/Table1[[#This Row],[Clicks]],0)</f>
        <v>4.975124378109453E-2</v>
      </c>
      <c r="L1030" s="6">
        <f>IF(Table1[[#This Row],[Conversions]]=0,0,Table1[[#This Row],[Ad Spend]]/Table1[[#This Row],[Conversions]])</f>
        <v>1.4196071428571428</v>
      </c>
      <c r="M1030" s="8">
        <f>IF(Table1[[#This Row],[Ad Spend]]=0,0,Table1[[#This Row],[Revenue]]/Table1[[#This Row],[Ad Spend]])</f>
        <v>50.1731867468364</v>
      </c>
      <c r="N1030">
        <f>YEAR(Table1[[#This Row],[Date]])</f>
        <v>2024</v>
      </c>
      <c r="O1030" t="str">
        <f>TEXT(Table1[[#This Row],[Date]],"mmm")</f>
        <v>May</v>
      </c>
      <c r="P1030">
        <f>MONTH(Table1[[#This Row],[Date]])</f>
        <v>5</v>
      </c>
    </row>
    <row r="1031" spans="1:16" x14ac:dyDescent="0.25">
      <c r="A1031" t="s">
        <v>1050</v>
      </c>
      <c r="B1031" t="s">
        <v>47</v>
      </c>
      <c r="C1031" t="s">
        <v>17</v>
      </c>
      <c r="D1031" s="1">
        <v>45522</v>
      </c>
      <c r="E1031">
        <v>127565</v>
      </c>
      <c r="F1031">
        <v>5137</v>
      </c>
      <c r="G1031">
        <v>348</v>
      </c>
      <c r="H1031" s="4">
        <v>2588.21</v>
      </c>
      <c r="I1031" s="4">
        <v>16461.080000000002</v>
      </c>
      <c r="J1031" s="7">
        <f>Table1[[#This Row],[Clicks]]/Table1[[#This Row],[Impressions]]</f>
        <v>4.0269666444557678E-2</v>
      </c>
      <c r="K1031" s="7">
        <f>IFERROR(Table1[[#This Row],[Conversions]]/Table1[[#This Row],[Clicks]],0)</f>
        <v>6.7743819349815063E-2</v>
      </c>
      <c r="L1031" s="6">
        <f>IF(Table1[[#This Row],[Conversions]]=0,0,Table1[[#This Row],[Ad Spend]]/Table1[[#This Row],[Conversions]])</f>
        <v>7.4373850574712641</v>
      </c>
      <c r="M1031" s="8">
        <f>IF(Table1[[#This Row],[Ad Spend]]=0,0,Table1[[#This Row],[Revenue]]/Table1[[#This Row],[Ad Spend]])</f>
        <v>6.3600248820613476</v>
      </c>
      <c r="N1031">
        <f>YEAR(Table1[[#This Row],[Date]])</f>
        <v>2024</v>
      </c>
      <c r="O1031" t="str">
        <f>TEXT(Table1[[#This Row],[Date]],"mmm")</f>
        <v>Aug</v>
      </c>
      <c r="P1031">
        <f>MONTH(Table1[[#This Row],[Date]])</f>
        <v>8</v>
      </c>
    </row>
    <row r="1032" spans="1:16" x14ac:dyDescent="0.25">
      <c r="A1032" t="s">
        <v>1051</v>
      </c>
      <c r="B1032" t="s">
        <v>31</v>
      </c>
      <c r="C1032" t="s">
        <v>37</v>
      </c>
      <c r="D1032" s="1">
        <v>45518</v>
      </c>
      <c r="E1032">
        <v>66286</v>
      </c>
      <c r="F1032">
        <v>1895</v>
      </c>
      <c r="G1032">
        <v>56</v>
      </c>
      <c r="H1032" s="4">
        <v>4527.08</v>
      </c>
      <c r="I1032" s="4">
        <v>2769.3</v>
      </c>
      <c r="J1032" s="7">
        <f>Table1[[#This Row],[Clicks]]/Table1[[#This Row],[Impressions]]</f>
        <v>2.8588238843798085E-2</v>
      </c>
      <c r="K1032" s="7">
        <f>IFERROR(Table1[[#This Row],[Conversions]]/Table1[[#This Row],[Clicks]],0)</f>
        <v>2.9551451187335091E-2</v>
      </c>
      <c r="L1032" s="6">
        <f>IF(Table1[[#This Row],[Conversions]]=0,0,Table1[[#This Row],[Ad Spend]]/Table1[[#This Row],[Conversions]])</f>
        <v>80.840714285714284</v>
      </c>
      <c r="M1032" s="8">
        <f>IF(Table1[[#This Row],[Ad Spend]]=0,0,Table1[[#This Row],[Revenue]]/Table1[[#This Row],[Ad Spend]])</f>
        <v>0.61171881212613877</v>
      </c>
      <c r="N1032">
        <f>YEAR(Table1[[#This Row],[Date]])</f>
        <v>2024</v>
      </c>
      <c r="O1032" t="str">
        <f>TEXT(Table1[[#This Row],[Date]],"mmm")</f>
        <v>Aug</v>
      </c>
      <c r="P1032">
        <f>MONTH(Table1[[#This Row],[Date]])</f>
        <v>8</v>
      </c>
    </row>
    <row r="1033" spans="1:16" x14ac:dyDescent="0.25">
      <c r="A1033" t="s">
        <v>1052</v>
      </c>
      <c r="B1033" t="s">
        <v>9</v>
      </c>
      <c r="C1033" t="s">
        <v>19</v>
      </c>
      <c r="D1033" s="1">
        <v>45408</v>
      </c>
      <c r="E1033">
        <v>30797</v>
      </c>
      <c r="F1033">
        <v>563</v>
      </c>
      <c r="G1033">
        <v>37</v>
      </c>
      <c r="H1033" s="4">
        <v>2820.93</v>
      </c>
      <c r="I1033" s="4">
        <v>1974.9</v>
      </c>
      <c r="J1033" s="7">
        <f>Table1[[#This Row],[Clicks]]/Table1[[#This Row],[Impressions]]</f>
        <v>1.8281001396239893E-2</v>
      </c>
      <c r="K1033" s="7">
        <f>IFERROR(Table1[[#This Row],[Conversions]]/Table1[[#This Row],[Clicks]],0)</f>
        <v>6.5719360568383664E-2</v>
      </c>
      <c r="L1033" s="6">
        <f>IF(Table1[[#This Row],[Conversions]]=0,0,Table1[[#This Row],[Ad Spend]]/Table1[[#This Row],[Conversions]])</f>
        <v>76.241351351351341</v>
      </c>
      <c r="M1033" s="8">
        <f>IF(Table1[[#This Row],[Ad Spend]]=0,0,Table1[[#This Row],[Revenue]]/Table1[[#This Row],[Ad Spend]])</f>
        <v>0.70008826876242947</v>
      </c>
      <c r="N1033">
        <f>YEAR(Table1[[#This Row],[Date]])</f>
        <v>2024</v>
      </c>
      <c r="O1033" t="str">
        <f>TEXT(Table1[[#This Row],[Date]],"mmm")</f>
        <v>Apr</v>
      </c>
      <c r="P1033">
        <f>MONTH(Table1[[#This Row],[Date]])</f>
        <v>4</v>
      </c>
    </row>
    <row r="1034" spans="1:16" x14ac:dyDescent="0.25">
      <c r="A1034" t="s">
        <v>1053</v>
      </c>
      <c r="B1034" t="s">
        <v>47</v>
      </c>
      <c r="C1034" t="s">
        <v>19</v>
      </c>
      <c r="D1034" s="1">
        <v>45446</v>
      </c>
      <c r="E1034">
        <v>76949</v>
      </c>
      <c r="F1034">
        <v>1796</v>
      </c>
      <c r="G1034">
        <v>176</v>
      </c>
      <c r="H1034" s="4">
        <v>861.75</v>
      </c>
      <c r="I1034" s="4">
        <v>18567.990000000002</v>
      </c>
      <c r="J1034" s="7">
        <f>Table1[[#This Row],[Clicks]]/Table1[[#This Row],[Impressions]]</f>
        <v>2.3340134374715722E-2</v>
      </c>
      <c r="K1034" s="7">
        <f>IFERROR(Table1[[#This Row],[Conversions]]/Table1[[#This Row],[Clicks]],0)</f>
        <v>9.7995545657015584E-2</v>
      </c>
      <c r="L1034" s="6">
        <f>IF(Table1[[#This Row],[Conversions]]=0,0,Table1[[#This Row],[Ad Spend]]/Table1[[#This Row],[Conversions]])</f>
        <v>4.8963068181818183</v>
      </c>
      <c r="M1034" s="8">
        <f>IF(Table1[[#This Row],[Ad Spend]]=0,0,Table1[[#This Row],[Revenue]]/Table1[[#This Row],[Ad Spend]])</f>
        <v>21.5468407310705</v>
      </c>
      <c r="N1034">
        <f>YEAR(Table1[[#This Row],[Date]])</f>
        <v>2024</v>
      </c>
      <c r="O1034" t="str">
        <f>TEXT(Table1[[#This Row],[Date]],"mmm")</f>
        <v>Jun</v>
      </c>
      <c r="P1034">
        <f>MONTH(Table1[[#This Row],[Date]])</f>
        <v>6</v>
      </c>
    </row>
    <row r="1035" spans="1:16" x14ac:dyDescent="0.25">
      <c r="A1035" t="s">
        <v>1054</v>
      </c>
      <c r="B1035" t="s">
        <v>34</v>
      </c>
      <c r="C1035" t="s">
        <v>10</v>
      </c>
      <c r="D1035" s="1">
        <v>45686</v>
      </c>
      <c r="E1035">
        <v>83505</v>
      </c>
      <c r="F1035">
        <v>2482</v>
      </c>
      <c r="G1035">
        <v>161</v>
      </c>
      <c r="H1035" s="4">
        <v>4984.84</v>
      </c>
      <c r="I1035" s="4">
        <v>18447.62</v>
      </c>
      <c r="J1035" s="7">
        <f>Table1[[#This Row],[Clicks]]/Table1[[#This Row],[Impressions]]</f>
        <v>2.9722771091551404E-2</v>
      </c>
      <c r="K1035" s="7">
        <f>IFERROR(Table1[[#This Row],[Conversions]]/Table1[[#This Row],[Clicks]],0)</f>
        <v>6.4867042707493952E-2</v>
      </c>
      <c r="L1035" s="6">
        <f>IF(Table1[[#This Row],[Conversions]]=0,0,Table1[[#This Row],[Ad Spend]]/Table1[[#This Row],[Conversions]])</f>
        <v>30.961739130434783</v>
      </c>
      <c r="M1035" s="8">
        <f>IF(Table1[[#This Row],[Ad Spend]]=0,0,Table1[[#This Row],[Revenue]]/Table1[[#This Row],[Ad Spend]])</f>
        <v>3.7007446578024568</v>
      </c>
      <c r="N1035">
        <f>YEAR(Table1[[#This Row],[Date]])</f>
        <v>2025</v>
      </c>
      <c r="O1035" t="str">
        <f>TEXT(Table1[[#This Row],[Date]],"mmm")</f>
        <v>Jan</v>
      </c>
      <c r="P1035">
        <f>MONTH(Table1[[#This Row],[Date]])</f>
        <v>1</v>
      </c>
    </row>
    <row r="1036" spans="1:16" x14ac:dyDescent="0.25">
      <c r="A1036" t="s">
        <v>1055</v>
      </c>
      <c r="B1036" t="s">
        <v>31</v>
      </c>
      <c r="C1036" t="s">
        <v>17</v>
      </c>
      <c r="D1036" s="1">
        <v>45626</v>
      </c>
      <c r="E1036">
        <v>139387</v>
      </c>
      <c r="F1036">
        <v>11046</v>
      </c>
      <c r="G1036">
        <v>1587</v>
      </c>
      <c r="H1036" s="4">
        <v>4354.24</v>
      </c>
      <c r="I1036" s="4">
        <v>67856.710000000006</v>
      </c>
      <c r="J1036" s="7">
        <f>Table1[[#This Row],[Clicks]]/Table1[[#This Row],[Impressions]]</f>
        <v>7.9246988600084653E-2</v>
      </c>
      <c r="K1036" s="7">
        <f>IFERROR(Table1[[#This Row],[Conversions]]/Table1[[#This Row],[Clicks]],0)</f>
        <v>0.14367191743617599</v>
      </c>
      <c r="L1036" s="6">
        <f>IF(Table1[[#This Row],[Conversions]]=0,0,Table1[[#This Row],[Ad Spend]]/Table1[[#This Row],[Conversions]])</f>
        <v>2.7436925015752993</v>
      </c>
      <c r="M1036" s="8">
        <f>IF(Table1[[#This Row],[Ad Spend]]=0,0,Table1[[#This Row],[Revenue]]/Table1[[#This Row],[Ad Spend]])</f>
        <v>15.584053703975897</v>
      </c>
      <c r="N1036">
        <f>YEAR(Table1[[#This Row],[Date]])</f>
        <v>2024</v>
      </c>
      <c r="O1036" t="str">
        <f>TEXT(Table1[[#This Row],[Date]],"mmm")</f>
        <v>Nov</v>
      </c>
      <c r="P1036">
        <f>MONTH(Table1[[#This Row],[Date]])</f>
        <v>11</v>
      </c>
    </row>
    <row r="1037" spans="1:16" x14ac:dyDescent="0.25">
      <c r="A1037" t="s">
        <v>1056</v>
      </c>
      <c r="B1037" t="s">
        <v>14</v>
      </c>
      <c r="C1037" t="s">
        <v>17</v>
      </c>
      <c r="D1037" s="1">
        <v>45411</v>
      </c>
      <c r="E1037">
        <v>140220</v>
      </c>
      <c r="F1037">
        <v>7163</v>
      </c>
      <c r="G1037">
        <v>657</v>
      </c>
      <c r="H1037" s="4">
        <v>2449.94</v>
      </c>
      <c r="I1037" s="4">
        <v>66645.929999999993</v>
      </c>
      <c r="J1037" s="7">
        <f>Table1[[#This Row],[Clicks]]/Table1[[#This Row],[Impressions]]</f>
        <v>5.1084010840108399E-2</v>
      </c>
      <c r="K1037" s="7">
        <f>IFERROR(Table1[[#This Row],[Conversions]]/Table1[[#This Row],[Clicks]],0)</f>
        <v>9.1721345804830379E-2</v>
      </c>
      <c r="L1037" s="6">
        <f>IF(Table1[[#This Row],[Conversions]]=0,0,Table1[[#This Row],[Ad Spend]]/Table1[[#This Row],[Conversions]])</f>
        <v>3.7289802130898022</v>
      </c>
      <c r="M1037" s="8">
        <f>IF(Table1[[#This Row],[Ad Spend]]=0,0,Table1[[#This Row],[Revenue]]/Table1[[#This Row],[Ad Spend]])</f>
        <v>27.203086606202596</v>
      </c>
      <c r="N1037">
        <f>YEAR(Table1[[#This Row],[Date]])</f>
        <v>2024</v>
      </c>
      <c r="O1037" t="str">
        <f>TEXT(Table1[[#This Row],[Date]],"mmm")</f>
        <v>Apr</v>
      </c>
      <c r="P1037">
        <f>MONTH(Table1[[#This Row],[Date]])</f>
        <v>4</v>
      </c>
    </row>
    <row r="1038" spans="1:16" x14ac:dyDescent="0.25">
      <c r="A1038" t="s">
        <v>1057</v>
      </c>
      <c r="B1038" t="s">
        <v>47</v>
      </c>
      <c r="C1038" t="s">
        <v>10</v>
      </c>
      <c r="D1038" s="1">
        <v>45452</v>
      </c>
      <c r="E1038">
        <v>54242</v>
      </c>
      <c r="F1038">
        <v>2170</v>
      </c>
      <c r="G1038">
        <v>309</v>
      </c>
      <c r="H1038" s="4">
        <v>2204.9</v>
      </c>
      <c r="I1038" s="4">
        <v>19735.240000000002</v>
      </c>
      <c r="J1038" s="7">
        <f>Table1[[#This Row],[Clicks]]/Table1[[#This Row],[Impressions]]</f>
        <v>4.0005899487482025E-2</v>
      </c>
      <c r="K1038" s="7">
        <f>IFERROR(Table1[[#This Row],[Conversions]]/Table1[[#This Row],[Clicks]],0)</f>
        <v>0.14239631336405531</v>
      </c>
      <c r="L1038" s="6">
        <f>IF(Table1[[#This Row],[Conversions]]=0,0,Table1[[#This Row],[Ad Spend]]/Table1[[#This Row],[Conversions]])</f>
        <v>7.1355987055016188</v>
      </c>
      <c r="M1038" s="8">
        <f>IF(Table1[[#This Row],[Ad Spend]]=0,0,Table1[[#This Row],[Revenue]]/Table1[[#This Row],[Ad Spend]])</f>
        <v>8.950628146401197</v>
      </c>
      <c r="N1038">
        <f>YEAR(Table1[[#This Row],[Date]])</f>
        <v>2024</v>
      </c>
      <c r="O1038" t="str">
        <f>TEXT(Table1[[#This Row],[Date]],"mmm")</f>
        <v>Jun</v>
      </c>
      <c r="P1038">
        <f>MONTH(Table1[[#This Row],[Date]])</f>
        <v>6</v>
      </c>
    </row>
    <row r="1039" spans="1:16" x14ac:dyDescent="0.25">
      <c r="A1039" t="s">
        <v>1058</v>
      </c>
      <c r="B1039" t="s">
        <v>31</v>
      </c>
      <c r="C1039" t="s">
        <v>19</v>
      </c>
      <c r="D1039" s="1">
        <v>45363</v>
      </c>
      <c r="E1039">
        <v>38645</v>
      </c>
      <c r="F1039">
        <v>1213</v>
      </c>
      <c r="G1039">
        <v>140</v>
      </c>
      <c r="H1039" s="4">
        <v>2599.04</v>
      </c>
      <c r="I1039" s="4">
        <v>12023.87</v>
      </c>
      <c r="J1039" s="7">
        <f>Table1[[#This Row],[Clicks]]/Table1[[#This Row],[Impressions]]</f>
        <v>3.1388277914348554E-2</v>
      </c>
      <c r="K1039" s="7">
        <f>IFERROR(Table1[[#This Row],[Conversions]]/Table1[[#This Row],[Clicks]],0)</f>
        <v>0.11541632316570487</v>
      </c>
      <c r="L1039" s="6">
        <f>IF(Table1[[#This Row],[Conversions]]=0,0,Table1[[#This Row],[Ad Spend]]/Table1[[#This Row],[Conversions]])</f>
        <v>18.56457142857143</v>
      </c>
      <c r="M1039" s="8">
        <f>IF(Table1[[#This Row],[Ad Spend]]=0,0,Table1[[#This Row],[Revenue]]/Table1[[#This Row],[Ad Spend]])</f>
        <v>4.6262735471558729</v>
      </c>
      <c r="N1039">
        <f>YEAR(Table1[[#This Row],[Date]])</f>
        <v>2024</v>
      </c>
      <c r="O1039" t="str">
        <f>TEXT(Table1[[#This Row],[Date]],"mmm")</f>
        <v>Mar</v>
      </c>
      <c r="P1039">
        <f>MONTH(Table1[[#This Row],[Date]])</f>
        <v>3</v>
      </c>
    </row>
    <row r="1040" spans="1:16" x14ac:dyDescent="0.25">
      <c r="A1040" t="s">
        <v>1059</v>
      </c>
      <c r="B1040" t="s">
        <v>47</v>
      </c>
      <c r="C1040" t="s">
        <v>19</v>
      </c>
      <c r="D1040" s="1">
        <v>45407</v>
      </c>
      <c r="E1040">
        <v>114876</v>
      </c>
      <c r="F1040">
        <v>4572</v>
      </c>
      <c r="G1040">
        <v>538</v>
      </c>
      <c r="H1040" s="4">
        <v>3861.64</v>
      </c>
      <c r="I1040" s="4">
        <v>47909.9</v>
      </c>
      <c r="J1040" s="7">
        <f>Table1[[#This Row],[Clicks]]/Table1[[#This Row],[Impressions]]</f>
        <v>3.9799435913506737E-2</v>
      </c>
      <c r="K1040" s="7">
        <f>IFERROR(Table1[[#This Row],[Conversions]]/Table1[[#This Row],[Clicks]],0)</f>
        <v>0.11767279090113736</v>
      </c>
      <c r="L1040" s="6">
        <f>IF(Table1[[#This Row],[Conversions]]=0,0,Table1[[#This Row],[Ad Spend]]/Table1[[#This Row],[Conversions]])</f>
        <v>7.177769516728624</v>
      </c>
      <c r="M1040" s="8">
        <f>IF(Table1[[#This Row],[Ad Spend]]=0,0,Table1[[#This Row],[Revenue]]/Table1[[#This Row],[Ad Spend]])</f>
        <v>12.406619985291224</v>
      </c>
      <c r="N1040">
        <f>YEAR(Table1[[#This Row],[Date]])</f>
        <v>2024</v>
      </c>
      <c r="O1040" t="str">
        <f>TEXT(Table1[[#This Row],[Date]],"mmm")</f>
        <v>Apr</v>
      </c>
      <c r="P1040">
        <f>MONTH(Table1[[#This Row],[Date]])</f>
        <v>4</v>
      </c>
    </row>
    <row r="1041" spans="1:16" x14ac:dyDescent="0.25">
      <c r="A1041" t="s">
        <v>1060</v>
      </c>
      <c r="B1041" t="s">
        <v>34</v>
      </c>
      <c r="C1041" t="s">
        <v>19</v>
      </c>
      <c r="D1041" s="1">
        <v>45592</v>
      </c>
      <c r="E1041">
        <v>11092</v>
      </c>
      <c r="F1041">
        <v>551</v>
      </c>
      <c r="G1041">
        <v>13</v>
      </c>
      <c r="H1041" s="4">
        <v>867.85</v>
      </c>
      <c r="I1041" s="4">
        <v>1530.42</v>
      </c>
      <c r="J1041" s="7">
        <f>Table1[[#This Row],[Clicks]]/Table1[[#This Row],[Impressions]]</f>
        <v>4.9675441759826904E-2</v>
      </c>
      <c r="K1041" s="7">
        <f>IFERROR(Table1[[#This Row],[Conversions]]/Table1[[#This Row],[Clicks]],0)</f>
        <v>2.3593466424682397E-2</v>
      </c>
      <c r="L1041" s="6">
        <f>IF(Table1[[#This Row],[Conversions]]=0,0,Table1[[#This Row],[Ad Spend]]/Table1[[#This Row],[Conversions]])</f>
        <v>66.757692307692309</v>
      </c>
      <c r="M1041" s="8">
        <f>IF(Table1[[#This Row],[Ad Spend]]=0,0,Table1[[#This Row],[Revenue]]/Table1[[#This Row],[Ad Spend]])</f>
        <v>1.7634614276660714</v>
      </c>
      <c r="N1041">
        <f>YEAR(Table1[[#This Row],[Date]])</f>
        <v>2024</v>
      </c>
      <c r="O1041" t="str">
        <f>TEXT(Table1[[#This Row],[Date]],"mmm")</f>
        <v>Oct</v>
      </c>
      <c r="P1041">
        <f>MONTH(Table1[[#This Row],[Date]])</f>
        <v>10</v>
      </c>
    </row>
    <row r="1042" spans="1:16" x14ac:dyDescent="0.25">
      <c r="A1042" t="s">
        <v>1061</v>
      </c>
      <c r="B1042" t="s">
        <v>47</v>
      </c>
      <c r="C1042" t="s">
        <v>12</v>
      </c>
      <c r="D1042" s="1">
        <v>45614</v>
      </c>
      <c r="E1042">
        <v>107468</v>
      </c>
      <c r="F1042">
        <v>8448</v>
      </c>
      <c r="G1042">
        <v>393</v>
      </c>
      <c r="H1042" s="4">
        <v>2075.0500000000002</v>
      </c>
      <c r="I1042" s="4">
        <v>28865.48</v>
      </c>
      <c r="J1042" s="7">
        <f>Table1[[#This Row],[Clicks]]/Table1[[#This Row],[Impressions]]</f>
        <v>7.8609446532921429E-2</v>
      </c>
      <c r="K1042" s="7">
        <f>IFERROR(Table1[[#This Row],[Conversions]]/Table1[[#This Row],[Clicks]],0)</f>
        <v>4.651988636363636E-2</v>
      </c>
      <c r="L1042" s="6">
        <f>IF(Table1[[#This Row],[Conversions]]=0,0,Table1[[#This Row],[Ad Spend]]/Table1[[#This Row],[Conversions]])</f>
        <v>5.2800254452926216</v>
      </c>
      <c r="M1042" s="8">
        <f>IF(Table1[[#This Row],[Ad Spend]]=0,0,Table1[[#This Row],[Revenue]]/Table1[[#This Row],[Ad Spend]])</f>
        <v>13.910739500253005</v>
      </c>
      <c r="N1042">
        <f>YEAR(Table1[[#This Row],[Date]])</f>
        <v>2024</v>
      </c>
      <c r="O1042" t="str">
        <f>TEXT(Table1[[#This Row],[Date]],"mmm")</f>
        <v>Nov</v>
      </c>
      <c r="P1042">
        <f>MONTH(Table1[[#This Row],[Date]])</f>
        <v>11</v>
      </c>
    </row>
    <row r="1043" spans="1:16" x14ac:dyDescent="0.25">
      <c r="A1043" t="s">
        <v>1062</v>
      </c>
      <c r="B1043" t="s">
        <v>14</v>
      </c>
      <c r="C1043" t="s">
        <v>17</v>
      </c>
      <c r="D1043" s="1">
        <v>45347</v>
      </c>
      <c r="E1043">
        <v>91203</v>
      </c>
      <c r="F1043">
        <v>4547</v>
      </c>
      <c r="G1043">
        <v>357</v>
      </c>
      <c r="H1043" s="4">
        <v>4494.7700000000004</v>
      </c>
      <c r="I1043" s="4">
        <v>10468.719999999999</v>
      </c>
      <c r="J1043" s="7">
        <f>Table1[[#This Row],[Clicks]]/Table1[[#This Row],[Impressions]]</f>
        <v>4.9855816146398696E-2</v>
      </c>
      <c r="K1043" s="7">
        <f>IFERROR(Table1[[#This Row],[Conversions]]/Table1[[#This Row],[Clicks]],0)</f>
        <v>7.8513305476138107E-2</v>
      </c>
      <c r="L1043" s="6">
        <f>IF(Table1[[#This Row],[Conversions]]=0,0,Table1[[#This Row],[Ad Spend]]/Table1[[#This Row],[Conversions]])</f>
        <v>12.590392156862746</v>
      </c>
      <c r="M1043" s="8">
        <f>IF(Table1[[#This Row],[Ad Spend]]=0,0,Table1[[#This Row],[Revenue]]/Table1[[#This Row],[Ad Spend]])</f>
        <v>2.3290891413798702</v>
      </c>
      <c r="N1043">
        <f>YEAR(Table1[[#This Row],[Date]])</f>
        <v>2024</v>
      </c>
      <c r="O1043" t="str">
        <f>TEXT(Table1[[#This Row],[Date]],"mmm")</f>
        <v>Feb</v>
      </c>
      <c r="P1043">
        <f>MONTH(Table1[[#This Row],[Date]])</f>
        <v>2</v>
      </c>
    </row>
    <row r="1044" spans="1:16" x14ac:dyDescent="0.25">
      <c r="A1044" t="s">
        <v>1063</v>
      </c>
      <c r="B1044" t="s">
        <v>9</v>
      </c>
      <c r="C1044" t="s">
        <v>12</v>
      </c>
      <c r="D1044" s="1">
        <v>45382</v>
      </c>
      <c r="E1044">
        <v>13404</v>
      </c>
      <c r="F1044">
        <v>909</v>
      </c>
      <c r="G1044">
        <v>89</v>
      </c>
      <c r="H1044" s="4">
        <v>328.82</v>
      </c>
      <c r="I1044" s="4">
        <v>3551.09</v>
      </c>
      <c r="J1044" s="7">
        <f>Table1[[#This Row],[Clicks]]/Table1[[#This Row],[Impressions]]</f>
        <v>6.7815577439570271E-2</v>
      </c>
      <c r="K1044" s="7">
        <f>IFERROR(Table1[[#This Row],[Conversions]]/Table1[[#This Row],[Clicks]],0)</f>
        <v>9.790979097909791E-2</v>
      </c>
      <c r="L1044" s="6">
        <f>IF(Table1[[#This Row],[Conversions]]=0,0,Table1[[#This Row],[Ad Spend]]/Table1[[#This Row],[Conversions]])</f>
        <v>3.6946067415730335</v>
      </c>
      <c r="M1044" s="8">
        <f>IF(Table1[[#This Row],[Ad Spend]]=0,0,Table1[[#This Row],[Revenue]]/Table1[[#This Row],[Ad Spend]])</f>
        <v>10.799495164527706</v>
      </c>
      <c r="N1044">
        <f>YEAR(Table1[[#This Row],[Date]])</f>
        <v>2024</v>
      </c>
      <c r="O1044" t="str">
        <f>TEXT(Table1[[#This Row],[Date]],"mmm")</f>
        <v>Mar</v>
      </c>
      <c r="P1044">
        <f>MONTH(Table1[[#This Row],[Date]])</f>
        <v>3</v>
      </c>
    </row>
    <row r="1045" spans="1:16" x14ac:dyDescent="0.25">
      <c r="A1045" t="s">
        <v>1064</v>
      </c>
      <c r="B1045" t="s">
        <v>21</v>
      </c>
      <c r="C1045" t="s">
        <v>19</v>
      </c>
      <c r="D1045" s="1">
        <v>45397</v>
      </c>
      <c r="E1045">
        <v>66089</v>
      </c>
      <c r="F1045">
        <v>2007</v>
      </c>
      <c r="G1045">
        <v>176</v>
      </c>
      <c r="H1045" s="4">
        <v>2382.39</v>
      </c>
      <c r="I1045" s="4">
        <v>10008.280000000001</v>
      </c>
      <c r="J1045" s="7">
        <f>Table1[[#This Row],[Clicks]]/Table1[[#This Row],[Impressions]]</f>
        <v>3.0368139932515244E-2</v>
      </c>
      <c r="K1045" s="7">
        <f>IFERROR(Table1[[#This Row],[Conversions]]/Table1[[#This Row],[Clicks]],0)</f>
        <v>8.7693074240159444E-2</v>
      </c>
      <c r="L1045" s="6">
        <f>IF(Table1[[#This Row],[Conversions]]=0,0,Table1[[#This Row],[Ad Spend]]/Table1[[#This Row],[Conversions]])</f>
        <v>13.536306818181817</v>
      </c>
      <c r="M1045" s="8">
        <f>IF(Table1[[#This Row],[Ad Spend]]=0,0,Table1[[#This Row],[Revenue]]/Table1[[#This Row],[Ad Spend]])</f>
        <v>4.2009410717808588</v>
      </c>
      <c r="N1045">
        <f>YEAR(Table1[[#This Row],[Date]])</f>
        <v>2024</v>
      </c>
      <c r="O1045" t="str">
        <f>TEXT(Table1[[#This Row],[Date]],"mmm")</f>
        <v>Apr</v>
      </c>
      <c r="P1045">
        <f>MONTH(Table1[[#This Row],[Date]])</f>
        <v>4</v>
      </c>
    </row>
    <row r="1046" spans="1:16" x14ac:dyDescent="0.25">
      <c r="A1046" t="s">
        <v>1065</v>
      </c>
      <c r="B1046" t="s">
        <v>31</v>
      </c>
      <c r="C1046" t="s">
        <v>37</v>
      </c>
      <c r="D1046" s="1">
        <v>45459</v>
      </c>
      <c r="E1046">
        <v>112704</v>
      </c>
      <c r="F1046">
        <v>4212</v>
      </c>
      <c r="G1046">
        <v>626</v>
      </c>
      <c r="H1046" s="4">
        <v>819.86</v>
      </c>
      <c r="I1046" s="4">
        <v>38712.67</v>
      </c>
      <c r="J1046" s="7">
        <f>Table1[[#This Row],[Clicks]]/Table1[[#This Row],[Impressions]]</f>
        <v>3.7372231686541739E-2</v>
      </c>
      <c r="K1046" s="7">
        <f>IFERROR(Table1[[#This Row],[Conversions]]/Table1[[#This Row],[Clicks]],0)</f>
        <v>0.14862298195631529</v>
      </c>
      <c r="L1046" s="6">
        <f>IF(Table1[[#This Row],[Conversions]]=0,0,Table1[[#This Row],[Ad Spend]]/Table1[[#This Row],[Conversions]])</f>
        <v>1.3096805111821086</v>
      </c>
      <c r="M1046" s="8">
        <f>IF(Table1[[#This Row],[Ad Spend]]=0,0,Table1[[#This Row],[Revenue]]/Table1[[#This Row],[Ad Spend]])</f>
        <v>47.218634888883464</v>
      </c>
      <c r="N1046">
        <f>YEAR(Table1[[#This Row],[Date]])</f>
        <v>2024</v>
      </c>
      <c r="O1046" t="str">
        <f>TEXT(Table1[[#This Row],[Date]],"mmm")</f>
        <v>Jun</v>
      </c>
      <c r="P1046">
        <f>MONTH(Table1[[#This Row],[Date]])</f>
        <v>6</v>
      </c>
    </row>
    <row r="1047" spans="1:16" x14ac:dyDescent="0.25">
      <c r="A1047" t="s">
        <v>1066</v>
      </c>
      <c r="B1047" t="s">
        <v>9</v>
      </c>
      <c r="C1047" t="s">
        <v>17</v>
      </c>
      <c r="D1047" s="1">
        <v>45397</v>
      </c>
      <c r="E1047">
        <v>39060</v>
      </c>
      <c r="F1047">
        <v>2770</v>
      </c>
      <c r="G1047">
        <v>166</v>
      </c>
      <c r="H1047" s="4">
        <v>4125.8999999999996</v>
      </c>
      <c r="I1047" s="4">
        <v>14355.56</v>
      </c>
      <c r="J1047" s="7">
        <f>Table1[[#This Row],[Clicks]]/Table1[[#This Row],[Impressions]]</f>
        <v>7.0916538658474138E-2</v>
      </c>
      <c r="K1047" s="7">
        <f>IFERROR(Table1[[#This Row],[Conversions]]/Table1[[#This Row],[Clicks]],0)</f>
        <v>5.9927797833935016E-2</v>
      </c>
      <c r="L1047" s="6">
        <f>IF(Table1[[#This Row],[Conversions]]=0,0,Table1[[#This Row],[Ad Spend]]/Table1[[#This Row],[Conversions]])</f>
        <v>24.854819277108433</v>
      </c>
      <c r="M1047" s="8">
        <f>IF(Table1[[#This Row],[Ad Spend]]=0,0,Table1[[#This Row],[Revenue]]/Table1[[#This Row],[Ad Spend]])</f>
        <v>3.4793766208584795</v>
      </c>
      <c r="N1047">
        <f>YEAR(Table1[[#This Row],[Date]])</f>
        <v>2024</v>
      </c>
      <c r="O1047" t="str">
        <f>TEXT(Table1[[#This Row],[Date]],"mmm")</f>
        <v>Apr</v>
      </c>
      <c r="P1047">
        <f>MONTH(Table1[[#This Row],[Date]])</f>
        <v>4</v>
      </c>
    </row>
    <row r="1048" spans="1:16" x14ac:dyDescent="0.25">
      <c r="A1048" t="s">
        <v>1067</v>
      </c>
      <c r="B1048" t="s">
        <v>16</v>
      </c>
      <c r="C1048" t="s">
        <v>12</v>
      </c>
      <c r="D1048" s="1">
        <v>45586</v>
      </c>
      <c r="E1048">
        <v>86346</v>
      </c>
      <c r="F1048">
        <v>4414</v>
      </c>
      <c r="G1048">
        <v>376</v>
      </c>
      <c r="H1048" s="4">
        <v>3487.21</v>
      </c>
      <c r="I1048" s="4">
        <v>17876.580000000002</v>
      </c>
      <c r="J1048" s="7">
        <f>Table1[[#This Row],[Clicks]]/Table1[[#This Row],[Impressions]]</f>
        <v>5.1119912908530796E-2</v>
      </c>
      <c r="K1048" s="7">
        <f>IFERROR(Table1[[#This Row],[Conversions]]/Table1[[#This Row],[Clicks]],0)</f>
        <v>8.5183507023108299E-2</v>
      </c>
      <c r="L1048" s="6">
        <f>IF(Table1[[#This Row],[Conversions]]=0,0,Table1[[#This Row],[Ad Spend]]/Table1[[#This Row],[Conversions]])</f>
        <v>9.2744946808510633</v>
      </c>
      <c r="M1048" s="8">
        <f>IF(Table1[[#This Row],[Ad Spend]]=0,0,Table1[[#This Row],[Revenue]]/Table1[[#This Row],[Ad Spend]])</f>
        <v>5.1263273505180367</v>
      </c>
      <c r="N1048">
        <f>YEAR(Table1[[#This Row],[Date]])</f>
        <v>2024</v>
      </c>
      <c r="O1048" t="str">
        <f>TEXT(Table1[[#This Row],[Date]],"mmm")</f>
        <v>Oct</v>
      </c>
      <c r="P1048">
        <f>MONTH(Table1[[#This Row],[Date]])</f>
        <v>10</v>
      </c>
    </row>
    <row r="1049" spans="1:16" x14ac:dyDescent="0.25">
      <c r="A1049" t="s">
        <v>1068</v>
      </c>
      <c r="B1049" t="s">
        <v>31</v>
      </c>
      <c r="C1049" t="s">
        <v>37</v>
      </c>
      <c r="D1049" s="1">
        <v>45520</v>
      </c>
      <c r="E1049">
        <v>21769</v>
      </c>
      <c r="F1049">
        <v>1474</v>
      </c>
      <c r="G1049">
        <v>145</v>
      </c>
      <c r="H1049" s="4">
        <v>1384.83</v>
      </c>
      <c r="I1049" s="4">
        <v>7668.93</v>
      </c>
      <c r="J1049" s="7">
        <f>Table1[[#This Row],[Clicks]]/Table1[[#This Row],[Impressions]]</f>
        <v>6.7710965133906009E-2</v>
      </c>
      <c r="K1049" s="7">
        <f>IFERROR(Table1[[#This Row],[Conversions]]/Table1[[#This Row],[Clicks]],0)</f>
        <v>9.8371777476255085E-2</v>
      </c>
      <c r="L1049" s="6">
        <f>IF(Table1[[#This Row],[Conversions]]=0,0,Table1[[#This Row],[Ad Spend]]/Table1[[#This Row],[Conversions]])</f>
        <v>9.5505517241379305</v>
      </c>
      <c r="M1049" s="8">
        <f>IF(Table1[[#This Row],[Ad Spend]]=0,0,Table1[[#This Row],[Revenue]]/Table1[[#This Row],[Ad Spend]])</f>
        <v>5.5378133056042982</v>
      </c>
      <c r="N1049">
        <f>YEAR(Table1[[#This Row],[Date]])</f>
        <v>2024</v>
      </c>
      <c r="O1049" t="str">
        <f>TEXT(Table1[[#This Row],[Date]],"mmm")</f>
        <v>Aug</v>
      </c>
      <c r="P1049">
        <f>MONTH(Table1[[#This Row],[Date]])</f>
        <v>8</v>
      </c>
    </row>
    <row r="1050" spans="1:16" x14ac:dyDescent="0.25">
      <c r="A1050" t="s">
        <v>1069</v>
      </c>
      <c r="B1050" t="s">
        <v>41</v>
      </c>
      <c r="C1050" t="s">
        <v>17</v>
      </c>
      <c r="D1050" s="1">
        <v>45528</v>
      </c>
      <c r="E1050">
        <v>15245</v>
      </c>
      <c r="F1050">
        <v>939</v>
      </c>
      <c r="G1050">
        <v>53</v>
      </c>
      <c r="H1050" s="4">
        <v>4428.7700000000004</v>
      </c>
      <c r="I1050" s="4">
        <v>3478.43</v>
      </c>
      <c r="J1050" s="7">
        <f>Table1[[#This Row],[Clicks]]/Table1[[#This Row],[Impressions]]</f>
        <v>6.1593965234503119E-2</v>
      </c>
      <c r="K1050" s="7">
        <f>IFERROR(Table1[[#This Row],[Conversions]]/Table1[[#This Row],[Clicks]],0)</f>
        <v>5.6443024494142707E-2</v>
      </c>
      <c r="L1050" s="6">
        <f>IF(Table1[[#This Row],[Conversions]]=0,0,Table1[[#This Row],[Ad Spend]]/Table1[[#This Row],[Conversions]])</f>
        <v>83.561698113207555</v>
      </c>
      <c r="M1050" s="8">
        <f>IF(Table1[[#This Row],[Ad Spend]]=0,0,Table1[[#This Row],[Revenue]]/Table1[[#This Row],[Ad Spend]])</f>
        <v>0.78541671841165817</v>
      </c>
      <c r="N1050">
        <f>YEAR(Table1[[#This Row],[Date]])</f>
        <v>2024</v>
      </c>
      <c r="O1050" t="str">
        <f>TEXT(Table1[[#This Row],[Date]],"mmm")</f>
        <v>Aug</v>
      </c>
      <c r="P1050">
        <f>MONTH(Table1[[#This Row],[Date]])</f>
        <v>8</v>
      </c>
    </row>
    <row r="1051" spans="1:16" x14ac:dyDescent="0.25">
      <c r="A1051" t="s">
        <v>1070</v>
      </c>
      <c r="B1051" t="s">
        <v>34</v>
      </c>
      <c r="C1051" t="s">
        <v>17</v>
      </c>
      <c r="D1051" s="1">
        <v>45605</v>
      </c>
      <c r="E1051">
        <v>50908</v>
      </c>
      <c r="F1051">
        <v>1988</v>
      </c>
      <c r="G1051">
        <v>86</v>
      </c>
      <c r="H1051" s="4">
        <v>3165.14</v>
      </c>
      <c r="I1051" s="4">
        <v>5435.86</v>
      </c>
      <c r="J1051" s="7">
        <f>Table1[[#This Row],[Clicks]]/Table1[[#This Row],[Impressions]]</f>
        <v>3.9050836803645794E-2</v>
      </c>
      <c r="K1051" s="7">
        <f>IFERROR(Table1[[#This Row],[Conversions]]/Table1[[#This Row],[Clicks]],0)</f>
        <v>4.3259557344064385E-2</v>
      </c>
      <c r="L1051" s="6">
        <f>IF(Table1[[#This Row],[Conversions]]=0,0,Table1[[#This Row],[Ad Spend]]/Table1[[#This Row],[Conversions]])</f>
        <v>36.803953488372095</v>
      </c>
      <c r="M1051" s="8">
        <f>IF(Table1[[#This Row],[Ad Spend]]=0,0,Table1[[#This Row],[Revenue]]/Table1[[#This Row],[Ad Spend]])</f>
        <v>1.7174153433971324</v>
      </c>
      <c r="N1051">
        <f>YEAR(Table1[[#This Row],[Date]])</f>
        <v>2024</v>
      </c>
      <c r="O1051" t="str">
        <f>TEXT(Table1[[#This Row],[Date]],"mmm")</f>
        <v>Nov</v>
      </c>
      <c r="P1051">
        <f>MONTH(Table1[[#This Row],[Date]])</f>
        <v>11</v>
      </c>
    </row>
    <row r="1052" spans="1:16" x14ac:dyDescent="0.25">
      <c r="A1052" t="s">
        <v>1071</v>
      </c>
      <c r="B1052" t="s">
        <v>21</v>
      </c>
      <c r="C1052" t="s">
        <v>37</v>
      </c>
      <c r="D1052" s="1">
        <v>45649</v>
      </c>
      <c r="E1052">
        <v>30043</v>
      </c>
      <c r="F1052">
        <v>1128</v>
      </c>
      <c r="G1052">
        <v>161</v>
      </c>
      <c r="H1052" s="4">
        <v>1350.54</v>
      </c>
      <c r="I1052" s="4">
        <v>17235.689999999999</v>
      </c>
      <c r="J1052" s="7">
        <f>Table1[[#This Row],[Clicks]]/Table1[[#This Row],[Impressions]]</f>
        <v>3.7546183803215394E-2</v>
      </c>
      <c r="K1052" s="7">
        <f>IFERROR(Table1[[#This Row],[Conversions]]/Table1[[#This Row],[Clicks]],0)</f>
        <v>0.14273049645390071</v>
      </c>
      <c r="L1052" s="6">
        <f>IF(Table1[[#This Row],[Conversions]]=0,0,Table1[[#This Row],[Ad Spend]]/Table1[[#This Row],[Conversions]])</f>
        <v>8.3884472049689442</v>
      </c>
      <c r="M1052" s="8">
        <f>IF(Table1[[#This Row],[Ad Spend]]=0,0,Table1[[#This Row],[Revenue]]/Table1[[#This Row],[Ad Spend]])</f>
        <v>12.762072948598338</v>
      </c>
      <c r="N1052">
        <f>YEAR(Table1[[#This Row],[Date]])</f>
        <v>2024</v>
      </c>
      <c r="O1052" t="str">
        <f>TEXT(Table1[[#This Row],[Date]],"mmm")</f>
        <v>Dec</v>
      </c>
      <c r="P1052">
        <f>MONTH(Table1[[#This Row],[Date]])</f>
        <v>12</v>
      </c>
    </row>
    <row r="1053" spans="1:16" x14ac:dyDescent="0.25">
      <c r="A1053" t="s">
        <v>1072</v>
      </c>
      <c r="B1053" t="s">
        <v>34</v>
      </c>
      <c r="C1053" t="s">
        <v>12</v>
      </c>
      <c r="D1053" s="1">
        <v>45441</v>
      </c>
      <c r="E1053">
        <v>22496</v>
      </c>
      <c r="F1053">
        <v>1324</v>
      </c>
      <c r="G1053">
        <v>150</v>
      </c>
      <c r="H1053" s="4">
        <v>1242.82</v>
      </c>
      <c r="I1053" s="4">
        <v>10402.31</v>
      </c>
      <c r="J1053" s="7">
        <f>Table1[[#This Row],[Clicks]]/Table1[[#This Row],[Impressions]]</f>
        <v>5.8854907539118068E-2</v>
      </c>
      <c r="K1053" s="7">
        <f>IFERROR(Table1[[#This Row],[Conversions]]/Table1[[#This Row],[Clicks]],0)</f>
        <v>0.11329305135951662</v>
      </c>
      <c r="L1053" s="6">
        <f>IF(Table1[[#This Row],[Conversions]]=0,0,Table1[[#This Row],[Ad Spend]]/Table1[[#This Row],[Conversions]])</f>
        <v>8.2854666666666663</v>
      </c>
      <c r="M1053" s="8">
        <f>IF(Table1[[#This Row],[Ad Spend]]=0,0,Table1[[#This Row],[Revenue]]/Table1[[#This Row],[Ad Spend]])</f>
        <v>8.3699248483288002</v>
      </c>
      <c r="N1053">
        <f>YEAR(Table1[[#This Row],[Date]])</f>
        <v>2024</v>
      </c>
      <c r="O1053" t="str">
        <f>TEXT(Table1[[#This Row],[Date]],"mmm")</f>
        <v>May</v>
      </c>
      <c r="P1053">
        <f>MONTH(Table1[[#This Row],[Date]])</f>
        <v>5</v>
      </c>
    </row>
    <row r="1054" spans="1:16" x14ac:dyDescent="0.25">
      <c r="A1054" t="s">
        <v>1073</v>
      </c>
      <c r="B1054" t="s">
        <v>9</v>
      </c>
      <c r="C1054" t="s">
        <v>19</v>
      </c>
      <c r="D1054" s="1">
        <v>45331</v>
      </c>
      <c r="E1054">
        <v>32583</v>
      </c>
      <c r="F1054">
        <v>1476</v>
      </c>
      <c r="G1054">
        <v>179</v>
      </c>
      <c r="H1054" s="4">
        <v>2168.46</v>
      </c>
      <c r="I1054" s="4">
        <v>6530.62</v>
      </c>
      <c r="J1054" s="7">
        <f>Table1[[#This Row],[Clicks]]/Table1[[#This Row],[Impressions]]</f>
        <v>4.5299696160574533E-2</v>
      </c>
      <c r="K1054" s="7">
        <f>IFERROR(Table1[[#This Row],[Conversions]]/Table1[[#This Row],[Clicks]],0)</f>
        <v>0.12127371273712736</v>
      </c>
      <c r="L1054" s="6">
        <f>IF(Table1[[#This Row],[Conversions]]=0,0,Table1[[#This Row],[Ad Spend]]/Table1[[#This Row],[Conversions]])</f>
        <v>12.114301675977654</v>
      </c>
      <c r="M1054" s="8">
        <f>IF(Table1[[#This Row],[Ad Spend]]=0,0,Table1[[#This Row],[Revenue]]/Table1[[#This Row],[Ad Spend]])</f>
        <v>3.0116395967645242</v>
      </c>
      <c r="N1054">
        <f>YEAR(Table1[[#This Row],[Date]])</f>
        <v>2024</v>
      </c>
      <c r="O1054" t="str">
        <f>TEXT(Table1[[#This Row],[Date]],"mmm")</f>
        <v>Feb</v>
      </c>
      <c r="P1054">
        <f>MONTH(Table1[[#This Row],[Date]])</f>
        <v>2</v>
      </c>
    </row>
    <row r="1055" spans="1:16" x14ac:dyDescent="0.25">
      <c r="A1055" t="s">
        <v>1074</v>
      </c>
      <c r="B1055" t="s">
        <v>14</v>
      </c>
      <c r="C1055" t="s">
        <v>12</v>
      </c>
      <c r="D1055" s="1">
        <v>45314</v>
      </c>
      <c r="E1055">
        <v>126154</v>
      </c>
      <c r="F1055">
        <v>1497</v>
      </c>
      <c r="G1055">
        <v>154</v>
      </c>
      <c r="H1055" s="4">
        <v>3442.99</v>
      </c>
      <c r="I1055" s="4">
        <v>10193.32</v>
      </c>
      <c r="J1055" s="7">
        <f>Table1[[#This Row],[Clicks]]/Table1[[#This Row],[Impressions]]</f>
        <v>1.1866448943354948E-2</v>
      </c>
      <c r="K1055" s="7">
        <f>IFERROR(Table1[[#This Row],[Conversions]]/Table1[[#This Row],[Clicks]],0)</f>
        <v>0.10287241148964596</v>
      </c>
      <c r="L1055" s="6">
        <f>IF(Table1[[#This Row],[Conversions]]=0,0,Table1[[#This Row],[Ad Spend]]/Table1[[#This Row],[Conversions]])</f>
        <v>22.35707792207792</v>
      </c>
      <c r="M1055" s="8">
        <f>IF(Table1[[#This Row],[Ad Spend]]=0,0,Table1[[#This Row],[Revenue]]/Table1[[#This Row],[Ad Spend]])</f>
        <v>2.9606011054345207</v>
      </c>
      <c r="N1055">
        <f>YEAR(Table1[[#This Row],[Date]])</f>
        <v>2024</v>
      </c>
      <c r="O1055" t="str">
        <f>TEXT(Table1[[#This Row],[Date]],"mmm")</f>
        <v>Jan</v>
      </c>
      <c r="P1055">
        <f>MONTH(Table1[[#This Row],[Date]])</f>
        <v>1</v>
      </c>
    </row>
    <row r="1056" spans="1:16" x14ac:dyDescent="0.25">
      <c r="A1056" t="s">
        <v>1075</v>
      </c>
      <c r="B1056" t="s">
        <v>47</v>
      </c>
      <c r="C1056" t="s">
        <v>17</v>
      </c>
      <c r="D1056" s="1">
        <v>45391</v>
      </c>
      <c r="E1056">
        <v>108985</v>
      </c>
      <c r="F1056">
        <v>1378</v>
      </c>
      <c r="G1056">
        <v>72</v>
      </c>
      <c r="H1056" s="4">
        <v>3603.68</v>
      </c>
      <c r="I1056" s="4">
        <v>2422.66</v>
      </c>
      <c r="J1056" s="7">
        <f>Table1[[#This Row],[Clicks]]/Table1[[#This Row],[Impressions]]</f>
        <v>1.2643941826856906E-2</v>
      </c>
      <c r="K1056" s="7">
        <f>IFERROR(Table1[[#This Row],[Conversions]]/Table1[[#This Row],[Clicks]],0)</f>
        <v>5.2249637155297533E-2</v>
      </c>
      <c r="L1056" s="6">
        <f>IF(Table1[[#This Row],[Conversions]]=0,0,Table1[[#This Row],[Ad Spend]]/Table1[[#This Row],[Conversions]])</f>
        <v>50.051111111111112</v>
      </c>
      <c r="M1056" s="8">
        <f>IF(Table1[[#This Row],[Ad Spend]]=0,0,Table1[[#This Row],[Revenue]]/Table1[[#This Row],[Ad Spend]])</f>
        <v>0.67227389779336677</v>
      </c>
      <c r="N1056">
        <f>YEAR(Table1[[#This Row],[Date]])</f>
        <v>2024</v>
      </c>
      <c r="O1056" t="str">
        <f>TEXT(Table1[[#This Row],[Date]],"mmm")</f>
        <v>Apr</v>
      </c>
      <c r="P1056">
        <f>MONTH(Table1[[#This Row],[Date]])</f>
        <v>4</v>
      </c>
    </row>
    <row r="1057" spans="1:16" x14ac:dyDescent="0.25">
      <c r="A1057" t="s">
        <v>1076</v>
      </c>
      <c r="B1057" t="s">
        <v>41</v>
      </c>
      <c r="C1057" t="s">
        <v>17</v>
      </c>
      <c r="D1057" s="1">
        <v>45528</v>
      </c>
      <c r="E1057">
        <v>22887</v>
      </c>
      <c r="F1057">
        <v>361</v>
      </c>
      <c r="G1057">
        <v>38</v>
      </c>
      <c r="H1057" s="4">
        <v>3625.19</v>
      </c>
      <c r="I1057" s="4">
        <v>2423.35</v>
      </c>
      <c r="J1057" s="7">
        <f>Table1[[#This Row],[Clicks]]/Table1[[#This Row],[Impressions]]</f>
        <v>1.5773146327609559E-2</v>
      </c>
      <c r="K1057" s="7">
        <f>IFERROR(Table1[[#This Row],[Conversions]]/Table1[[#This Row],[Clicks]],0)</f>
        <v>0.10526315789473684</v>
      </c>
      <c r="L1057" s="6">
        <f>IF(Table1[[#This Row],[Conversions]]=0,0,Table1[[#This Row],[Ad Spend]]/Table1[[#This Row],[Conversions]])</f>
        <v>95.39973684210527</v>
      </c>
      <c r="M1057" s="8">
        <f>IF(Table1[[#This Row],[Ad Spend]]=0,0,Table1[[#This Row],[Revenue]]/Table1[[#This Row],[Ad Spend]])</f>
        <v>0.66847530750112405</v>
      </c>
      <c r="N1057">
        <f>YEAR(Table1[[#This Row],[Date]])</f>
        <v>2024</v>
      </c>
      <c r="O1057" t="str">
        <f>TEXT(Table1[[#This Row],[Date]],"mmm")</f>
        <v>Aug</v>
      </c>
      <c r="P1057">
        <f>MONTH(Table1[[#This Row],[Date]])</f>
        <v>8</v>
      </c>
    </row>
    <row r="1058" spans="1:16" x14ac:dyDescent="0.25">
      <c r="A1058" t="s">
        <v>1077</v>
      </c>
      <c r="B1058" t="s">
        <v>41</v>
      </c>
      <c r="C1058" t="s">
        <v>19</v>
      </c>
      <c r="D1058" s="1">
        <v>45374</v>
      </c>
      <c r="E1058">
        <v>49718</v>
      </c>
      <c r="F1058">
        <v>3415</v>
      </c>
      <c r="G1058">
        <v>337</v>
      </c>
      <c r="H1058" s="4">
        <v>1050.74</v>
      </c>
      <c r="I1058" s="4">
        <v>10923.9</v>
      </c>
      <c r="J1058" s="7">
        <f>Table1[[#This Row],[Clicks]]/Table1[[#This Row],[Impressions]]</f>
        <v>6.8687396918621024E-2</v>
      </c>
      <c r="K1058" s="7">
        <f>IFERROR(Table1[[#This Row],[Conversions]]/Table1[[#This Row],[Clicks]],0)</f>
        <v>9.8682284040995605E-2</v>
      </c>
      <c r="L1058" s="6">
        <f>IF(Table1[[#This Row],[Conversions]]=0,0,Table1[[#This Row],[Ad Spend]]/Table1[[#This Row],[Conversions]])</f>
        <v>3.1179228486646884</v>
      </c>
      <c r="M1058" s="8">
        <f>IF(Table1[[#This Row],[Ad Spend]]=0,0,Table1[[#This Row],[Revenue]]/Table1[[#This Row],[Ad Spend]])</f>
        <v>10.396387307992462</v>
      </c>
      <c r="N1058">
        <f>YEAR(Table1[[#This Row],[Date]])</f>
        <v>2024</v>
      </c>
      <c r="O1058" t="str">
        <f>TEXT(Table1[[#This Row],[Date]],"mmm")</f>
        <v>Mar</v>
      </c>
      <c r="P1058">
        <f>MONTH(Table1[[#This Row],[Date]])</f>
        <v>3</v>
      </c>
    </row>
    <row r="1059" spans="1:16" x14ac:dyDescent="0.25">
      <c r="A1059" t="s">
        <v>1078</v>
      </c>
      <c r="B1059" t="s">
        <v>21</v>
      </c>
      <c r="C1059" t="s">
        <v>37</v>
      </c>
      <c r="D1059" s="1">
        <v>45331</v>
      </c>
      <c r="E1059">
        <v>7938</v>
      </c>
      <c r="F1059">
        <v>455</v>
      </c>
      <c r="G1059">
        <v>18</v>
      </c>
      <c r="H1059" s="4">
        <v>1918.82</v>
      </c>
      <c r="I1059" s="4">
        <v>750.01</v>
      </c>
      <c r="J1059" s="7">
        <f>Table1[[#This Row],[Clicks]]/Table1[[#This Row],[Impressions]]</f>
        <v>5.7319223985890649E-2</v>
      </c>
      <c r="K1059" s="7">
        <f>IFERROR(Table1[[#This Row],[Conversions]]/Table1[[#This Row],[Clicks]],0)</f>
        <v>3.9560439560439559E-2</v>
      </c>
      <c r="L1059" s="6">
        <f>IF(Table1[[#This Row],[Conversions]]=0,0,Table1[[#This Row],[Ad Spend]]/Table1[[#This Row],[Conversions]])</f>
        <v>106.60111111111111</v>
      </c>
      <c r="M1059" s="8">
        <f>IF(Table1[[#This Row],[Ad Spend]]=0,0,Table1[[#This Row],[Revenue]]/Table1[[#This Row],[Ad Spend]])</f>
        <v>0.39087043078558698</v>
      </c>
      <c r="N1059">
        <f>YEAR(Table1[[#This Row],[Date]])</f>
        <v>2024</v>
      </c>
      <c r="O1059" t="str">
        <f>TEXT(Table1[[#This Row],[Date]],"mmm")</f>
        <v>Feb</v>
      </c>
      <c r="P1059">
        <f>MONTH(Table1[[#This Row],[Date]])</f>
        <v>2</v>
      </c>
    </row>
    <row r="1060" spans="1:16" x14ac:dyDescent="0.25">
      <c r="A1060" t="s">
        <v>1079</v>
      </c>
      <c r="B1060" t="s">
        <v>31</v>
      </c>
      <c r="C1060" t="s">
        <v>12</v>
      </c>
      <c r="D1060" s="1">
        <v>45402</v>
      </c>
      <c r="E1060">
        <v>120882</v>
      </c>
      <c r="F1060">
        <v>7104</v>
      </c>
      <c r="G1060">
        <v>914</v>
      </c>
      <c r="H1060" s="4">
        <v>4095.26</v>
      </c>
      <c r="I1060" s="4">
        <v>76868.509999999995</v>
      </c>
      <c r="J1060" s="7">
        <f>Table1[[#This Row],[Clicks]]/Table1[[#This Row],[Impressions]]</f>
        <v>5.8768054797240281E-2</v>
      </c>
      <c r="K1060" s="7">
        <f>IFERROR(Table1[[#This Row],[Conversions]]/Table1[[#This Row],[Clicks]],0)</f>
        <v>0.12865990990990991</v>
      </c>
      <c r="L1060" s="6">
        <f>IF(Table1[[#This Row],[Conversions]]=0,0,Table1[[#This Row],[Ad Spend]]/Table1[[#This Row],[Conversions]])</f>
        <v>4.4805908096280094</v>
      </c>
      <c r="M1060" s="8">
        <f>IF(Table1[[#This Row],[Ad Spend]]=0,0,Table1[[#This Row],[Revenue]]/Table1[[#This Row],[Ad Spend]])</f>
        <v>18.770117159838446</v>
      </c>
      <c r="N1060">
        <f>YEAR(Table1[[#This Row],[Date]])</f>
        <v>2024</v>
      </c>
      <c r="O1060" t="str">
        <f>TEXT(Table1[[#This Row],[Date]],"mmm")</f>
        <v>Apr</v>
      </c>
      <c r="P1060">
        <f>MONTH(Table1[[#This Row],[Date]])</f>
        <v>4</v>
      </c>
    </row>
    <row r="1061" spans="1:16" x14ac:dyDescent="0.25">
      <c r="A1061" t="s">
        <v>1080</v>
      </c>
      <c r="B1061" t="s">
        <v>9</v>
      </c>
      <c r="C1061" t="s">
        <v>17</v>
      </c>
      <c r="D1061" s="1">
        <v>45645</v>
      </c>
      <c r="E1061">
        <v>85825</v>
      </c>
      <c r="F1061">
        <v>3525</v>
      </c>
      <c r="G1061">
        <v>344</v>
      </c>
      <c r="H1061" s="4">
        <v>433.59</v>
      </c>
      <c r="I1061" s="4">
        <v>19862.41</v>
      </c>
      <c r="J1061" s="7">
        <f>Table1[[#This Row],[Clicks]]/Table1[[#This Row],[Impressions]]</f>
        <v>4.1071948732886686E-2</v>
      </c>
      <c r="K1061" s="7">
        <f>IFERROR(Table1[[#This Row],[Conversions]]/Table1[[#This Row],[Clicks]],0)</f>
        <v>9.75886524822695E-2</v>
      </c>
      <c r="L1061" s="6">
        <f>IF(Table1[[#This Row],[Conversions]]=0,0,Table1[[#This Row],[Ad Spend]]/Table1[[#This Row],[Conversions]])</f>
        <v>1.2604360465116278</v>
      </c>
      <c r="M1061" s="8">
        <f>IF(Table1[[#This Row],[Ad Spend]]=0,0,Table1[[#This Row],[Revenue]]/Table1[[#This Row],[Ad Spend]])</f>
        <v>45.809197629096616</v>
      </c>
      <c r="N1061">
        <f>YEAR(Table1[[#This Row],[Date]])</f>
        <v>2024</v>
      </c>
      <c r="O1061" t="str">
        <f>TEXT(Table1[[#This Row],[Date]],"mmm")</f>
        <v>Dec</v>
      </c>
      <c r="P1061">
        <f>MONTH(Table1[[#This Row],[Date]])</f>
        <v>12</v>
      </c>
    </row>
    <row r="1062" spans="1:16" x14ac:dyDescent="0.25">
      <c r="A1062" t="s">
        <v>1081</v>
      </c>
      <c r="B1062" t="s">
        <v>14</v>
      </c>
      <c r="C1062" t="s">
        <v>37</v>
      </c>
      <c r="D1062" s="1">
        <v>45483</v>
      </c>
      <c r="E1062">
        <v>67531</v>
      </c>
      <c r="F1062">
        <v>1620</v>
      </c>
      <c r="G1062">
        <v>35</v>
      </c>
      <c r="H1062" s="4">
        <v>334.13</v>
      </c>
      <c r="I1062" s="4">
        <v>750.96</v>
      </c>
      <c r="J1062" s="7">
        <f>Table1[[#This Row],[Clicks]]/Table1[[#This Row],[Impressions]]</f>
        <v>2.398898283751166E-2</v>
      </c>
      <c r="K1062" s="7">
        <f>IFERROR(Table1[[#This Row],[Conversions]]/Table1[[#This Row],[Clicks]],0)</f>
        <v>2.1604938271604937E-2</v>
      </c>
      <c r="L1062" s="6">
        <f>IF(Table1[[#This Row],[Conversions]]=0,0,Table1[[#This Row],[Ad Spend]]/Table1[[#This Row],[Conversions]])</f>
        <v>9.5465714285714292</v>
      </c>
      <c r="M1062" s="8">
        <f>IF(Table1[[#This Row],[Ad Spend]]=0,0,Table1[[#This Row],[Revenue]]/Table1[[#This Row],[Ad Spend]])</f>
        <v>2.2475084547930448</v>
      </c>
      <c r="N1062">
        <f>YEAR(Table1[[#This Row],[Date]])</f>
        <v>2024</v>
      </c>
      <c r="O1062" t="str">
        <f>TEXT(Table1[[#This Row],[Date]],"mmm")</f>
        <v>Jul</v>
      </c>
      <c r="P1062">
        <f>MONTH(Table1[[#This Row],[Date]])</f>
        <v>7</v>
      </c>
    </row>
    <row r="1063" spans="1:16" x14ac:dyDescent="0.25">
      <c r="A1063" t="s">
        <v>1082</v>
      </c>
      <c r="B1063" t="s">
        <v>14</v>
      </c>
      <c r="C1063" t="s">
        <v>10</v>
      </c>
      <c r="D1063" s="1">
        <v>45404</v>
      </c>
      <c r="E1063">
        <v>30323</v>
      </c>
      <c r="F1063">
        <v>1994</v>
      </c>
      <c r="G1063">
        <v>255</v>
      </c>
      <c r="H1063" s="4">
        <v>1005.84</v>
      </c>
      <c r="I1063" s="4">
        <v>9359.7099999999991</v>
      </c>
      <c r="J1063" s="7">
        <f>Table1[[#This Row],[Clicks]]/Table1[[#This Row],[Impressions]]</f>
        <v>6.5758665039738817E-2</v>
      </c>
      <c r="K1063" s="7">
        <f>IFERROR(Table1[[#This Row],[Conversions]]/Table1[[#This Row],[Clicks]],0)</f>
        <v>0.12788365095285859</v>
      </c>
      <c r="L1063" s="6">
        <f>IF(Table1[[#This Row],[Conversions]]=0,0,Table1[[#This Row],[Ad Spend]]/Table1[[#This Row],[Conversions]])</f>
        <v>3.9444705882352942</v>
      </c>
      <c r="M1063" s="8">
        <f>IF(Table1[[#This Row],[Ad Spend]]=0,0,Table1[[#This Row],[Revenue]]/Table1[[#This Row],[Ad Spend]])</f>
        <v>9.3053666587131136</v>
      </c>
      <c r="N1063">
        <f>YEAR(Table1[[#This Row],[Date]])</f>
        <v>2024</v>
      </c>
      <c r="O1063" t="str">
        <f>TEXT(Table1[[#This Row],[Date]],"mmm")</f>
        <v>Apr</v>
      </c>
      <c r="P1063">
        <f>MONTH(Table1[[#This Row],[Date]])</f>
        <v>4</v>
      </c>
    </row>
    <row r="1064" spans="1:16" x14ac:dyDescent="0.25">
      <c r="A1064" t="s">
        <v>1083</v>
      </c>
      <c r="B1064" t="s">
        <v>21</v>
      </c>
      <c r="C1064" t="s">
        <v>12</v>
      </c>
      <c r="D1064" s="1">
        <v>45347</v>
      </c>
      <c r="E1064">
        <v>90758</v>
      </c>
      <c r="F1064">
        <v>2957</v>
      </c>
      <c r="G1064">
        <v>300</v>
      </c>
      <c r="H1064" s="4">
        <v>3198.43</v>
      </c>
      <c r="I1064" s="4">
        <v>34029.82</v>
      </c>
      <c r="J1064" s="7">
        <f>Table1[[#This Row],[Clicks]]/Table1[[#This Row],[Impressions]]</f>
        <v>3.2581149871085742E-2</v>
      </c>
      <c r="K1064" s="7">
        <f>IFERROR(Table1[[#This Row],[Conversions]]/Table1[[#This Row],[Clicks]],0)</f>
        <v>0.10145417653026716</v>
      </c>
      <c r="L1064" s="6">
        <f>IF(Table1[[#This Row],[Conversions]]=0,0,Table1[[#This Row],[Ad Spend]]/Table1[[#This Row],[Conversions]])</f>
        <v>10.661433333333333</v>
      </c>
      <c r="M1064" s="8">
        <f>IF(Table1[[#This Row],[Ad Spend]]=0,0,Table1[[#This Row],[Revenue]]/Table1[[#This Row],[Ad Spend]])</f>
        <v>10.639538773710852</v>
      </c>
      <c r="N1064">
        <f>YEAR(Table1[[#This Row],[Date]])</f>
        <v>2024</v>
      </c>
      <c r="O1064" t="str">
        <f>TEXT(Table1[[#This Row],[Date]],"mmm")</f>
        <v>Feb</v>
      </c>
      <c r="P1064">
        <f>MONTH(Table1[[#This Row],[Date]])</f>
        <v>2</v>
      </c>
    </row>
    <row r="1065" spans="1:16" x14ac:dyDescent="0.25">
      <c r="A1065" t="s">
        <v>1084</v>
      </c>
      <c r="B1065" t="s">
        <v>21</v>
      </c>
      <c r="C1065" t="s">
        <v>17</v>
      </c>
      <c r="D1065" s="1">
        <v>45353</v>
      </c>
      <c r="E1065">
        <v>65924</v>
      </c>
      <c r="F1065">
        <v>1645</v>
      </c>
      <c r="G1065">
        <v>109</v>
      </c>
      <c r="H1065" s="4">
        <v>1033.3800000000001</v>
      </c>
      <c r="I1065" s="4">
        <v>6563.32</v>
      </c>
      <c r="J1065" s="7">
        <f>Table1[[#This Row],[Clicks]]/Table1[[#This Row],[Impressions]]</f>
        <v>2.4952976154359565E-2</v>
      </c>
      <c r="K1065" s="7">
        <f>IFERROR(Table1[[#This Row],[Conversions]]/Table1[[#This Row],[Clicks]],0)</f>
        <v>6.62613981762918E-2</v>
      </c>
      <c r="L1065" s="6">
        <f>IF(Table1[[#This Row],[Conversions]]=0,0,Table1[[#This Row],[Ad Spend]]/Table1[[#This Row],[Conversions]])</f>
        <v>9.480550458715598</v>
      </c>
      <c r="M1065" s="8">
        <f>IF(Table1[[#This Row],[Ad Spend]]=0,0,Table1[[#This Row],[Revenue]]/Table1[[#This Row],[Ad Spend]])</f>
        <v>6.3513131665021572</v>
      </c>
      <c r="N1065">
        <f>YEAR(Table1[[#This Row],[Date]])</f>
        <v>2024</v>
      </c>
      <c r="O1065" t="str">
        <f>TEXT(Table1[[#This Row],[Date]],"mmm")</f>
        <v>Mar</v>
      </c>
      <c r="P1065">
        <f>MONTH(Table1[[#This Row],[Date]])</f>
        <v>3</v>
      </c>
    </row>
    <row r="1066" spans="1:16" x14ac:dyDescent="0.25">
      <c r="A1066" t="s">
        <v>1085</v>
      </c>
      <c r="B1066" t="s">
        <v>47</v>
      </c>
      <c r="C1066" t="s">
        <v>10</v>
      </c>
      <c r="D1066" s="1">
        <v>45491</v>
      </c>
      <c r="E1066">
        <v>60775</v>
      </c>
      <c r="F1066">
        <v>2559</v>
      </c>
      <c r="G1066">
        <v>73</v>
      </c>
      <c r="H1066" s="4">
        <v>4112.41</v>
      </c>
      <c r="I1066" s="4">
        <v>6204.6</v>
      </c>
      <c r="J1066" s="7">
        <f>Table1[[#This Row],[Clicks]]/Table1[[#This Row],[Impressions]]</f>
        <v>4.2106129164952696E-2</v>
      </c>
      <c r="K1066" s="7">
        <f>IFERROR(Table1[[#This Row],[Conversions]]/Table1[[#This Row],[Clicks]],0)</f>
        <v>2.8526768268855023E-2</v>
      </c>
      <c r="L1066" s="6">
        <f>IF(Table1[[#This Row],[Conversions]]=0,0,Table1[[#This Row],[Ad Spend]]/Table1[[#This Row],[Conversions]])</f>
        <v>56.334383561643833</v>
      </c>
      <c r="M1066" s="8">
        <f>IF(Table1[[#This Row],[Ad Spend]]=0,0,Table1[[#This Row],[Revenue]]/Table1[[#This Row],[Ad Spend]])</f>
        <v>1.5087503434725624</v>
      </c>
      <c r="N1066">
        <f>YEAR(Table1[[#This Row],[Date]])</f>
        <v>2024</v>
      </c>
      <c r="O1066" t="str">
        <f>TEXT(Table1[[#This Row],[Date]],"mmm")</f>
        <v>Jul</v>
      </c>
      <c r="P1066">
        <f>MONTH(Table1[[#This Row],[Date]])</f>
        <v>7</v>
      </c>
    </row>
    <row r="1067" spans="1:16" x14ac:dyDescent="0.25">
      <c r="A1067" t="s">
        <v>1086</v>
      </c>
      <c r="B1067" t="s">
        <v>47</v>
      </c>
      <c r="C1067" t="s">
        <v>10</v>
      </c>
      <c r="D1067" s="1">
        <v>45326</v>
      </c>
      <c r="E1067">
        <v>62294</v>
      </c>
      <c r="F1067">
        <v>2415</v>
      </c>
      <c r="G1067">
        <v>289</v>
      </c>
      <c r="H1067" s="4">
        <v>2597.96</v>
      </c>
      <c r="I1067" s="4">
        <v>34404.71</v>
      </c>
      <c r="J1067" s="7">
        <f>Table1[[#This Row],[Clicks]]/Table1[[#This Row],[Impressions]]</f>
        <v>3.8767778598259861E-2</v>
      </c>
      <c r="K1067" s="7">
        <f>IFERROR(Table1[[#This Row],[Conversions]]/Table1[[#This Row],[Clicks]],0)</f>
        <v>0.11966873706004141</v>
      </c>
      <c r="L1067" s="6">
        <f>IF(Table1[[#This Row],[Conversions]]=0,0,Table1[[#This Row],[Ad Spend]]/Table1[[#This Row],[Conversions]])</f>
        <v>8.9894809688581319</v>
      </c>
      <c r="M1067" s="8">
        <f>IF(Table1[[#This Row],[Ad Spend]]=0,0,Table1[[#This Row],[Revenue]]/Table1[[#This Row],[Ad Spend]])</f>
        <v>13.242971408335771</v>
      </c>
      <c r="N1067">
        <f>YEAR(Table1[[#This Row],[Date]])</f>
        <v>2024</v>
      </c>
      <c r="O1067" t="str">
        <f>TEXT(Table1[[#This Row],[Date]],"mmm")</f>
        <v>Feb</v>
      </c>
      <c r="P1067">
        <f>MONTH(Table1[[#This Row],[Date]])</f>
        <v>2</v>
      </c>
    </row>
    <row r="1068" spans="1:16" x14ac:dyDescent="0.25">
      <c r="A1068" t="s">
        <v>1087</v>
      </c>
      <c r="B1068" t="s">
        <v>16</v>
      </c>
      <c r="C1068" t="s">
        <v>19</v>
      </c>
      <c r="D1068" s="1">
        <v>45340</v>
      </c>
      <c r="E1068">
        <v>90027</v>
      </c>
      <c r="F1068">
        <v>7085</v>
      </c>
      <c r="G1068">
        <v>783</v>
      </c>
      <c r="H1068" s="4">
        <v>3453.92</v>
      </c>
      <c r="I1068" s="4">
        <v>91796.32</v>
      </c>
      <c r="J1068" s="7">
        <f>Table1[[#This Row],[Clicks]]/Table1[[#This Row],[Impressions]]</f>
        <v>7.8698612638430698E-2</v>
      </c>
      <c r="K1068" s="7">
        <f>IFERROR(Table1[[#This Row],[Conversions]]/Table1[[#This Row],[Clicks]],0)</f>
        <v>0.11051517290049401</v>
      </c>
      <c r="L1068" s="6">
        <f>IF(Table1[[#This Row],[Conversions]]=0,0,Table1[[#This Row],[Ad Spend]]/Table1[[#This Row],[Conversions]])</f>
        <v>4.4111366538952748</v>
      </c>
      <c r="M1068" s="8">
        <f>IF(Table1[[#This Row],[Ad Spend]]=0,0,Table1[[#This Row],[Revenue]]/Table1[[#This Row],[Ad Spend]])</f>
        <v>26.577430861166444</v>
      </c>
      <c r="N1068">
        <f>YEAR(Table1[[#This Row],[Date]])</f>
        <v>2024</v>
      </c>
      <c r="O1068" t="str">
        <f>TEXT(Table1[[#This Row],[Date]],"mmm")</f>
        <v>Feb</v>
      </c>
      <c r="P1068">
        <f>MONTH(Table1[[#This Row],[Date]])</f>
        <v>2</v>
      </c>
    </row>
    <row r="1069" spans="1:16" x14ac:dyDescent="0.25">
      <c r="A1069" t="s">
        <v>1088</v>
      </c>
      <c r="B1069" t="s">
        <v>16</v>
      </c>
      <c r="C1069" t="s">
        <v>19</v>
      </c>
      <c r="D1069" s="1">
        <v>45381</v>
      </c>
      <c r="E1069">
        <v>88353</v>
      </c>
      <c r="F1069">
        <v>6932</v>
      </c>
      <c r="G1069">
        <v>739</v>
      </c>
      <c r="H1069" s="4">
        <v>524.05999999999995</v>
      </c>
      <c r="I1069" s="4">
        <v>16084.25</v>
      </c>
      <c r="J1069" s="7">
        <f>Table1[[#This Row],[Clicks]]/Table1[[#This Row],[Impressions]]</f>
        <v>7.8458003689744552E-2</v>
      </c>
      <c r="K1069" s="7">
        <f>IFERROR(Table1[[#This Row],[Conversions]]/Table1[[#This Row],[Clicks]],0)</f>
        <v>0.10660703981534911</v>
      </c>
      <c r="L1069" s="6">
        <f>IF(Table1[[#This Row],[Conversions]]=0,0,Table1[[#This Row],[Ad Spend]]/Table1[[#This Row],[Conversions]])</f>
        <v>0.70914749661705001</v>
      </c>
      <c r="M1069" s="8">
        <f>IF(Table1[[#This Row],[Ad Spend]]=0,0,Table1[[#This Row],[Revenue]]/Table1[[#This Row],[Ad Spend]])</f>
        <v>30.691619280235091</v>
      </c>
      <c r="N1069">
        <f>YEAR(Table1[[#This Row],[Date]])</f>
        <v>2024</v>
      </c>
      <c r="O1069" t="str">
        <f>TEXT(Table1[[#This Row],[Date]],"mmm")</f>
        <v>Mar</v>
      </c>
      <c r="P1069">
        <f>MONTH(Table1[[#This Row],[Date]])</f>
        <v>3</v>
      </c>
    </row>
    <row r="1070" spans="1:16" x14ac:dyDescent="0.25">
      <c r="A1070" t="s">
        <v>1089</v>
      </c>
      <c r="B1070" t="s">
        <v>41</v>
      </c>
      <c r="C1070" t="s">
        <v>17</v>
      </c>
      <c r="D1070" s="1">
        <v>45553</v>
      </c>
      <c r="E1070">
        <v>65928</v>
      </c>
      <c r="F1070">
        <v>2982</v>
      </c>
      <c r="G1070">
        <v>332</v>
      </c>
      <c r="H1070" s="4">
        <v>263.8</v>
      </c>
      <c r="I1070" s="4">
        <v>7344.28</v>
      </c>
      <c r="J1070" s="7">
        <f>Table1[[#This Row],[Clicks]]/Table1[[#This Row],[Impressions]]</f>
        <v>4.5231161266836552E-2</v>
      </c>
      <c r="K1070" s="7">
        <f>IFERROR(Table1[[#This Row],[Conversions]]/Table1[[#This Row],[Clicks]],0)</f>
        <v>0.11133467471495641</v>
      </c>
      <c r="L1070" s="6">
        <f>IF(Table1[[#This Row],[Conversions]]=0,0,Table1[[#This Row],[Ad Spend]]/Table1[[#This Row],[Conversions]])</f>
        <v>0.79457831325301209</v>
      </c>
      <c r="M1070" s="8">
        <f>IF(Table1[[#This Row],[Ad Spend]]=0,0,Table1[[#This Row],[Revenue]]/Table1[[#This Row],[Ad Spend]])</f>
        <v>27.840333586050036</v>
      </c>
      <c r="N1070">
        <f>YEAR(Table1[[#This Row],[Date]])</f>
        <v>2024</v>
      </c>
      <c r="O1070" t="str">
        <f>TEXT(Table1[[#This Row],[Date]],"mmm")</f>
        <v>Sept</v>
      </c>
      <c r="P1070">
        <f>MONTH(Table1[[#This Row],[Date]])</f>
        <v>9</v>
      </c>
    </row>
    <row r="1071" spans="1:16" x14ac:dyDescent="0.25">
      <c r="A1071" t="s">
        <v>1090</v>
      </c>
      <c r="B1071" t="s">
        <v>9</v>
      </c>
      <c r="C1071" t="s">
        <v>19</v>
      </c>
      <c r="D1071" s="1">
        <v>45413</v>
      </c>
      <c r="E1071">
        <v>117328</v>
      </c>
      <c r="F1071">
        <v>7392</v>
      </c>
      <c r="G1071">
        <v>743</v>
      </c>
      <c r="H1071" s="4">
        <v>487.63</v>
      </c>
      <c r="I1071" s="4">
        <v>42687.11</v>
      </c>
      <c r="J1071" s="7">
        <f>Table1[[#This Row],[Clicks]]/Table1[[#This Row],[Impressions]]</f>
        <v>6.3002863766534842E-2</v>
      </c>
      <c r="K1071" s="7">
        <f>IFERROR(Table1[[#This Row],[Conversions]]/Table1[[#This Row],[Clicks]],0)</f>
        <v>0.10051406926406926</v>
      </c>
      <c r="L1071" s="6">
        <f>IF(Table1[[#This Row],[Conversions]]=0,0,Table1[[#This Row],[Ad Spend]]/Table1[[#This Row],[Conversions]])</f>
        <v>0.65629878869448177</v>
      </c>
      <c r="M1071" s="8">
        <f>IF(Table1[[#This Row],[Ad Spend]]=0,0,Table1[[#This Row],[Revenue]]/Table1[[#This Row],[Ad Spend]])</f>
        <v>87.5399585751492</v>
      </c>
      <c r="N1071">
        <f>YEAR(Table1[[#This Row],[Date]])</f>
        <v>2024</v>
      </c>
      <c r="O1071" t="str">
        <f>TEXT(Table1[[#This Row],[Date]],"mmm")</f>
        <v>May</v>
      </c>
      <c r="P1071">
        <f>MONTH(Table1[[#This Row],[Date]])</f>
        <v>5</v>
      </c>
    </row>
    <row r="1072" spans="1:16" x14ac:dyDescent="0.25">
      <c r="A1072" t="s">
        <v>1091</v>
      </c>
      <c r="B1072" t="s">
        <v>34</v>
      </c>
      <c r="C1072" t="s">
        <v>37</v>
      </c>
      <c r="D1072" s="1">
        <v>45369</v>
      </c>
      <c r="E1072">
        <v>103500</v>
      </c>
      <c r="F1072">
        <v>2515</v>
      </c>
      <c r="G1072">
        <v>62</v>
      </c>
      <c r="H1072" s="4">
        <v>4632.3599999999997</v>
      </c>
      <c r="I1072" s="4">
        <v>4948.07</v>
      </c>
      <c r="J1072" s="7">
        <f>Table1[[#This Row],[Clicks]]/Table1[[#This Row],[Impressions]]</f>
        <v>2.4299516908212561E-2</v>
      </c>
      <c r="K1072" s="7">
        <f>IFERROR(Table1[[#This Row],[Conversions]]/Table1[[#This Row],[Clicks]],0)</f>
        <v>2.4652087475149104E-2</v>
      </c>
      <c r="L1072" s="6">
        <f>IF(Table1[[#This Row],[Conversions]]=0,0,Table1[[#This Row],[Ad Spend]]/Table1[[#This Row],[Conversions]])</f>
        <v>74.715483870967731</v>
      </c>
      <c r="M1072" s="8">
        <f>IF(Table1[[#This Row],[Ad Spend]]=0,0,Table1[[#This Row],[Revenue]]/Table1[[#This Row],[Ad Spend]])</f>
        <v>1.0681531659888264</v>
      </c>
      <c r="N1072">
        <f>YEAR(Table1[[#This Row],[Date]])</f>
        <v>2024</v>
      </c>
      <c r="O1072" t="str">
        <f>TEXT(Table1[[#This Row],[Date]],"mmm")</f>
        <v>Mar</v>
      </c>
      <c r="P1072">
        <f>MONTH(Table1[[#This Row],[Date]])</f>
        <v>3</v>
      </c>
    </row>
    <row r="1073" spans="1:16" x14ac:dyDescent="0.25">
      <c r="A1073" t="s">
        <v>1092</v>
      </c>
      <c r="B1073" t="s">
        <v>41</v>
      </c>
      <c r="C1073" t="s">
        <v>19</v>
      </c>
      <c r="D1073" s="1">
        <v>45360</v>
      </c>
      <c r="E1073">
        <v>77909</v>
      </c>
      <c r="F1073">
        <v>2510</v>
      </c>
      <c r="G1073">
        <v>306</v>
      </c>
      <c r="H1073" s="4">
        <v>390.12</v>
      </c>
      <c r="I1073" s="4">
        <v>30348.46</v>
      </c>
      <c r="J1073" s="7">
        <f>Table1[[#This Row],[Clicks]]/Table1[[#This Row],[Impressions]]</f>
        <v>3.2217073765546986E-2</v>
      </c>
      <c r="K1073" s="7">
        <f>IFERROR(Table1[[#This Row],[Conversions]]/Table1[[#This Row],[Clicks]],0)</f>
        <v>0.12191235059760956</v>
      </c>
      <c r="L1073" s="6">
        <f>IF(Table1[[#This Row],[Conversions]]=0,0,Table1[[#This Row],[Ad Spend]]/Table1[[#This Row],[Conversions]])</f>
        <v>1.2749019607843137</v>
      </c>
      <c r="M1073" s="8">
        <f>IF(Table1[[#This Row],[Ad Spend]]=0,0,Table1[[#This Row],[Revenue]]/Table1[[#This Row],[Ad Spend]])</f>
        <v>77.792627909361215</v>
      </c>
      <c r="N1073">
        <f>YEAR(Table1[[#This Row],[Date]])</f>
        <v>2024</v>
      </c>
      <c r="O1073" t="str">
        <f>TEXT(Table1[[#This Row],[Date]],"mmm")</f>
        <v>Mar</v>
      </c>
      <c r="P1073">
        <f>MONTH(Table1[[#This Row],[Date]])</f>
        <v>3</v>
      </c>
    </row>
    <row r="1074" spans="1:16" x14ac:dyDescent="0.25">
      <c r="A1074" t="s">
        <v>1093</v>
      </c>
      <c r="B1074" t="s">
        <v>21</v>
      </c>
      <c r="C1074" t="s">
        <v>19</v>
      </c>
      <c r="D1074" s="1">
        <v>45676</v>
      </c>
      <c r="E1074">
        <v>11211</v>
      </c>
      <c r="F1074">
        <v>291</v>
      </c>
      <c r="G1074">
        <v>33</v>
      </c>
      <c r="H1074" s="4">
        <v>1845.1</v>
      </c>
      <c r="I1074" s="4">
        <v>1339.2</v>
      </c>
      <c r="J1074" s="7">
        <f>Table1[[#This Row],[Clicks]]/Table1[[#This Row],[Impressions]]</f>
        <v>2.5956649719025955E-2</v>
      </c>
      <c r="K1074" s="7">
        <f>IFERROR(Table1[[#This Row],[Conversions]]/Table1[[#This Row],[Clicks]],0)</f>
        <v>0.1134020618556701</v>
      </c>
      <c r="L1074" s="6">
        <f>IF(Table1[[#This Row],[Conversions]]=0,0,Table1[[#This Row],[Ad Spend]]/Table1[[#This Row],[Conversions]])</f>
        <v>55.912121212121207</v>
      </c>
      <c r="M1074" s="8">
        <f>IF(Table1[[#This Row],[Ad Spend]]=0,0,Table1[[#This Row],[Revenue]]/Table1[[#This Row],[Ad Spend]])</f>
        <v>0.72581431900709992</v>
      </c>
      <c r="N1074">
        <f>YEAR(Table1[[#This Row],[Date]])</f>
        <v>2025</v>
      </c>
      <c r="O1074" t="str">
        <f>TEXT(Table1[[#This Row],[Date]],"mmm")</f>
        <v>Jan</v>
      </c>
      <c r="P1074">
        <f>MONTH(Table1[[#This Row],[Date]])</f>
        <v>1</v>
      </c>
    </row>
    <row r="1075" spans="1:16" x14ac:dyDescent="0.25">
      <c r="A1075" t="s">
        <v>1094</v>
      </c>
      <c r="B1075" t="s">
        <v>31</v>
      </c>
      <c r="C1075" t="s">
        <v>37</v>
      </c>
      <c r="D1075" s="1">
        <v>45702</v>
      </c>
      <c r="E1075">
        <v>63312</v>
      </c>
      <c r="F1075">
        <v>3327</v>
      </c>
      <c r="G1075">
        <v>231</v>
      </c>
      <c r="H1075" s="4">
        <v>1743.86</v>
      </c>
      <c r="I1075" s="4">
        <v>14838.54</v>
      </c>
      <c r="J1075" s="7">
        <f>Table1[[#This Row],[Clicks]]/Table1[[#This Row],[Impressions]]</f>
        <v>5.2549279757391966E-2</v>
      </c>
      <c r="K1075" s="7">
        <f>IFERROR(Table1[[#This Row],[Conversions]]/Table1[[#This Row],[Clicks]],0)</f>
        <v>6.943192064923355E-2</v>
      </c>
      <c r="L1075" s="6">
        <f>IF(Table1[[#This Row],[Conversions]]=0,0,Table1[[#This Row],[Ad Spend]]/Table1[[#This Row],[Conversions]])</f>
        <v>7.549177489177489</v>
      </c>
      <c r="M1075" s="8">
        <f>IF(Table1[[#This Row],[Ad Spend]]=0,0,Table1[[#This Row],[Revenue]]/Table1[[#This Row],[Ad Spend]])</f>
        <v>8.5090202195130349</v>
      </c>
      <c r="N1075">
        <f>YEAR(Table1[[#This Row],[Date]])</f>
        <v>2025</v>
      </c>
      <c r="O1075" t="str">
        <f>TEXT(Table1[[#This Row],[Date]],"mmm")</f>
        <v>Feb</v>
      </c>
      <c r="P1075">
        <f>MONTH(Table1[[#This Row],[Date]])</f>
        <v>2</v>
      </c>
    </row>
    <row r="1076" spans="1:16" x14ac:dyDescent="0.25">
      <c r="A1076" t="s">
        <v>1095</v>
      </c>
      <c r="B1076" t="s">
        <v>31</v>
      </c>
      <c r="C1076" t="s">
        <v>10</v>
      </c>
      <c r="D1076" s="1">
        <v>45543</v>
      </c>
      <c r="E1076">
        <v>23346</v>
      </c>
      <c r="F1076">
        <v>1791</v>
      </c>
      <c r="G1076">
        <v>47</v>
      </c>
      <c r="H1076" s="4">
        <v>4961.66</v>
      </c>
      <c r="I1076" s="4">
        <v>5349.89</v>
      </c>
      <c r="J1076" s="7">
        <f>Table1[[#This Row],[Clicks]]/Table1[[#This Row],[Impressions]]</f>
        <v>7.6715497301464916E-2</v>
      </c>
      <c r="K1076" s="7">
        <f>IFERROR(Table1[[#This Row],[Conversions]]/Table1[[#This Row],[Clicks]],0)</f>
        <v>2.6242322724734785E-2</v>
      </c>
      <c r="L1076" s="6">
        <f>IF(Table1[[#This Row],[Conversions]]=0,0,Table1[[#This Row],[Ad Spend]]/Table1[[#This Row],[Conversions]])</f>
        <v>105.56723404255318</v>
      </c>
      <c r="M1076" s="8">
        <f>IF(Table1[[#This Row],[Ad Spend]]=0,0,Table1[[#This Row],[Revenue]]/Table1[[#This Row],[Ad Spend]])</f>
        <v>1.0782459902532622</v>
      </c>
      <c r="N1076">
        <f>YEAR(Table1[[#This Row],[Date]])</f>
        <v>2024</v>
      </c>
      <c r="O1076" t="str">
        <f>TEXT(Table1[[#This Row],[Date]],"mmm")</f>
        <v>Sept</v>
      </c>
      <c r="P1076">
        <f>MONTH(Table1[[#This Row],[Date]])</f>
        <v>9</v>
      </c>
    </row>
    <row r="1077" spans="1:16" x14ac:dyDescent="0.25">
      <c r="A1077" t="s">
        <v>1096</v>
      </c>
      <c r="B1077" t="s">
        <v>16</v>
      </c>
      <c r="C1077" t="s">
        <v>10</v>
      </c>
      <c r="D1077" s="1">
        <v>45380</v>
      </c>
      <c r="E1077">
        <v>148876</v>
      </c>
      <c r="F1077">
        <v>10151</v>
      </c>
      <c r="G1077">
        <v>1432</v>
      </c>
      <c r="H1077" s="4">
        <v>1334.29</v>
      </c>
      <c r="I1077" s="4">
        <v>39833.160000000003</v>
      </c>
      <c r="J1077" s="7">
        <f>Table1[[#This Row],[Clicks]]/Table1[[#This Row],[Impressions]]</f>
        <v>6.8184260727048016E-2</v>
      </c>
      <c r="K1077" s="7">
        <f>IFERROR(Table1[[#This Row],[Conversions]]/Table1[[#This Row],[Clicks]],0)</f>
        <v>0.14106984533543493</v>
      </c>
      <c r="L1077" s="6">
        <f>IF(Table1[[#This Row],[Conversions]]=0,0,Table1[[#This Row],[Ad Spend]]/Table1[[#This Row],[Conversions]])</f>
        <v>0.93176675977653634</v>
      </c>
      <c r="M1077" s="8">
        <f>IF(Table1[[#This Row],[Ad Spend]]=0,0,Table1[[#This Row],[Revenue]]/Table1[[#This Row],[Ad Spend]])</f>
        <v>29.853450149517723</v>
      </c>
      <c r="N1077">
        <f>YEAR(Table1[[#This Row],[Date]])</f>
        <v>2024</v>
      </c>
      <c r="O1077" t="str">
        <f>TEXT(Table1[[#This Row],[Date]],"mmm")</f>
        <v>Mar</v>
      </c>
      <c r="P1077">
        <f>MONTH(Table1[[#This Row],[Date]])</f>
        <v>3</v>
      </c>
    </row>
    <row r="1078" spans="1:16" x14ac:dyDescent="0.25">
      <c r="A1078" t="s">
        <v>1097</v>
      </c>
      <c r="B1078" t="s">
        <v>41</v>
      </c>
      <c r="C1078" t="s">
        <v>19</v>
      </c>
      <c r="D1078" s="1">
        <v>45376</v>
      </c>
      <c r="E1078">
        <v>56782</v>
      </c>
      <c r="F1078">
        <v>1541</v>
      </c>
      <c r="G1078">
        <v>66</v>
      </c>
      <c r="H1078" s="4">
        <v>1395.05</v>
      </c>
      <c r="I1078" s="4">
        <v>3203.33</v>
      </c>
      <c r="J1078" s="7">
        <f>Table1[[#This Row],[Clicks]]/Table1[[#This Row],[Impressions]]</f>
        <v>2.7138882040083124E-2</v>
      </c>
      <c r="K1078" s="7">
        <f>IFERROR(Table1[[#This Row],[Conversions]]/Table1[[#This Row],[Clicks]],0)</f>
        <v>4.2829331602855292E-2</v>
      </c>
      <c r="L1078" s="6">
        <f>IF(Table1[[#This Row],[Conversions]]=0,0,Table1[[#This Row],[Ad Spend]]/Table1[[#This Row],[Conversions]])</f>
        <v>21.137121212121212</v>
      </c>
      <c r="M1078" s="8">
        <f>IF(Table1[[#This Row],[Ad Spend]]=0,0,Table1[[#This Row],[Revenue]]/Table1[[#This Row],[Ad Spend]])</f>
        <v>2.2962116053188057</v>
      </c>
      <c r="N1078">
        <f>YEAR(Table1[[#This Row],[Date]])</f>
        <v>2024</v>
      </c>
      <c r="O1078" t="str">
        <f>TEXT(Table1[[#This Row],[Date]],"mmm")</f>
        <v>Mar</v>
      </c>
      <c r="P1078">
        <f>MONTH(Table1[[#This Row],[Date]])</f>
        <v>3</v>
      </c>
    </row>
    <row r="1079" spans="1:16" x14ac:dyDescent="0.25">
      <c r="A1079" t="s">
        <v>1098</v>
      </c>
      <c r="B1079" t="s">
        <v>41</v>
      </c>
      <c r="C1079" t="s">
        <v>37</v>
      </c>
      <c r="D1079" s="1">
        <v>45431</v>
      </c>
      <c r="E1079">
        <v>131136</v>
      </c>
      <c r="F1079">
        <v>2045</v>
      </c>
      <c r="G1079">
        <v>299</v>
      </c>
      <c r="H1079" s="4">
        <v>2111.5700000000002</v>
      </c>
      <c r="I1079" s="4">
        <v>10996.2</v>
      </c>
      <c r="J1079" s="7">
        <f>Table1[[#This Row],[Clicks]]/Table1[[#This Row],[Impressions]]</f>
        <v>1.5594497315763787E-2</v>
      </c>
      <c r="K1079" s="7">
        <f>IFERROR(Table1[[#This Row],[Conversions]]/Table1[[#This Row],[Clicks]],0)</f>
        <v>0.14621026894865527</v>
      </c>
      <c r="L1079" s="6">
        <f>IF(Table1[[#This Row],[Conversions]]=0,0,Table1[[#This Row],[Ad Spend]]/Table1[[#This Row],[Conversions]])</f>
        <v>7.0621070234113716</v>
      </c>
      <c r="M1079" s="8">
        <f>IF(Table1[[#This Row],[Ad Spend]]=0,0,Table1[[#This Row],[Revenue]]/Table1[[#This Row],[Ad Spend]])</f>
        <v>5.207594349228299</v>
      </c>
      <c r="N1079">
        <f>YEAR(Table1[[#This Row],[Date]])</f>
        <v>2024</v>
      </c>
      <c r="O1079" t="str">
        <f>TEXT(Table1[[#This Row],[Date]],"mmm")</f>
        <v>May</v>
      </c>
      <c r="P1079">
        <f>MONTH(Table1[[#This Row],[Date]])</f>
        <v>5</v>
      </c>
    </row>
    <row r="1080" spans="1:16" x14ac:dyDescent="0.25">
      <c r="A1080" t="s">
        <v>1099</v>
      </c>
      <c r="B1080" t="s">
        <v>41</v>
      </c>
      <c r="C1080" t="s">
        <v>17</v>
      </c>
      <c r="D1080" s="1">
        <v>45550</v>
      </c>
      <c r="E1080">
        <v>118621</v>
      </c>
      <c r="F1080">
        <v>7499</v>
      </c>
      <c r="G1080">
        <v>948</v>
      </c>
      <c r="H1080" s="4">
        <v>4009.08</v>
      </c>
      <c r="I1080" s="4">
        <v>20838.09</v>
      </c>
      <c r="J1080" s="7">
        <f>Table1[[#This Row],[Clicks]]/Table1[[#This Row],[Impressions]]</f>
        <v>6.3218148557169479E-2</v>
      </c>
      <c r="K1080" s="7">
        <f>IFERROR(Table1[[#This Row],[Conversions]]/Table1[[#This Row],[Clicks]],0)</f>
        <v>0.12641685558074409</v>
      </c>
      <c r="L1080" s="6">
        <f>IF(Table1[[#This Row],[Conversions]]=0,0,Table1[[#This Row],[Ad Spend]]/Table1[[#This Row],[Conversions]])</f>
        <v>4.228987341772152</v>
      </c>
      <c r="M1080" s="8">
        <f>IF(Table1[[#This Row],[Ad Spend]]=0,0,Table1[[#This Row],[Revenue]]/Table1[[#This Row],[Ad Spend]])</f>
        <v>5.1977236672752856</v>
      </c>
      <c r="N1080">
        <f>YEAR(Table1[[#This Row],[Date]])</f>
        <v>2024</v>
      </c>
      <c r="O1080" t="str">
        <f>TEXT(Table1[[#This Row],[Date]],"mmm")</f>
        <v>Sept</v>
      </c>
      <c r="P1080">
        <f>MONTH(Table1[[#This Row],[Date]])</f>
        <v>9</v>
      </c>
    </row>
    <row r="1081" spans="1:16" x14ac:dyDescent="0.25">
      <c r="A1081" t="s">
        <v>1100</v>
      </c>
      <c r="B1081" t="s">
        <v>21</v>
      </c>
      <c r="C1081" t="s">
        <v>17</v>
      </c>
      <c r="D1081" s="1">
        <v>45334</v>
      </c>
      <c r="E1081">
        <v>83703</v>
      </c>
      <c r="F1081">
        <v>4324</v>
      </c>
      <c r="G1081">
        <v>172</v>
      </c>
      <c r="H1081" s="4">
        <v>3687.91</v>
      </c>
      <c r="I1081" s="4">
        <v>7865.42</v>
      </c>
      <c r="J1081" s="7">
        <f>Table1[[#This Row],[Clicks]]/Table1[[#This Row],[Impressions]]</f>
        <v>5.1658841379639921E-2</v>
      </c>
      <c r="K1081" s="7">
        <f>IFERROR(Table1[[#This Row],[Conversions]]/Table1[[#This Row],[Clicks]],0)</f>
        <v>3.9777983348751156E-2</v>
      </c>
      <c r="L1081" s="6">
        <f>IF(Table1[[#This Row],[Conversions]]=0,0,Table1[[#This Row],[Ad Spend]]/Table1[[#This Row],[Conversions]])</f>
        <v>21.441337209302326</v>
      </c>
      <c r="M1081" s="8">
        <f>IF(Table1[[#This Row],[Ad Spend]]=0,0,Table1[[#This Row],[Revenue]]/Table1[[#This Row],[Ad Spend]])</f>
        <v>2.1327581204530479</v>
      </c>
      <c r="N1081">
        <f>YEAR(Table1[[#This Row],[Date]])</f>
        <v>2024</v>
      </c>
      <c r="O1081" t="str">
        <f>TEXT(Table1[[#This Row],[Date]],"mmm")</f>
        <v>Feb</v>
      </c>
      <c r="P1081">
        <f>MONTH(Table1[[#This Row],[Date]])</f>
        <v>2</v>
      </c>
    </row>
    <row r="1082" spans="1:16" x14ac:dyDescent="0.25">
      <c r="A1082" t="s">
        <v>1101</v>
      </c>
      <c r="B1082" t="s">
        <v>41</v>
      </c>
      <c r="C1082" t="s">
        <v>19</v>
      </c>
      <c r="D1082" s="1">
        <v>45524</v>
      </c>
      <c r="E1082">
        <v>79245</v>
      </c>
      <c r="F1082">
        <v>2873</v>
      </c>
      <c r="G1082">
        <v>283</v>
      </c>
      <c r="H1082" s="4">
        <v>545.30999999999995</v>
      </c>
      <c r="I1082" s="4">
        <v>9527.3700000000008</v>
      </c>
      <c r="J1082" s="7">
        <f>Table1[[#This Row],[Clicks]]/Table1[[#This Row],[Impressions]]</f>
        <v>3.6254653290428415E-2</v>
      </c>
      <c r="K1082" s="7">
        <f>IFERROR(Table1[[#This Row],[Conversions]]/Table1[[#This Row],[Clicks]],0)</f>
        <v>9.8503306648103028E-2</v>
      </c>
      <c r="L1082" s="6">
        <f>IF(Table1[[#This Row],[Conversions]]=0,0,Table1[[#This Row],[Ad Spend]]/Table1[[#This Row],[Conversions]])</f>
        <v>1.9268904593639573</v>
      </c>
      <c r="M1082" s="8">
        <f>IF(Table1[[#This Row],[Ad Spend]]=0,0,Table1[[#This Row],[Revenue]]/Table1[[#This Row],[Ad Spend]])</f>
        <v>17.471474940859331</v>
      </c>
      <c r="N1082">
        <f>YEAR(Table1[[#This Row],[Date]])</f>
        <v>2024</v>
      </c>
      <c r="O1082" t="str">
        <f>TEXT(Table1[[#This Row],[Date]],"mmm")</f>
        <v>Aug</v>
      </c>
      <c r="P1082">
        <f>MONTH(Table1[[#This Row],[Date]])</f>
        <v>8</v>
      </c>
    </row>
    <row r="1083" spans="1:16" x14ac:dyDescent="0.25">
      <c r="A1083" t="s">
        <v>1102</v>
      </c>
      <c r="B1083" t="s">
        <v>41</v>
      </c>
      <c r="C1083" t="s">
        <v>37</v>
      </c>
      <c r="D1083" s="1">
        <v>45371</v>
      </c>
      <c r="E1083">
        <v>54709</v>
      </c>
      <c r="F1083">
        <v>563</v>
      </c>
      <c r="G1083">
        <v>74</v>
      </c>
      <c r="H1083" s="4">
        <v>3705.77</v>
      </c>
      <c r="I1083" s="4">
        <v>4249.51</v>
      </c>
      <c r="J1083" s="7">
        <f>Table1[[#This Row],[Clicks]]/Table1[[#This Row],[Impressions]]</f>
        <v>1.0290811383867371E-2</v>
      </c>
      <c r="K1083" s="7">
        <f>IFERROR(Table1[[#This Row],[Conversions]]/Table1[[#This Row],[Clicks]],0)</f>
        <v>0.13143872113676733</v>
      </c>
      <c r="L1083" s="6">
        <f>IF(Table1[[#This Row],[Conversions]]=0,0,Table1[[#This Row],[Ad Spend]]/Table1[[#This Row],[Conversions]])</f>
        <v>50.077972972972972</v>
      </c>
      <c r="M1083" s="8">
        <f>IF(Table1[[#This Row],[Ad Spend]]=0,0,Table1[[#This Row],[Revenue]]/Table1[[#This Row],[Ad Spend]])</f>
        <v>1.1467279404820052</v>
      </c>
      <c r="N1083">
        <f>YEAR(Table1[[#This Row],[Date]])</f>
        <v>2024</v>
      </c>
      <c r="O1083" t="str">
        <f>TEXT(Table1[[#This Row],[Date]],"mmm")</f>
        <v>Mar</v>
      </c>
      <c r="P1083">
        <f>MONTH(Table1[[#This Row],[Date]])</f>
        <v>3</v>
      </c>
    </row>
    <row r="1084" spans="1:16" x14ac:dyDescent="0.25">
      <c r="A1084" t="s">
        <v>1103</v>
      </c>
      <c r="B1084" t="s">
        <v>21</v>
      </c>
      <c r="C1084" t="s">
        <v>17</v>
      </c>
      <c r="D1084" s="1">
        <v>45494</v>
      </c>
      <c r="E1084">
        <v>102817</v>
      </c>
      <c r="F1084">
        <v>3792</v>
      </c>
      <c r="G1084">
        <v>227</v>
      </c>
      <c r="H1084" s="4">
        <v>4940.1099999999997</v>
      </c>
      <c r="I1084" s="4">
        <v>6157.02</v>
      </c>
      <c r="J1084" s="7">
        <f>Table1[[#This Row],[Clicks]]/Table1[[#This Row],[Impressions]]</f>
        <v>3.6881060525010452E-2</v>
      </c>
      <c r="K1084" s="7">
        <f>IFERROR(Table1[[#This Row],[Conversions]]/Table1[[#This Row],[Clicks]],0)</f>
        <v>5.9862869198312234E-2</v>
      </c>
      <c r="L1084" s="6">
        <f>IF(Table1[[#This Row],[Conversions]]=0,0,Table1[[#This Row],[Ad Spend]]/Table1[[#This Row],[Conversions]])</f>
        <v>21.762599118942731</v>
      </c>
      <c r="M1084" s="8">
        <f>IF(Table1[[#This Row],[Ad Spend]]=0,0,Table1[[#This Row],[Revenue]]/Table1[[#This Row],[Ad Spend]])</f>
        <v>1.2463325715419293</v>
      </c>
      <c r="N1084">
        <f>YEAR(Table1[[#This Row],[Date]])</f>
        <v>2024</v>
      </c>
      <c r="O1084" t="str">
        <f>TEXT(Table1[[#This Row],[Date]],"mmm")</f>
        <v>Jul</v>
      </c>
      <c r="P1084">
        <f>MONTH(Table1[[#This Row],[Date]])</f>
        <v>7</v>
      </c>
    </row>
    <row r="1085" spans="1:16" x14ac:dyDescent="0.25">
      <c r="A1085" t="s">
        <v>1104</v>
      </c>
      <c r="B1085" t="s">
        <v>31</v>
      </c>
      <c r="C1085" t="s">
        <v>10</v>
      </c>
      <c r="D1085" s="1">
        <v>45489</v>
      </c>
      <c r="E1085">
        <v>47562</v>
      </c>
      <c r="F1085">
        <v>1122</v>
      </c>
      <c r="G1085">
        <v>86</v>
      </c>
      <c r="H1085" s="4">
        <v>1425.24</v>
      </c>
      <c r="I1085" s="4">
        <v>9572.5400000000009</v>
      </c>
      <c r="J1085" s="7">
        <f>Table1[[#This Row],[Clicks]]/Table1[[#This Row],[Impressions]]</f>
        <v>2.3590261132837138E-2</v>
      </c>
      <c r="K1085" s="7">
        <f>IFERROR(Table1[[#This Row],[Conversions]]/Table1[[#This Row],[Clicks]],0)</f>
        <v>7.6648841354723704E-2</v>
      </c>
      <c r="L1085" s="6">
        <f>IF(Table1[[#This Row],[Conversions]]=0,0,Table1[[#This Row],[Ad Spend]]/Table1[[#This Row],[Conversions]])</f>
        <v>16.572558139534884</v>
      </c>
      <c r="M1085" s="8">
        <f>IF(Table1[[#This Row],[Ad Spend]]=0,0,Table1[[#This Row],[Revenue]]/Table1[[#This Row],[Ad Spend]])</f>
        <v>6.7164407398052264</v>
      </c>
      <c r="N1085">
        <f>YEAR(Table1[[#This Row],[Date]])</f>
        <v>2024</v>
      </c>
      <c r="O1085" t="str">
        <f>TEXT(Table1[[#This Row],[Date]],"mmm")</f>
        <v>Jul</v>
      </c>
      <c r="P1085">
        <f>MONTH(Table1[[#This Row],[Date]])</f>
        <v>7</v>
      </c>
    </row>
    <row r="1086" spans="1:16" x14ac:dyDescent="0.25">
      <c r="A1086" t="s">
        <v>1105</v>
      </c>
      <c r="B1086" t="s">
        <v>47</v>
      </c>
      <c r="C1086" t="s">
        <v>12</v>
      </c>
      <c r="D1086" s="1">
        <v>45655</v>
      </c>
      <c r="E1086">
        <v>133089</v>
      </c>
      <c r="F1086">
        <v>7246</v>
      </c>
      <c r="G1086">
        <v>491</v>
      </c>
      <c r="H1086" s="4">
        <v>476.98</v>
      </c>
      <c r="I1086" s="4">
        <v>28739.86</v>
      </c>
      <c r="J1086" s="7">
        <f>Table1[[#This Row],[Clicks]]/Table1[[#This Row],[Impressions]]</f>
        <v>5.4444770041100314E-2</v>
      </c>
      <c r="K1086" s="7">
        <f>IFERROR(Table1[[#This Row],[Conversions]]/Table1[[#This Row],[Clicks]],0)</f>
        <v>6.7761523599227158E-2</v>
      </c>
      <c r="L1086" s="6">
        <f>IF(Table1[[#This Row],[Conversions]]=0,0,Table1[[#This Row],[Ad Spend]]/Table1[[#This Row],[Conversions]])</f>
        <v>0.97144602851323836</v>
      </c>
      <c r="M1086" s="8">
        <f>IF(Table1[[#This Row],[Ad Spend]]=0,0,Table1[[#This Row],[Revenue]]/Table1[[#This Row],[Ad Spend]])</f>
        <v>60.253805190993333</v>
      </c>
      <c r="N1086">
        <f>YEAR(Table1[[#This Row],[Date]])</f>
        <v>2024</v>
      </c>
      <c r="O1086" t="str">
        <f>TEXT(Table1[[#This Row],[Date]],"mmm")</f>
        <v>Dec</v>
      </c>
      <c r="P1086">
        <f>MONTH(Table1[[#This Row],[Date]])</f>
        <v>12</v>
      </c>
    </row>
    <row r="1087" spans="1:16" x14ac:dyDescent="0.25">
      <c r="A1087" t="s">
        <v>1106</v>
      </c>
      <c r="B1087" t="s">
        <v>21</v>
      </c>
      <c r="C1087" t="s">
        <v>37</v>
      </c>
      <c r="D1087" s="1">
        <v>45416</v>
      </c>
      <c r="E1087">
        <v>130232</v>
      </c>
      <c r="F1087">
        <v>1616</v>
      </c>
      <c r="G1087">
        <v>203</v>
      </c>
      <c r="H1087" s="4">
        <v>3228.57</v>
      </c>
      <c r="I1087" s="4">
        <v>17791.439999999999</v>
      </c>
      <c r="J1087" s="7">
        <f>Table1[[#This Row],[Clicks]]/Table1[[#This Row],[Impressions]]</f>
        <v>1.2408624608391179E-2</v>
      </c>
      <c r="K1087" s="7">
        <f>IFERROR(Table1[[#This Row],[Conversions]]/Table1[[#This Row],[Clicks]],0)</f>
        <v>0.12561881188118812</v>
      </c>
      <c r="L1087" s="6">
        <f>IF(Table1[[#This Row],[Conversions]]=0,0,Table1[[#This Row],[Ad Spend]]/Table1[[#This Row],[Conversions]])</f>
        <v>15.904285714285715</v>
      </c>
      <c r="M1087" s="8">
        <f>IF(Table1[[#This Row],[Ad Spend]]=0,0,Table1[[#This Row],[Revenue]]/Table1[[#This Row],[Ad Spend]])</f>
        <v>5.5106254471794003</v>
      </c>
      <c r="N1087">
        <f>YEAR(Table1[[#This Row],[Date]])</f>
        <v>2024</v>
      </c>
      <c r="O1087" t="str">
        <f>TEXT(Table1[[#This Row],[Date]],"mmm")</f>
        <v>May</v>
      </c>
      <c r="P1087">
        <f>MONTH(Table1[[#This Row],[Date]])</f>
        <v>5</v>
      </c>
    </row>
    <row r="1088" spans="1:16" x14ac:dyDescent="0.25">
      <c r="A1088" t="s">
        <v>1107</v>
      </c>
      <c r="B1088" t="s">
        <v>16</v>
      </c>
      <c r="C1088" t="s">
        <v>19</v>
      </c>
      <c r="D1088" s="1">
        <v>45601</v>
      </c>
      <c r="E1088">
        <v>124398</v>
      </c>
      <c r="F1088">
        <v>9466</v>
      </c>
      <c r="G1088">
        <v>370</v>
      </c>
      <c r="H1088" s="4">
        <v>1387.59</v>
      </c>
      <c r="I1088" s="4">
        <v>28798.65</v>
      </c>
      <c r="J1088" s="7">
        <f>Table1[[#This Row],[Clicks]]/Table1[[#This Row],[Impressions]]</f>
        <v>7.6094470972202122E-2</v>
      </c>
      <c r="K1088" s="7">
        <f>IFERROR(Table1[[#This Row],[Conversions]]/Table1[[#This Row],[Clicks]],0)</f>
        <v>3.9087259666173671E-2</v>
      </c>
      <c r="L1088" s="6">
        <f>IF(Table1[[#This Row],[Conversions]]=0,0,Table1[[#This Row],[Ad Spend]]/Table1[[#This Row],[Conversions]])</f>
        <v>3.7502432432432431</v>
      </c>
      <c r="M1088" s="8">
        <f>IF(Table1[[#This Row],[Ad Spend]]=0,0,Table1[[#This Row],[Revenue]]/Table1[[#This Row],[Ad Spend]])</f>
        <v>20.754437549996759</v>
      </c>
      <c r="N1088">
        <f>YEAR(Table1[[#This Row],[Date]])</f>
        <v>2024</v>
      </c>
      <c r="O1088" t="str">
        <f>TEXT(Table1[[#This Row],[Date]],"mmm")</f>
        <v>Nov</v>
      </c>
      <c r="P1088">
        <f>MONTH(Table1[[#This Row],[Date]])</f>
        <v>11</v>
      </c>
    </row>
    <row r="1089" spans="1:16" x14ac:dyDescent="0.25">
      <c r="A1089" t="s">
        <v>1108</v>
      </c>
      <c r="B1089" t="s">
        <v>16</v>
      </c>
      <c r="C1089" t="s">
        <v>10</v>
      </c>
      <c r="D1089" s="1">
        <v>45351</v>
      </c>
      <c r="E1089">
        <v>29197</v>
      </c>
      <c r="F1089">
        <v>1608</v>
      </c>
      <c r="G1089">
        <v>223</v>
      </c>
      <c r="H1089" s="4">
        <v>2108.8000000000002</v>
      </c>
      <c r="I1089" s="4">
        <v>17531.38</v>
      </c>
      <c r="J1089" s="7">
        <f>Table1[[#This Row],[Clicks]]/Table1[[#This Row],[Impressions]]</f>
        <v>5.5074151453916496E-2</v>
      </c>
      <c r="K1089" s="7">
        <f>IFERROR(Table1[[#This Row],[Conversions]]/Table1[[#This Row],[Clicks]],0)</f>
        <v>0.13868159203980099</v>
      </c>
      <c r="L1089" s="6">
        <f>IF(Table1[[#This Row],[Conversions]]=0,0,Table1[[#This Row],[Ad Spend]]/Table1[[#This Row],[Conversions]])</f>
        <v>9.4565022421524674</v>
      </c>
      <c r="M1089" s="8">
        <f>IF(Table1[[#This Row],[Ad Spend]]=0,0,Table1[[#This Row],[Revenue]]/Table1[[#This Row],[Ad Spend]])</f>
        <v>8.3134389226100147</v>
      </c>
      <c r="N1089">
        <f>YEAR(Table1[[#This Row],[Date]])</f>
        <v>2024</v>
      </c>
      <c r="O1089" t="str">
        <f>TEXT(Table1[[#This Row],[Date]],"mmm")</f>
        <v>Feb</v>
      </c>
      <c r="P1089">
        <f>MONTH(Table1[[#This Row],[Date]])</f>
        <v>2</v>
      </c>
    </row>
    <row r="1090" spans="1:16" x14ac:dyDescent="0.25">
      <c r="A1090" t="s">
        <v>1109</v>
      </c>
      <c r="B1090" t="s">
        <v>9</v>
      </c>
      <c r="C1090" t="s">
        <v>12</v>
      </c>
      <c r="D1090" s="1">
        <v>45388</v>
      </c>
      <c r="E1090">
        <v>115872</v>
      </c>
      <c r="F1090">
        <v>2503</v>
      </c>
      <c r="G1090">
        <v>188</v>
      </c>
      <c r="H1090" s="4">
        <v>3520.82</v>
      </c>
      <c r="I1090" s="4">
        <v>13172.16</v>
      </c>
      <c r="J1090" s="7">
        <f>Table1[[#This Row],[Clicks]]/Table1[[#This Row],[Impressions]]</f>
        <v>2.1601422259044462E-2</v>
      </c>
      <c r="K1090" s="7">
        <f>IFERROR(Table1[[#This Row],[Conversions]]/Table1[[#This Row],[Clicks]],0)</f>
        <v>7.510986815821015E-2</v>
      </c>
      <c r="L1090" s="6">
        <f>IF(Table1[[#This Row],[Conversions]]=0,0,Table1[[#This Row],[Ad Spend]]/Table1[[#This Row],[Conversions]])</f>
        <v>18.72776595744681</v>
      </c>
      <c r="M1090" s="8">
        <f>IF(Table1[[#This Row],[Ad Spend]]=0,0,Table1[[#This Row],[Revenue]]/Table1[[#This Row],[Ad Spend]])</f>
        <v>3.7412193750319527</v>
      </c>
      <c r="N1090">
        <f>YEAR(Table1[[#This Row],[Date]])</f>
        <v>2024</v>
      </c>
      <c r="O1090" t="str">
        <f>TEXT(Table1[[#This Row],[Date]],"mmm")</f>
        <v>Apr</v>
      </c>
      <c r="P1090">
        <f>MONTH(Table1[[#This Row],[Date]])</f>
        <v>4</v>
      </c>
    </row>
    <row r="1091" spans="1:16" x14ac:dyDescent="0.25">
      <c r="A1091" t="s">
        <v>1110</v>
      </c>
      <c r="B1091" t="s">
        <v>21</v>
      </c>
      <c r="C1091" t="s">
        <v>12</v>
      </c>
      <c r="D1091" s="1">
        <v>45449</v>
      </c>
      <c r="E1091">
        <v>112900</v>
      </c>
      <c r="F1091">
        <v>7075</v>
      </c>
      <c r="G1091">
        <v>991</v>
      </c>
      <c r="H1091" s="4">
        <v>4373.21</v>
      </c>
      <c r="I1091" s="4">
        <v>30649.06</v>
      </c>
      <c r="J1091" s="7">
        <f>Table1[[#This Row],[Clicks]]/Table1[[#This Row],[Impressions]]</f>
        <v>6.2666076173604965E-2</v>
      </c>
      <c r="K1091" s="7">
        <f>IFERROR(Table1[[#This Row],[Conversions]]/Table1[[#This Row],[Clicks]],0)</f>
        <v>0.14007067137809187</v>
      </c>
      <c r="L1091" s="6">
        <f>IF(Table1[[#This Row],[Conversions]]=0,0,Table1[[#This Row],[Ad Spend]]/Table1[[#This Row],[Conversions]])</f>
        <v>4.4129263370332996</v>
      </c>
      <c r="M1091" s="8">
        <f>IF(Table1[[#This Row],[Ad Spend]]=0,0,Table1[[#This Row],[Revenue]]/Table1[[#This Row],[Ad Spend]])</f>
        <v>7.0083668518090834</v>
      </c>
      <c r="N1091">
        <f>YEAR(Table1[[#This Row],[Date]])</f>
        <v>2024</v>
      </c>
      <c r="O1091" t="str">
        <f>TEXT(Table1[[#This Row],[Date]],"mmm")</f>
        <v>Jun</v>
      </c>
      <c r="P1091">
        <f>MONTH(Table1[[#This Row],[Date]])</f>
        <v>6</v>
      </c>
    </row>
    <row r="1092" spans="1:16" x14ac:dyDescent="0.25">
      <c r="A1092" t="s">
        <v>1111</v>
      </c>
      <c r="B1092" t="s">
        <v>47</v>
      </c>
      <c r="C1092" t="s">
        <v>37</v>
      </c>
      <c r="D1092" s="1">
        <v>45429</v>
      </c>
      <c r="E1092">
        <v>59925</v>
      </c>
      <c r="F1092">
        <v>4500</v>
      </c>
      <c r="G1092">
        <v>322</v>
      </c>
      <c r="H1092" s="4">
        <v>1678.88</v>
      </c>
      <c r="I1092" s="4">
        <v>38222.22</v>
      </c>
      <c r="J1092" s="7">
        <f>Table1[[#This Row],[Clicks]]/Table1[[#This Row],[Impressions]]</f>
        <v>7.5093867334167716E-2</v>
      </c>
      <c r="K1092" s="7">
        <f>IFERROR(Table1[[#This Row],[Conversions]]/Table1[[#This Row],[Clicks]],0)</f>
        <v>7.1555555555555553E-2</v>
      </c>
      <c r="L1092" s="6">
        <f>IF(Table1[[#This Row],[Conversions]]=0,0,Table1[[#This Row],[Ad Spend]]/Table1[[#This Row],[Conversions]])</f>
        <v>5.2139130434782608</v>
      </c>
      <c r="M1092" s="8">
        <f>IF(Table1[[#This Row],[Ad Spend]]=0,0,Table1[[#This Row],[Revenue]]/Table1[[#This Row],[Ad Spend]])</f>
        <v>22.766499094634518</v>
      </c>
      <c r="N1092">
        <f>YEAR(Table1[[#This Row],[Date]])</f>
        <v>2024</v>
      </c>
      <c r="O1092" t="str">
        <f>TEXT(Table1[[#This Row],[Date]],"mmm")</f>
        <v>May</v>
      </c>
      <c r="P1092">
        <f>MONTH(Table1[[#This Row],[Date]])</f>
        <v>5</v>
      </c>
    </row>
    <row r="1093" spans="1:16" x14ac:dyDescent="0.25">
      <c r="A1093" t="s">
        <v>1112</v>
      </c>
      <c r="B1093" t="s">
        <v>41</v>
      </c>
      <c r="C1093" t="s">
        <v>10</v>
      </c>
      <c r="D1093" s="1">
        <v>45341</v>
      </c>
      <c r="E1093">
        <v>23308</v>
      </c>
      <c r="F1093">
        <v>1495</v>
      </c>
      <c r="G1093">
        <v>111</v>
      </c>
      <c r="H1093" s="4">
        <v>2200.84</v>
      </c>
      <c r="I1093" s="4">
        <v>5420.58</v>
      </c>
      <c r="J1093" s="7">
        <f>Table1[[#This Row],[Clicks]]/Table1[[#This Row],[Impressions]]</f>
        <v>6.4141067444654198E-2</v>
      </c>
      <c r="K1093" s="7">
        <f>IFERROR(Table1[[#This Row],[Conversions]]/Table1[[#This Row],[Clicks]],0)</f>
        <v>7.4247491638795987E-2</v>
      </c>
      <c r="L1093" s="6">
        <f>IF(Table1[[#This Row],[Conversions]]=0,0,Table1[[#This Row],[Ad Spend]]/Table1[[#This Row],[Conversions]])</f>
        <v>19.82738738738739</v>
      </c>
      <c r="M1093" s="8">
        <f>IF(Table1[[#This Row],[Ad Spend]]=0,0,Table1[[#This Row],[Revenue]]/Table1[[#This Row],[Ad Spend]])</f>
        <v>2.462959597244688</v>
      </c>
      <c r="N1093">
        <f>YEAR(Table1[[#This Row],[Date]])</f>
        <v>2024</v>
      </c>
      <c r="O1093" t="str">
        <f>TEXT(Table1[[#This Row],[Date]],"mmm")</f>
        <v>Feb</v>
      </c>
      <c r="P1093">
        <f>MONTH(Table1[[#This Row],[Date]])</f>
        <v>2</v>
      </c>
    </row>
    <row r="1094" spans="1:16" x14ac:dyDescent="0.25">
      <c r="A1094" t="s">
        <v>1113</v>
      </c>
      <c r="B1094" t="s">
        <v>21</v>
      </c>
      <c r="C1094" t="s">
        <v>37</v>
      </c>
      <c r="D1094" s="1">
        <v>45382</v>
      </c>
      <c r="E1094">
        <v>103212</v>
      </c>
      <c r="F1094">
        <v>2378</v>
      </c>
      <c r="G1094">
        <v>89</v>
      </c>
      <c r="H1094" s="4">
        <v>2535.06</v>
      </c>
      <c r="I1094" s="4">
        <v>6253.26</v>
      </c>
      <c r="J1094" s="7">
        <f>Table1[[#This Row],[Clicks]]/Table1[[#This Row],[Impressions]]</f>
        <v>2.3039956594194475E-2</v>
      </c>
      <c r="K1094" s="7">
        <f>IFERROR(Table1[[#This Row],[Conversions]]/Table1[[#This Row],[Clicks]],0)</f>
        <v>3.7426408746846086E-2</v>
      </c>
      <c r="L1094" s="6">
        <f>IF(Table1[[#This Row],[Conversions]]=0,0,Table1[[#This Row],[Ad Spend]]/Table1[[#This Row],[Conversions]])</f>
        <v>28.4838202247191</v>
      </c>
      <c r="M1094" s="8">
        <f>IF(Table1[[#This Row],[Ad Spend]]=0,0,Table1[[#This Row],[Revenue]]/Table1[[#This Row],[Ad Spend]])</f>
        <v>2.4667108470805426</v>
      </c>
      <c r="N1094">
        <f>YEAR(Table1[[#This Row],[Date]])</f>
        <v>2024</v>
      </c>
      <c r="O1094" t="str">
        <f>TEXT(Table1[[#This Row],[Date]],"mmm")</f>
        <v>Mar</v>
      </c>
      <c r="P1094">
        <f>MONTH(Table1[[#This Row],[Date]])</f>
        <v>3</v>
      </c>
    </row>
    <row r="1095" spans="1:16" x14ac:dyDescent="0.25">
      <c r="A1095" t="s">
        <v>1114</v>
      </c>
      <c r="B1095" t="s">
        <v>9</v>
      </c>
      <c r="C1095" t="s">
        <v>17</v>
      </c>
      <c r="D1095" s="1">
        <v>45582</v>
      </c>
      <c r="E1095">
        <v>60724</v>
      </c>
      <c r="F1095">
        <v>1396</v>
      </c>
      <c r="G1095">
        <v>38</v>
      </c>
      <c r="H1095" s="4">
        <v>1077.0999999999999</v>
      </c>
      <c r="I1095" s="4">
        <v>3644.83</v>
      </c>
      <c r="J1095" s="7">
        <f>Table1[[#This Row],[Clicks]]/Table1[[#This Row],[Impressions]]</f>
        <v>2.2989262894407482E-2</v>
      </c>
      <c r="K1095" s="7">
        <f>IFERROR(Table1[[#This Row],[Conversions]]/Table1[[#This Row],[Clicks]],0)</f>
        <v>2.7220630372492838E-2</v>
      </c>
      <c r="L1095" s="6">
        <f>IF(Table1[[#This Row],[Conversions]]=0,0,Table1[[#This Row],[Ad Spend]]/Table1[[#This Row],[Conversions]])</f>
        <v>28.344736842105259</v>
      </c>
      <c r="M1095" s="8">
        <f>IF(Table1[[#This Row],[Ad Spend]]=0,0,Table1[[#This Row],[Revenue]]/Table1[[#This Row],[Ad Spend]])</f>
        <v>3.3839290687958408</v>
      </c>
      <c r="N1095">
        <f>YEAR(Table1[[#This Row],[Date]])</f>
        <v>2024</v>
      </c>
      <c r="O1095" t="str">
        <f>TEXT(Table1[[#This Row],[Date]],"mmm")</f>
        <v>Oct</v>
      </c>
      <c r="P1095">
        <f>MONTH(Table1[[#This Row],[Date]])</f>
        <v>10</v>
      </c>
    </row>
    <row r="1096" spans="1:16" x14ac:dyDescent="0.25">
      <c r="A1096" t="s">
        <v>1115</v>
      </c>
      <c r="B1096" t="s">
        <v>34</v>
      </c>
      <c r="C1096" t="s">
        <v>17</v>
      </c>
      <c r="D1096" s="1">
        <v>45517</v>
      </c>
      <c r="E1096">
        <v>33624</v>
      </c>
      <c r="F1096">
        <v>2380</v>
      </c>
      <c r="G1096">
        <v>98</v>
      </c>
      <c r="H1096" s="4">
        <v>1607</v>
      </c>
      <c r="I1096" s="4">
        <v>5661.74</v>
      </c>
      <c r="J1096" s="7">
        <f>Table1[[#This Row],[Clicks]]/Table1[[#This Row],[Impressions]]</f>
        <v>7.0782774208898405E-2</v>
      </c>
      <c r="K1096" s="7">
        <f>IFERROR(Table1[[#This Row],[Conversions]]/Table1[[#This Row],[Clicks]],0)</f>
        <v>4.1176470588235294E-2</v>
      </c>
      <c r="L1096" s="6">
        <f>IF(Table1[[#This Row],[Conversions]]=0,0,Table1[[#This Row],[Ad Spend]]/Table1[[#This Row],[Conversions]])</f>
        <v>16.397959183673468</v>
      </c>
      <c r="M1096" s="8">
        <f>IF(Table1[[#This Row],[Ad Spend]]=0,0,Table1[[#This Row],[Revenue]]/Table1[[#This Row],[Ad Spend]])</f>
        <v>3.5231736154324826</v>
      </c>
      <c r="N1096">
        <f>YEAR(Table1[[#This Row],[Date]])</f>
        <v>2024</v>
      </c>
      <c r="O1096" t="str">
        <f>TEXT(Table1[[#This Row],[Date]],"mmm")</f>
        <v>Aug</v>
      </c>
      <c r="P1096">
        <f>MONTH(Table1[[#This Row],[Date]])</f>
        <v>8</v>
      </c>
    </row>
    <row r="1097" spans="1:16" x14ac:dyDescent="0.25">
      <c r="A1097" t="s">
        <v>1116</v>
      </c>
      <c r="B1097" t="s">
        <v>34</v>
      </c>
      <c r="C1097" t="s">
        <v>10</v>
      </c>
      <c r="D1097" s="1">
        <v>45467</v>
      </c>
      <c r="E1097">
        <v>12776</v>
      </c>
      <c r="F1097">
        <v>651</v>
      </c>
      <c r="G1097">
        <v>53</v>
      </c>
      <c r="H1097" s="4">
        <v>3429.46</v>
      </c>
      <c r="I1097" s="4">
        <v>1594.29</v>
      </c>
      <c r="J1097" s="7">
        <f>Table1[[#This Row],[Clicks]]/Table1[[#This Row],[Impressions]]</f>
        <v>5.095491546649969E-2</v>
      </c>
      <c r="K1097" s="7">
        <f>IFERROR(Table1[[#This Row],[Conversions]]/Table1[[#This Row],[Clicks]],0)</f>
        <v>8.1413210445468509E-2</v>
      </c>
      <c r="L1097" s="6">
        <f>IF(Table1[[#This Row],[Conversions]]=0,0,Table1[[#This Row],[Ad Spend]]/Table1[[#This Row],[Conversions]])</f>
        <v>64.706792452830186</v>
      </c>
      <c r="M1097" s="8">
        <f>IF(Table1[[#This Row],[Ad Spend]]=0,0,Table1[[#This Row],[Revenue]]/Table1[[#This Row],[Ad Spend]])</f>
        <v>0.46488076840085607</v>
      </c>
      <c r="N1097">
        <f>YEAR(Table1[[#This Row],[Date]])</f>
        <v>2024</v>
      </c>
      <c r="O1097" t="str">
        <f>TEXT(Table1[[#This Row],[Date]],"mmm")</f>
        <v>Jun</v>
      </c>
      <c r="P1097">
        <f>MONTH(Table1[[#This Row],[Date]])</f>
        <v>6</v>
      </c>
    </row>
    <row r="1098" spans="1:16" x14ac:dyDescent="0.25">
      <c r="A1098" t="s">
        <v>1117</v>
      </c>
      <c r="B1098" t="s">
        <v>31</v>
      </c>
      <c r="C1098" t="s">
        <v>19</v>
      </c>
      <c r="D1098" s="1">
        <v>45676</v>
      </c>
      <c r="E1098">
        <v>6894</v>
      </c>
      <c r="F1098">
        <v>390</v>
      </c>
      <c r="G1098">
        <v>47</v>
      </c>
      <c r="H1098" s="4">
        <v>400.92</v>
      </c>
      <c r="I1098" s="4">
        <v>1932.02</v>
      </c>
      <c r="J1098" s="7">
        <f>Table1[[#This Row],[Clicks]]/Table1[[#This Row],[Impressions]]</f>
        <v>5.6570931244560488E-2</v>
      </c>
      <c r="K1098" s="7">
        <f>IFERROR(Table1[[#This Row],[Conversions]]/Table1[[#This Row],[Clicks]],0)</f>
        <v>0.12051282051282051</v>
      </c>
      <c r="L1098" s="6">
        <f>IF(Table1[[#This Row],[Conversions]]=0,0,Table1[[#This Row],[Ad Spend]]/Table1[[#This Row],[Conversions]])</f>
        <v>8.5302127659574474</v>
      </c>
      <c r="M1098" s="8">
        <f>IF(Table1[[#This Row],[Ad Spend]]=0,0,Table1[[#This Row],[Revenue]]/Table1[[#This Row],[Ad Spend]])</f>
        <v>4.8189663773321358</v>
      </c>
      <c r="N1098">
        <f>YEAR(Table1[[#This Row],[Date]])</f>
        <v>2025</v>
      </c>
      <c r="O1098" t="str">
        <f>TEXT(Table1[[#This Row],[Date]],"mmm")</f>
        <v>Jan</v>
      </c>
      <c r="P1098">
        <f>MONTH(Table1[[#This Row],[Date]])</f>
        <v>1</v>
      </c>
    </row>
    <row r="1099" spans="1:16" x14ac:dyDescent="0.25">
      <c r="A1099" t="s">
        <v>1118</v>
      </c>
      <c r="B1099" t="s">
        <v>31</v>
      </c>
      <c r="C1099" t="s">
        <v>17</v>
      </c>
      <c r="D1099" s="1">
        <v>45600</v>
      </c>
      <c r="E1099">
        <v>141334</v>
      </c>
      <c r="F1099">
        <v>11177</v>
      </c>
      <c r="G1099">
        <v>1329</v>
      </c>
      <c r="H1099" s="4">
        <v>4674.22</v>
      </c>
      <c r="I1099" s="4">
        <v>89472.5</v>
      </c>
      <c r="J1099" s="7">
        <f>Table1[[#This Row],[Clicks]]/Table1[[#This Row],[Impressions]]</f>
        <v>7.9082174140688022E-2</v>
      </c>
      <c r="K1099" s="7">
        <f>IFERROR(Table1[[#This Row],[Conversions]]/Table1[[#This Row],[Clicks]],0)</f>
        <v>0.11890489397870627</v>
      </c>
      <c r="L1099" s="6">
        <f>IF(Table1[[#This Row],[Conversions]]=0,0,Table1[[#This Row],[Ad Spend]]/Table1[[#This Row],[Conversions]])</f>
        <v>3.5170955605718586</v>
      </c>
      <c r="M1099" s="8">
        <f>IF(Table1[[#This Row],[Ad Spend]]=0,0,Table1[[#This Row],[Revenue]]/Table1[[#This Row],[Ad Spend]])</f>
        <v>19.14169636859198</v>
      </c>
      <c r="N1099">
        <f>YEAR(Table1[[#This Row],[Date]])</f>
        <v>2024</v>
      </c>
      <c r="O1099" t="str">
        <f>TEXT(Table1[[#This Row],[Date]],"mmm")</f>
        <v>Nov</v>
      </c>
      <c r="P1099">
        <f>MONTH(Table1[[#This Row],[Date]])</f>
        <v>11</v>
      </c>
    </row>
    <row r="1100" spans="1:16" x14ac:dyDescent="0.25">
      <c r="A1100" t="s">
        <v>1119</v>
      </c>
      <c r="B1100" t="s">
        <v>47</v>
      </c>
      <c r="C1100" t="s">
        <v>12</v>
      </c>
      <c r="D1100" s="1">
        <v>45511</v>
      </c>
      <c r="E1100">
        <v>93224</v>
      </c>
      <c r="F1100">
        <v>3351</v>
      </c>
      <c r="G1100">
        <v>454</v>
      </c>
      <c r="H1100" s="4">
        <v>4997.34</v>
      </c>
      <c r="I1100" s="4">
        <v>46164.86</v>
      </c>
      <c r="J1100" s="7">
        <f>Table1[[#This Row],[Clicks]]/Table1[[#This Row],[Impressions]]</f>
        <v>3.5945679224234105E-2</v>
      </c>
      <c r="K1100" s="7">
        <f>IFERROR(Table1[[#This Row],[Conversions]]/Table1[[#This Row],[Clicks]],0)</f>
        <v>0.13548194568785438</v>
      </c>
      <c r="L1100" s="6">
        <f>IF(Table1[[#This Row],[Conversions]]=0,0,Table1[[#This Row],[Ad Spend]]/Table1[[#This Row],[Conversions]])</f>
        <v>11.007356828193833</v>
      </c>
      <c r="M1100" s="8">
        <f>IF(Table1[[#This Row],[Ad Spend]]=0,0,Table1[[#This Row],[Revenue]]/Table1[[#This Row],[Ad Spend]])</f>
        <v>9.237886555647604</v>
      </c>
      <c r="N1100">
        <f>YEAR(Table1[[#This Row],[Date]])</f>
        <v>2024</v>
      </c>
      <c r="O1100" t="str">
        <f>TEXT(Table1[[#This Row],[Date]],"mmm")</f>
        <v>Aug</v>
      </c>
      <c r="P1100">
        <f>MONTH(Table1[[#This Row],[Date]])</f>
        <v>8</v>
      </c>
    </row>
    <row r="1101" spans="1:16" x14ac:dyDescent="0.25">
      <c r="A1101" t="s">
        <v>1120</v>
      </c>
      <c r="B1101" t="s">
        <v>47</v>
      </c>
      <c r="C1101" t="s">
        <v>17</v>
      </c>
      <c r="D1101" s="1">
        <v>45485</v>
      </c>
      <c r="E1101">
        <v>20005</v>
      </c>
      <c r="F1101">
        <v>1565</v>
      </c>
      <c r="G1101">
        <v>208</v>
      </c>
      <c r="H1101" s="4">
        <v>4070.1</v>
      </c>
      <c r="I1101" s="4">
        <v>4224.16</v>
      </c>
      <c r="J1101" s="7">
        <f>Table1[[#This Row],[Clicks]]/Table1[[#This Row],[Impressions]]</f>
        <v>7.8230442389402646E-2</v>
      </c>
      <c r="K1101" s="7">
        <f>IFERROR(Table1[[#This Row],[Conversions]]/Table1[[#This Row],[Clicks]],0)</f>
        <v>0.1329073482428115</v>
      </c>
      <c r="L1101" s="6">
        <f>IF(Table1[[#This Row],[Conversions]]=0,0,Table1[[#This Row],[Ad Spend]]/Table1[[#This Row],[Conversions]])</f>
        <v>19.567788461538463</v>
      </c>
      <c r="M1101" s="8">
        <f>IF(Table1[[#This Row],[Ad Spend]]=0,0,Table1[[#This Row],[Revenue]]/Table1[[#This Row],[Ad Spend]])</f>
        <v>1.0378516498366133</v>
      </c>
      <c r="N1101">
        <f>YEAR(Table1[[#This Row],[Date]])</f>
        <v>2024</v>
      </c>
      <c r="O1101" t="str">
        <f>TEXT(Table1[[#This Row],[Date]],"mmm")</f>
        <v>Jul</v>
      </c>
      <c r="P1101">
        <f>MONTH(Table1[[#This Row],[Date]])</f>
        <v>7</v>
      </c>
    </row>
    <row r="1102" spans="1:16" x14ac:dyDescent="0.25">
      <c r="A1102" t="s">
        <v>1121</v>
      </c>
      <c r="B1102" t="s">
        <v>21</v>
      </c>
      <c r="C1102" t="s">
        <v>37</v>
      </c>
      <c r="D1102" s="1">
        <v>45305</v>
      </c>
      <c r="E1102">
        <v>37216</v>
      </c>
      <c r="F1102">
        <v>2636</v>
      </c>
      <c r="G1102">
        <v>148</v>
      </c>
      <c r="H1102" s="4">
        <v>3556.47</v>
      </c>
      <c r="I1102" s="4">
        <v>15022.77</v>
      </c>
      <c r="J1102" s="7">
        <f>Table1[[#This Row],[Clicks]]/Table1[[#This Row],[Impressions]]</f>
        <v>7.0829750644883921E-2</v>
      </c>
      <c r="K1102" s="7">
        <f>IFERROR(Table1[[#This Row],[Conversions]]/Table1[[#This Row],[Clicks]],0)</f>
        <v>5.614567526555387E-2</v>
      </c>
      <c r="L1102" s="6">
        <f>IF(Table1[[#This Row],[Conversions]]=0,0,Table1[[#This Row],[Ad Spend]]/Table1[[#This Row],[Conversions]])</f>
        <v>24.030202702702702</v>
      </c>
      <c r="M1102" s="8">
        <f>IF(Table1[[#This Row],[Ad Spend]]=0,0,Table1[[#This Row],[Revenue]]/Table1[[#This Row],[Ad Spend]])</f>
        <v>4.2240676850922405</v>
      </c>
      <c r="N1102">
        <f>YEAR(Table1[[#This Row],[Date]])</f>
        <v>2024</v>
      </c>
      <c r="O1102" t="str">
        <f>TEXT(Table1[[#This Row],[Date]],"mmm")</f>
        <v>Jan</v>
      </c>
      <c r="P1102">
        <f>MONTH(Table1[[#This Row],[Date]])</f>
        <v>1</v>
      </c>
    </row>
    <row r="1103" spans="1:16" x14ac:dyDescent="0.25">
      <c r="A1103" t="s">
        <v>1122</v>
      </c>
      <c r="B1103" t="s">
        <v>47</v>
      </c>
      <c r="C1103" t="s">
        <v>17</v>
      </c>
      <c r="D1103" s="1">
        <v>45608</v>
      </c>
      <c r="E1103">
        <v>129570</v>
      </c>
      <c r="F1103">
        <v>5965</v>
      </c>
      <c r="G1103">
        <v>631</v>
      </c>
      <c r="H1103" s="4">
        <v>215.02</v>
      </c>
      <c r="I1103" s="4">
        <v>52882.42</v>
      </c>
      <c r="J1103" s="7">
        <f>Table1[[#This Row],[Clicks]]/Table1[[#This Row],[Impressions]]</f>
        <v>4.6036891255691902E-2</v>
      </c>
      <c r="K1103" s="7">
        <f>IFERROR(Table1[[#This Row],[Conversions]]/Table1[[#This Row],[Clicks]],0)</f>
        <v>0.1057837384744342</v>
      </c>
      <c r="L1103" s="6">
        <f>IF(Table1[[#This Row],[Conversions]]=0,0,Table1[[#This Row],[Ad Spend]]/Table1[[#This Row],[Conversions]])</f>
        <v>0.34076069730586372</v>
      </c>
      <c r="M1103" s="8">
        <f>IF(Table1[[#This Row],[Ad Spend]]=0,0,Table1[[#This Row],[Revenue]]/Table1[[#This Row],[Ad Spend]])</f>
        <v>245.94186587294203</v>
      </c>
      <c r="N1103">
        <f>YEAR(Table1[[#This Row],[Date]])</f>
        <v>2024</v>
      </c>
      <c r="O1103" t="str">
        <f>TEXT(Table1[[#This Row],[Date]],"mmm")</f>
        <v>Nov</v>
      </c>
      <c r="P1103">
        <f>MONTH(Table1[[#This Row],[Date]])</f>
        <v>11</v>
      </c>
    </row>
    <row r="1104" spans="1:16" x14ac:dyDescent="0.25">
      <c r="A1104" t="s">
        <v>1123</v>
      </c>
      <c r="B1104" t="s">
        <v>47</v>
      </c>
      <c r="C1104" t="s">
        <v>10</v>
      </c>
      <c r="D1104" s="1">
        <v>45616</v>
      </c>
      <c r="E1104">
        <v>99425</v>
      </c>
      <c r="F1104">
        <v>7073</v>
      </c>
      <c r="G1104">
        <v>1032</v>
      </c>
      <c r="H1104" s="4">
        <v>3731.9</v>
      </c>
      <c r="I1104" s="4">
        <v>90602.32</v>
      </c>
      <c r="J1104" s="7">
        <f>Table1[[#This Row],[Clicks]]/Table1[[#This Row],[Impressions]]</f>
        <v>7.1139049534825249E-2</v>
      </c>
      <c r="K1104" s="7">
        <f>IFERROR(Table1[[#This Row],[Conversions]]/Table1[[#This Row],[Clicks]],0)</f>
        <v>0.14590697016824544</v>
      </c>
      <c r="L1104" s="6">
        <f>IF(Table1[[#This Row],[Conversions]]=0,0,Table1[[#This Row],[Ad Spend]]/Table1[[#This Row],[Conversions]])</f>
        <v>3.6161821705426358</v>
      </c>
      <c r="M1104" s="8">
        <f>IF(Table1[[#This Row],[Ad Spend]]=0,0,Table1[[#This Row],[Revenue]]/Table1[[#This Row],[Ad Spend]])</f>
        <v>24.277799512312765</v>
      </c>
      <c r="N1104">
        <f>YEAR(Table1[[#This Row],[Date]])</f>
        <v>2024</v>
      </c>
      <c r="O1104" t="str">
        <f>TEXT(Table1[[#This Row],[Date]],"mmm")</f>
        <v>Nov</v>
      </c>
      <c r="P1104">
        <f>MONTH(Table1[[#This Row],[Date]])</f>
        <v>11</v>
      </c>
    </row>
    <row r="1105" spans="1:16" x14ac:dyDescent="0.25">
      <c r="A1105" t="s">
        <v>1124</v>
      </c>
      <c r="B1105" t="s">
        <v>14</v>
      </c>
      <c r="C1105" t="s">
        <v>12</v>
      </c>
      <c r="D1105" s="1">
        <v>45540</v>
      </c>
      <c r="E1105">
        <v>109900</v>
      </c>
      <c r="F1105">
        <v>6785</v>
      </c>
      <c r="G1105">
        <v>836</v>
      </c>
      <c r="H1105" s="4">
        <v>1872</v>
      </c>
      <c r="I1105" s="4">
        <v>95227.49</v>
      </c>
      <c r="J1105" s="7">
        <f>Table1[[#This Row],[Clicks]]/Table1[[#This Row],[Impressions]]</f>
        <v>6.1737943585077344E-2</v>
      </c>
      <c r="K1105" s="7">
        <f>IFERROR(Table1[[#This Row],[Conversions]]/Table1[[#This Row],[Clicks]],0)</f>
        <v>0.1232129697862933</v>
      </c>
      <c r="L1105" s="6">
        <f>IF(Table1[[#This Row],[Conversions]]=0,0,Table1[[#This Row],[Ad Spend]]/Table1[[#This Row],[Conversions]])</f>
        <v>2.2392344497607657</v>
      </c>
      <c r="M1105" s="8">
        <f>IF(Table1[[#This Row],[Ad Spend]]=0,0,Table1[[#This Row],[Revenue]]/Table1[[#This Row],[Ad Spend]])</f>
        <v>50.869385683760683</v>
      </c>
      <c r="N1105">
        <f>YEAR(Table1[[#This Row],[Date]])</f>
        <v>2024</v>
      </c>
      <c r="O1105" t="str">
        <f>TEXT(Table1[[#This Row],[Date]],"mmm")</f>
        <v>Sept</v>
      </c>
      <c r="P1105">
        <f>MONTH(Table1[[#This Row],[Date]])</f>
        <v>9</v>
      </c>
    </row>
    <row r="1106" spans="1:16" x14ac:dyDescent="0.25">
      <c r="A1106" t="s">
        <v>1125</v>
      </c>
      <c r="B1106" t="s">
        <v>41</v>
      </c>
      <c r="C1106" t="s">
        <v>10</v>
      </c>
      <c r="D1106" s="1">
        <v>45667</v>
      </c>
      <c r="E1106">
        <v>105888</v>
      </c>
      <c r="F1106">
        <v>3237</v>
      </c>
      <c r="G1106">
        <v>146</v>
      </c>
      <c r="H1106" s="4">
        <v>887.17</v>
      </c>
      <c r="I1106" s="4">
        <v>10512.79</v>
      </c>
      <c r="J1106" s="7">
        <f>Table1[[#This Row],[Clicks]]/Table1[[#This Row],[Impressions]]</f>
        <v>3.0570036264732547E-2</v>
      </c>
      <c r="K1106" s="7">
        <f>IFERROR(Table1[[#This Row],[Conversions]]/Table1[[#This Row],[Clicks]],0)</f>
        <v>4.5103490886623417E-2</v>
      </c>
      <c r="L1106" s="6">
        <f>IF(Table1[[#This Row],[Conversions]]=0,0,Table1[[#This Row],[Ad Spend]]/Table1[[#This Row],[Conversions]])</f>
        <v>6.0765068493150682</v>
      </c>
      <c r="M1106" s="8">
        <f>IF(Table1[[#This Row],[Ad Spend]]=0,0,Table1[[#This Row],[Revenue]]/Table1[[#This Row],[Ad Spend]])</f>
        <v>11.849803307145194</v>
      </c>
      <c r="N1106">
        <f>YEAR(Table1[[#This Row],[Date]])</f>
        <v>2025</v>
      </c>
      <c r="O1106" t="str">
        <f>TEXT(Table1[[#This Row],[Date]],"mmm")</f>
        <v>Jan</v>
      </c>
      <c r="P1106">
        <f>MONTH(Table1[[#This Row],[Date]])</f>
        <v>1</v>
      </c>
    </row>
    <row r="1107" spans="1:16" x14ac:dyDescent="0.25">
      <c r="A1107" t="s">
        <v>1126</v>
      </c>
      <c r="B1107" t="s">
        <v>31</v>
      </c>
      <c r="C1107" t="s">
        <v>37</v>
      </c>
      <c r="D1107" s="1">
        <v>45546</v>
      </c>
      <c r="E1107">
        <v>27830</v>
      </c>
      <c r="F1107">
        <v>865</v>
      </c>
      <c r="G1107">
        <v>92</v>
      </c>
      <c r="H1107" s="4">
        <v>2833.98</v>
      </c>
      <c r="I1107" s="4">
        <v>9888.0300000000007</v>
      </c>
      <c r="J1107" s="7">
        <f>Table1[[#This Row],[Clicks]]/Table1[[#This Row],[Impressions]]</f>
        <v>3.1081566654689183E-2</v>
      </c>
      <c r="K1107" s="7">
        <f>IFERROR(Table1[[#This Row],[Conversions]]/Table1[[#This Row],[Clicks]],0)</f>
        <v>0.10635838150289018</v>
      </c>
      <c r="L1107" s="6">
        <f>IF(Table1[[#This Row],[Conversions]]=0,0,Table1[[#This Row],[Ad Spend]]/Table1[[#This Row],[Conversions]])</f>
        <v>30.804130434782611</v>
      </c>
      <c r="M1107" s="8">
        <f>IF(Table1[[#This Row],[Ad Spend]]=0,0,Table1[[#This Row],[Revenue]]/Table1[[#This Row],[Ad Spend]])</f>
        <v>3.4890966061863531</v>
      </c>
      <c r="N1107">
        <f>YEAR(Table1[[#This Row],[Date]])</f>
        <v>2024</v>
      </c>
      <c r="O1107" t="str">
        <f>TEXT(Table1[[#This Row],[Date]],"mmm")</f>
        <v>Sept</v>
      </c>
      <c r="P1107">
        <f>MONTH(Table1[[#This Row],[Date]])</f>
        <v>9</v>
      </c>
    </row>
    <row r="1108" spans="1:16" x14ac:dyDescent="0.25">
      <c r="A1108" t="s">
        <v>1127</v>
      </c>
      <c r="B1108" t="s">
        <v>16</v>
      </c>
      <c r="C1108" t="s">
        <v>17</v>
      </c>
      <c r="D1108" s="1">
        <v>45351</v>
      </c>
      <c r="E1108">
        <v>131397</v>
      </c>
      <c r="F1108">
        <v>7408</v>
      </c>
      <c r="G1108">
        <v>380</v>
      </c>
      <c r="H1108" s="4">
        <v>1215.8800000000001</v>
      </c>
      <c r="I1108" s="4">
        <v>36223.599999999999</v>
      </c>
      <c r="J1108" s="7">
        <f>Table1[[#This Row],[Clicks]]/Table1[[#This Row],[Impressions]]</f>
        <v>5.6378760550088662E-2</v>
      </c>
      <c r="K1108" s="7">
        <f>IFERROR(Table1[[#This Row],[Conversions]]/Table1[[#This Row],[Clicks]],0)</f>
        <v>5.129589632829374E-2</v>
      </c>
      <c r="L1108" s="6">
        <f>IF(Table1[[#This Row],[Conversions]]=0,0,Table1[[#This Row],[Ad Spend]]/Table1[[#This Row],[Conversions]])</f>
        <v>3.1996842105263159</v>
      </c>
      <c r="M1108" s="8">
        <f>IF(Table1[[#This Row],[Ad Spend]]=0,0,Table1[[#This Row],[Revenue]]/Table1[[#This Row],[Ad Spend]])</f>
        <v>29.792084745205116</v>
      </c>
      <c r="N1108">
        <f>YEAR(Table1[[#This Row],[Date]])</f>
        <v>2024</v>
      </c>
      <c r="O1108" t="str">
        <f>TEXT(Table1[[#This Row],[Date]],"mmm")</f>
        <v>Feb</v>
      </c>
      <c r="P1108">
        <f>MONTH(Table1[[#This Row],[Date]])</f>
        <v>2</v>
      </c>
    </row>
    <row r="1109" spans="1:16" x14ac:dyDescent="0.25">
      <c r="A1109" t="s">
        <v>1128</v>
      </c>
      <c r="B1109" t="s">
        <v>9</v>
      </c>
      <c r="C1109" t="s">
        <v>10</v>
      </c>
      <c r="D1109" s="1">
        <v>45514</v>
      </c>
      <c r="E1109">
        <v>12660</v>
      </c>
      <c r="F1109">
        <v>268</v>
      </c>
      <c r="G1109">
        <v>37</v>
      </c>
      <c r="H1109" s="4">
        <v>4532.71</v>
      </c>
      <c r="I1109" s="4">
        <v>3575.34</v>
      </c>
      <c r="J1109" s="7">
        <f>Table1[[#This Row],[Clicks]]/Table1[[#This Row],[Impressions]]</f>
        <v>2.1169036334913113E-2</v>
      </c>
      <c r="K1109" s="7">
        <f>IFERROR(Table1[[#This Row],[Conversions]]/Table1[[#This Row],[Clicks]],0)</f>
        <v>0.13805970149253732</v>
      </c>
      <c r="L1109" s="6">
        <f>IF(Table1[[#This Row],[Conversions]]=0,0,Table1[[#This Row],[Ad Spend]]/Table1[[#This Row],[Conversions]])</f>
        <v>122.50567567567568</v>
      </c>
      <c r="M1109" s="8">
        <f>IF(Table1[[#This Row],[Ad Spend]]=0,0,Table1[[#This Row],[Revenue]]/Table1[[#This Row],[Ad Spend]])</f>
        <v>0.78878639930637529</v>
      </c>
      <c r="N1109">
        <f>YEAR(Table1[[#This Row],[Date]])</f>
        <v>2024</v>
      </c>
      <c r="O1109" t="str">
        <f>TEXT(Table1[[#This Row],[Date]],"mmm")</f>
        <v>Aug</v>
      </c>
      <c r="P1109">
        <f>MONTH(Table1[[#This Row],[Date]])</f>
        <v>8</v>
      </c>
    </row>
    <row r="1110" spans="1:16" x14ac:dyDescent="0.25">
      <c r="A1110" t="s">
        <v>1129</v>
      </c>
      <c r="B1110" t="s">
        <v>14</v>
      </c>
      <c r="C1110" t="s">
        <v>19</v>
      </c>
      <c r="D1110" s="1">
        <v>45632</v>
      </c>
      <c r="E1110">
        <v>129859</v>
      </c>
      <c r="F1110">
        <v>9947</v>
      </c>
      <c r="G1110">
        <v>1066</v>
      </c>
      <c r="H1110" s="4">
        <v>3394.29</v>
      </c>
      <c r="I1110" s="4">
        <v>119683.68</v>
      </c>
      <c r="J1110" s="7">
        <f>Table1[[#This Row],[Clicks]]/Table1[[#This Row],[Impressions]]</f>
        <v>7.6598464488406653E-2</v>
      </c>
      <c r="K1110" s="7">
        <f>IFERROR(Table1[[#This Row],[Conversions]]/Table1[[#This Row],[Clicks]],0)</f>
        <v>0.1071679903488489</v>
      </c>
      <c r="L1110" s="6">
        <f>IF(Table1[[#This Row],[Conversions]]=0,0,Table1[[#This Row],[Ad Spend]]/Table1[[#This Row],[Conversions]])</f>
        <v>3.1841369606003753</v>
      </c>
      <c r="M1110" s="8">
        <f>IF(Table1[[#This Row],[Ad Spend]]=0,0,Table1[[#This Row],[Revenue]]/Table1[[#This Row],[Ad Spend]])</f>
        <v>35.260298913763997</v>
      </c>
      <c r="N1110">
        <f>YEAR(Table1[[#This Row],[Date]])</f>
        <v>2024</v>
      </c>
      <c r="O1110" t="str">
        <f>TEXT(Table1[[#This Row],[Date]],"mmm")</f>
        <v>Dec</v>
      </c>
      <c r="P1110">
        <f>MONTH(Table1[[#This Row],[Date]])</f>
        <v>12</v>
      </c>
    </row>
    <row r="1111" spans="1:16" x14ac:dyDescent="0.25">
      <c r="A1111" t="s">
        <v>1130</v>
      </c>
      <c r="B1111" t="s">
        <v>41</v>
      </c>
      <c r="C1111" t="s">
        <v>10</v>
      </c>
      <c r="D1111" s="1">
        <v>45699</v>
      </c>
      <c r="E1111">
        <v>92241</v>
      </c>
      <c r="F1111">
        <v>6552</v>
      </c>
      <c r="G1111">
        <v>924</v>
      </c>
      <c r="H1111" s="4">
        <v>3878.42</v>
      </c>
      <c r="I1111" s="4">
        <v>73982.78</v>
      </c>
      <c r="J1111" s="7">
        <f>Table1[[#This Row],[Clicks]]/Table1[[#This Row],[Impressions]]</f>
        <v>7.1031320128793055E-2</v>
      </c>
      <c r="K1111" s="7">
        <f>IFERROR(Table1[[#This Row],[Conversions]]/Table1[[#This Row],[Clicks]],0)</f>
        <v>0.14102564102564102</v>
      </c>
      <c r="L1111" s="6">
        <f>IF(Table1[[#This Row],[Conversions]]=0,0,Table1[[#This Row],[Ad Spend]]/Table1[[#This Row],[Conversions]])</f>
        <v>4.1974242424242423</v>
      </c>
      <c r="M1111" s="8">
        <f>IF(Table1[[#This Row],[Ad Spend]]=0,0,Table1[[#This Row],[Revenue]]/Table1[[#This Row],[Ad Spend]])</f>
        <v>19.075494660196679</v>
      </c>
      <c r="N1111">
        <f>YEAR(Table1[[#This Row],[Date]])</f>
        <v>2025</v>
      </c>
      <c r="O1111" t="str">
        <f>TEXT(Table1[[#This Row],[Date]],"mmm")</f>
        <v>Feb</v>
      </c>
      <c r="P1111">
        <f>MONTH(Table1[[#This Row],[Date]])</f>
        <v>2</v>
      </c>
    </row>
    <row r="1112" spans="1:16" x14ac:dyDescent="0.25">
      <c r="A1112" t="s">
        <v>1131</v>
      </c>
      <c r="B1112" t="s">
        <v>47</v>
      </c>
      <c r="C1112" t="s">
        <v>17</v>
      </c>
      <c r="D1112" s="1">
        <v>45659</v>
      </c>
      <c r="E1112">
        <v>105047</v>
      </c>
      <c r="F1112">
        <v>5858</v>
      </c>
      <c r="G1112">
        <v>715</v>
      </c>
      <c r="H1112" s="4">
        <v>4837.99</v>
      </c>
      <c r="I1112" s="4">
        <v>45542.8</v>
      </c>
      <c r="J1112" s="7">
        <f>Table1[[#This Row],[Clicks]]/Table1[[#This Row],[Impressions]]</f>
        <v>5.5765514483992883E-2</v>
      </c>
      <c r="K1112" s="7">
        <f>IFERROR(Table1[[#This Row],[Conversions]]/Table1[[#This Row],[Clicks]],0)</f>
        <v>0.12205530897917378</v>
      </c>
      <c r="L1112" s="6">
        <f>IF(Table1[[#This Row],[Conversions]]=0,0,Table1[[#This Row],[Ad Spend]]/Table1[[#This Row],[Conversions]])</f>
        <v>6.7664195804195799</v>
      </c>
      <c r="M1112" s="8">
        <f>IF(Table1[[#This Row],[Ad Spend]]=0,0,Table1[[#This Row],[Revenue]]/Table1[[#This Row],[Ad Spend]])</f>
        <v>9.4135787796171559</v>
      </c>
      <c r="N1112">
        <f>YEAR(Table1[[#This Row],[Date]])</f>
        <v>2025</v>
      </c>
      <c r="O1112" t="str">
        <f>TEXT(Table1[[#This Row],[Date]],"mmm")</f>
        <v>Jan</v>
      </c>
      <c r="P1112">
        <f>MONTH(Table1[[#This Row],[Date]])</f>
        <v>1</v>
      </c>
    </row>
    <row r="1113" spans="1:16" x14ac:dyDescent="0.25">
      <c r="A1113" t="s">
        <v>1132</v>
      </c>
      <c r="B1113" t="s">
        <v>14</v>
      </c>
      <c r="C1113" t="s">
        <v>37</v>
      </c>
      <c r="D1113" s="1">
        <v>45424</v>
      </c>
      <c r="E1113">
        <v>35327</v>
      </c>
      <c r="F1113">
        <v>1072</v>
      </c>
      <c r="G1113">
        <v>36</v>
      </c>
      <c r="H1113" s="4">
        <v>1833.14</v>
      </c>
      <c r="I1113" s="4">
        <v>2851.92</v>
      </c>
      <c r="J1113" s="7">
        <f>Table1[[#This Row],[Clicks]]/Table1[[#This Row],[Impressions]]</f>
        <v>3.034506185070909E-2</v>
      </c>
      <c r="K1113" s="7">
        <f>IFERROR(Table1[[#This Row],[Conversions]]/Table1[[#This Row],[Clicks]],0)</f>
        <v>3.3582089552238806E-2</v>
      </c>
      <c r="L1113" s="6">
        <f>IF(Table1[[#This Row],[Conversions]]=0,0,Table1[[#This Row],[Ad Spend]]/Table1[[#This Row],[Conversions]])</f>
        <v>50.920555555555559</v>
      </c>
      <c r="M1113" s="8">
        <f>IF(Table1[[#This Row],[Ad Spend]]=0,0,Table1[[#This Row],[Revenue]]/Table1[[#This Row],[Ad Spend]])</f>
        <v>1.5557567888977382</v>
      </c>
      <c r="N1113">
        <f>YEAR(Table1[[#This Row],[Date]])</f>
        <v>2024</v>
      </c>
      <c r="O1113" t="str">
        <f>TEXT(Table1[[#This Row],[Date]],"mmm")</f>
        <v>May</v>
      </c>
      <c r="P1113">
        <f>MONTH(Table1[[#This Row],[Date]])</f>
        <v>5</v>
      </c>
    </row>
    <row r="1114" spans="1:16" x14ac:dyDescent="0.25">
      <c r="A1114" t="s">
        <v>1133</v>
      </c>
      <c r="B1114" t="s">
        <v>14</v>
      </c>
      <c r="C1114" t="s">
        <v>10</v>
      </c>
      <c r="D1114" s="1">
        <v>45585</v>
      </c>
      <c r="E1114">
        <v>101400</v>
      </c>
      <c r="F1114">
        <v>1918</v>
      </c>
      <c r="G1114">
        <v>116</v>
      </c>
      <c r="H1114" s="4">
        <v>2024.94</v>
      </c>
      <c r="I1114" s="4">
        <v>10868.25</v>
      </c>
      <c r="J1114" s="7">
        <f>Table1[[#This Row],[Clicks]]/Table1[[#This Row],[Impressions]]</f>
        <v>1.8915187376725838E-2</v>
      </c>
      <c r="K1114" s="7">
        <f>IFERROR(Table1[[#This Row],[Conversions]]/Table1[[#This Row],[Clicks]],0)</f>
        <v>6.047966631908238E-2</v>
      </c>
      <c r="L1114" s="6">
        <f>IF(Table1[[#This Row],[Conversions]]=0,0,Table1[[#This Row],[Ad Spend]]/Table1[[#This Row],[Conversions]])</f>
        <v>17.456379310344829</v>
      </c>
      <c r="M1114" s="8">
        <f>IF(Table1[[#This Row],[Ad Spend]]=0,0,Table1[[#This Row],[Revenue]]/Table1[[#This Row],[Ad Spend]])</f>
        <v>5.3671960650685948</v>
      </c>
      <c r="N1114">
        <f>YEAR(Table1[[#This Row],[Date]])</f>
        <v>2024</v>
      </c>
      <c r="O1114" t="str">
        <f>TEXT(Table1[[#This Row],[Date]],"mmm")</f>
        <v>Oct</v>
      </c>
      <c r="P1114">
        <f>MONTH(Table1[[#This Row],[Date]])</f>
        <v>10</v>
      </c>
    </row>
    <row r="1115" spans="1:16" x14ac:dyDescent="0.25">
      <c r="A1115" t="s">
        <v>1134</v>
      </c>
      <c r="B1115" t="s">
        <v>34</v>
      </c>
      <c r="C1115" t="s">
        <v>10</v>
      </c>
      <c r="D1115" s="1">
        <v>45594</v>
      </c>
      <c r="E1115">
        <v>145405</v>
      </c>
      <c r="F1115">
        <v>3386</v>
      </c>
      <c r="G1115">
        <v>238</v>
      </c>
      <c r="H1115" s="4">
        <v>2233.75</v>
      </c>
      <c r="I1115" s="4">
        <v>23116.49</v>
      </c>
      <c r="J1115" s="7">
        <f>Table1[[#This Row],[Clicks]]/Table1[[#This Row],[Impressions]]</f>
        <v>2.3286682026065129E-2</v>
      </c>
      <c r="K1115" s="7">
        <f>IFERROR(Table1[[#This Row],[Conversions]]/Table1[[#This Row],[Clicks]],0)</f>
        <v>7.0289427052569409E-2</v>
      </c>
      <c r="L1115" s="6">
        <f>IF(Table1[[#This Row],[Conversions]]=0,0,Table1[[#This Row],[Ad Spend]]/Table1[[#This Row],[Conversions]])</f>
        <v>9.3855042016806731</v>
      </c>
      <c r="M1115" s="8">
        <f>IF(Table1[[#This Row],[Ad Spend]]=0,0,Table1[[#This Row],[Revenue]]/Table1[[#This Row],[Ad Spend]])</f>
        <v>10.348736429770566</v>
      </c>
      <c r="N1115">
        <f>YEAR(Table1[[#This Row],[Date]])</f>
        <v>2024</v>
      </c>
      <c r="O1115" t="str">
        <f>TEXT(Table1[[#This Row],[Date]],"mmm")</f>
        <v>Oct</v>
      </c>
      <c r="P1115">
        <f>MONTH(Table1[[#This Row],[Date]])</f>
        <v>10</v>
      </c>
    </row>
    <row r="1116" spans="1:16" x14ac:dyDescent="0.25">
      <c r="A1116" t="s">
        <v>1135</v>
      </c>
      <c r="B1116" t="s">
        <v>16</v>
      </c>
      <c r="C1116" t="s">
        <v>12</v>
      </c>
      <c r="D1116" s="1">
        <v>45631</v>
      </c>
      <c r="E1116">
        <v>63233</v>
      </c>
      <c r="F1116">
        <v>1104</v>
      </c>
      <c r="G1116">
        <v>23</v>
      </c>
      <c r="H1116" s="4">
        <v>4291.34</v>
      </c>
      <c r="I1116" s="4">
        <v>1186.6300000000001</v>
      </c>
      <c r="J1116" s="7">
        <f>Table1[[#This Row],[Clicks]]/Table1[[#This Row],[Impressions]]</f>
        <v>1.7459238056078314E-2</v>
      </c>
      <c r="K1116" s="7">
        <f>IFERROR(Table1[[#This Row],[Conversions]]/Table1[[#This Row],[Clicks]],0)</f>
        <v>2.0833333333333332E-2</v>
      </c>
      <c r="L1116" s="6">
        <f>IF(Table1[[#This Row],[Conversions]]=0,0,Table1[[#This Row],[Ad Spend]]/Table1[[#This Row],[Conversions]])</f>
        <v>186.58</v>
      </c>
      <c r="M1116" s="8">
        <f>IF(Table1[[#This Row],[Ad Spend]]=0,0,Table1[[#This Row],[Revenue]]/Table1[[#This Row],[Ad Spend]])</f>
        <v>0.2765173582144505</v>
      </c>
      <c r="N1116">
        <f>YEAR(Table1[[#This Row],[Date]])</f>
        <v>2024</v>
      </c>
      <c r="O1116" t="str">
        <f>TEXT(Table1[[#This Row],[Date]],"mmm")</f>
        <v>Dec</v>
      </c>
      <c r="P1116">
        <f>MONTH(Table1[[#This Row],[Date]])</f>
        <v>12</v>
      </c>
    </row>
    <row r="1117" spans="1:16" x14ac:dyDescent="0.25">
      <c r="A1117" t="s">
        <v>1136</v>
      </c>
      <c r="B1117" t="s">
        <v>34</v>
      </c>
      <c r="C1117" t="s">
        <v>37</v>
      </c>
      <c r="D1117" s="1">
        <v>45547</v>
      </c>
      <c r="E1117">
        <v>124481</v>
      </c>
      <c r="F1117">
        <v>2529</v>
      </c>
      <c r="G1117">
        <v>143</v>
      </c>
      <c r="H1117" s="4">
        <v>3785.89</v>
      </c>
      <c r="I1117" s="4">
        <v>15002.52</v>
      </c>
      <c r="J1117" s="7">
        <f>Table1[[#This Row],[Clicks]]/Table1[[#This Row],[Impressions]]</f>
        <v>2.0316353499730884E-2</v>
      </c>
      <c r="K1117" s="7">
        <f>IFERROR(Table1[[#This Row],[Conversions]]/Table1[[#This Row],[Clicks]],0)</f>
        <v>5.6544088572558326E-2</v>
      </c>
      <c r="L1117" s="6">
        <f>IF(Table1[[#This Row],[Conversions]]=0,0,Table1[[#This Row],[Ad Spend]]/Table1[[#This Row],[Conversions]])</f>
        <v>26.474755244755244</v>
      </c>
      <c r="M1117" s="8">
        <f>IF(Table1[[#This Row],[Ad Spend]]=0,0,Table1[[#This Row],[Revenue]]/Table1[[#This Row],[Ad Spend]])</f>
        <v>3.9627458800968864</v>
      </c>
      <c r="N1117">
        <f>YEAR(Table1[[#This Row],[Date]])</f>
        <v>2024</v>
      </c>
      <c r="O1117" t="str">
        <f>TEXT(Table1[[#This Row],[Date]],"mmm")</f>
        <v>Sept</v>
      </c>
      <c r="P1117">
        <f>MONTH(Table1[[#This Row],[Date]])</f>
        <v>9</v>
      </c>
    </row>
    <row r="1118" spans="1:16" x14ac:dyDescent="0.25">
      <c r="A1118" t="s">
        <v>1137</v>
      </c>
      <c r="B1118" t="s">
        <v>31</v>
      </c>
      <c r="C1118" t="s">
        <v>12</v>
      </c>
      <c r="D1118" s="1">
        <v>45455</v>
      </c>
      <c r="E1118">
        <v>85974</v>
      </c>
      <c r="F1118">
        <v>3883</v>
      </c>
      <c r="G1118">
        <v>425</v>
      </c>
      <c r="H1118" s="4">
        <v>1512.57</v>
      </c>
      <c r="I1118" s="4">
        <v>44525.94</v>
      </c>
      <c r="J1118" s="7">
        <f>Table1[[#This Row],[Clicks]]/Table1[[#This Row],[Impressions]]</f>
        <v>4.5164817270337547E-2</v>
      </c>
      <c r="K1118" s="7">
        <f>IFERROR(Table1[[#This Row],[Conversions]]/Table1[[#This Row],[Clicks]],0)</f>
        <v>0.10945145506052022</v>
      </c>
      <c r="L1118" s="6">
        <f>IF(Table1[[#This Row],[Conversions]]=0,0,Table1[[#This Row],[Ad Spend]]/Table1[[#This Row],[Conversions]])</f>
        <v>3.5589882352941173</v>
      </c>
      <c r="M1118" s="8">
        <f>IF(Table1[[#This Row],[Ad Spend]]=0,0,Table1[[#This Row],[Revenue]]/Table1[[#This Row],[Ad Spend]])</f>
        <v>29.437275630218771</v>
      </c>
      <c r="N1118">
        <f>YEAR(Table1[[#This Row],[Date]])</f>
        <v>2024</v>
      </c>
      <c r="O1118" t="str">
        <f>TEXT(Table1[[#This Row],[Date]],"mmm")</f>
        <v>Jun</v>
      </c>
      <c r="P1118">
        <f>MONTH(Table1[[#This Row],[Date]])</f>
        <v>6</v>
      </c>
    </row>
    <row r="1119" spans="1:16" x14ac:dyDescent="0.25">
      <c r="A1119" t="s">
        <v>1138</v>
      </c>
      <c r="B1119" t="s">
        <v>41</v>
      </c>
      <c r="C1119" t="s">
        <v>37</v>
      </c>
      <c r="D1119" s="1">
        <v>45545</v>
      </c>
      <c r="E1119">
        <v>81413</v>
      </c>
      <c r="F1119">
        <v>4826</v>
      </c>
      <c r="G1119">
        <v>332</v>
      </c>
      <c r="H1119" s="4">
        <v>4909.49</v>
      </c>
      <c r="I1119" s="4">
        <v>17700.400000000001</v>
      </c>
      <c r="J1119" s="7">
        <f>Table1[[#This Row],[Clicks]]/Table1[[#This Row],[Impressions]]</f>
        <v>5.9278002284647413E-2</v>
      </c>
      <c r="K1119" s="7">
        <f>IFERROR(Table1[[#This Row],[Conversions]]/Table1[[#This Row],[Clicks]],0)</f>
        <v>6.8794032324906759E-2</v>
      </c>
      <c r="L1119" s="6">
        <f>IF(Table1[[#This Row],[Conversions]]=0,0,Table1[[#This Row],[Ad Spend]]/Table1[[#This Row],[Conversions]])</f>
        <v>14.787620481927711</v>
      </c>
      <c r="M1119" s="8">
        <f>IF(Table1[[#This Row],[Ad Spend]]=0,0,Table1[[#This Row],[Revenue]]/Table1[[#This Row],[Ad Spend]])</f>
        <v>3.6053439359281723</v>
      </c>
      <c r="N1119">
        <f>YEAR(Table1[[#This Row],[Date]])</f>
        <v>2024</v>
      </c>
      <c r="O1119" t="str">
        <f>TEXT(Table1[[#This Row],[Date]],"mmm")</f>
        <v>Sept</v>
      </c>
      <c r="P1119">
        <f>MONTH(Table1[[#This Row],[Date]])</f>
        <v>9</v>
      </c>
    </row>
    <row r="1120" spans="1:16" x14ac:dyDescent="0.25">
      <c r="A1120" t="s">
        <v>1139</v>
      </c>
      <c r="B1120" t="s">
        <v>14</v>
      </c>
      <c r="C1120" t="s">
        <v>37</v>
      </c>
      <c r="D1120" s="1">
        <v>45650</v>
      </c>
      <c r="E1120">
        <v>18779</v>
      </c>
      <c r="F1120">
        <v>1401</v>
      </c>
      <c r="G1120">
        <v>169</v>
      </c>
      <c r="H1120" s="4">
        <v>4312.54</v>
      </c>
      <c r="I1120" s="4">
        <v>15672.98</v>
      </c>
      <c r="J1120" s="7">
        <f>Table1[[#This Row],[Clicks]]/Table1[[#This Row],[Impressions]]</f>
        <v>7.4604611534160495E-2</v>
      </c>
      <c r="K1120" s="7">
        <f>IFERROR(Table1[[#This Row],[Conversions]]/Table1[[#This Row],[Clicks]],0)</f>
        <v>0.1206281227694504</v>
      </c>
      <c r="L1120" s="6">
        <f>IF(Table1[[#This Row],[Conversions]]=0,0,Table1[[#This Row],[Ad Spend]]/Table1[[#This Row],[Conversions]])</f>
        <v>25.517988165680475</v>
      </c>
      <c r="M1120" s="8">
        <f>IF(Table1[[#This Row],[Ad Spend]]=0,0,Table1[[#This Row],[Revenue]]/Table1[[#This Row],[Ad Spend]])</f>
        <v>3.6342804936302038</v>
      </c>
      <c r="N1120">
        <f>YEAR(Table1[[#This Row],[Date]])</f>
        <v>2024</v>
      </c>
      <c r="O1120" t="str">
        <f>TEXT(Table1[[#This Row],[Date]],"mmm")</f>
        <v>Dec</v>
      </c>
      <c r="P1120">
        <f>MONTH(Table1[[#This Row],[Date]])</f>
        <v>12</v>
      </c>
    </row>
    <row r="1121" spans="1:16" x14ac:dyDescent="0.25">
      <c r="A1121" t="s">
        <v>1140</v>
      </c>
      <c r="B1121" t="s">
        <v>34</v>
      </c>
      <c r="C1121" t="s">
        <v>37</v>
      </c>
      <c r="D1121" s="1">
        <v>45303</v>
      </c>
      <c r="E1121">
        <v>148639</v>
      </c>
      <c r="F1121">
        <v>5568</v>
      </c>
      <c r="G1121">
        <v>417</v>
      </c>
      <c r="H1121" s="4">
        <v>2472.42</v>
      </c>
      <c r="I1121" s="4">
        <v>22864.41</v>
      </c>
      <c r="J1121" s="7">
        <f>Table1[[#This Row],[Clicks]]/Table1[[#This Row],[Impressions]]</f>
        <v>3.7459886032602481E-2</v>
      </c>
      <c r="K1121" s="7">
        <f>IFERROR(Table1[[#This Row],[Conversions]]/Table1[[#This Row],[Clicks]],0)</f>
        <v>7.4892241379310345E-2</v>
      </c>
      <c r="L1121" s="6">
        <f>IF(Table1[[#This Row],[Conversions]]=0,0,Table1[[#This Row],[Ad Spend]]/Table1[[#This Row],[Conversions]])</f>
        <v>5.9290647482014389</v>
      </c>
      <c r="M1121" s="8">
        <f>IF(Table1[[#This Row],[Ad Spend]]=0,0,Table1[[#This Row],[Revenue]]/Table1[[#This Row],[Ad Spend]])</f>
        <v>9.2477855704127929</v>
      </c>
      <c r="N1121">
        <f>YEAR(Table1[[#This Row],[Date]])</f>
        <v>2024</v>
      </c>
      <c r="O1121" t="str">
        <f>TEXT(Table1[[#This Row],[Date]],"mmm")</f>
        <v>Jan</v>
      </c>
      <c r="P1121">
        <f>MONTH(Table1[[#This Row],[Date]])</f>
        <v>1</v>
      </c>
    </row>
    <row r="1122" spans="1:16" x14ac:dyDescent="0.25">
      <c r="A1122" t="s">
        <v>1141</v>
      </c>
      <c r="B1122" t="s">
        <v>21</v>
      </c>
      <c r="C1122" t="s">
        <v>17</v>
      </c>
      <c r="D1122" s="1">
        <v>45328</v>
      </c>
      <c r="E1122">
        <v>143371</v>
      </c>
      <c r="F1122">
        <v>8727</v>
      </c>
      <c r="G1122">
        <v>494</v>
      </c>
      <c r="H1122" s="4">
        <v>4630.71</v>
      </c>
      <c r="I1122" s="4">
        <v>44514.77</v>
      </c>
      <c r="J1122" s="7">
        <f>Table1[[#This Row],[Clicks]]/Table1[[#This Row],[Impressions]]</f>
        <v>6.0870050428608297E-2</v>
      </c>
      <c r="K1122" s="7">
        <f>IFERROR(Table1[[#This Row],[Conversions]]/Table1[[#This Row],[Clicks]],0)</f>
        <v>5.6605935602154232E-2</v>
      </c>
      <c r="L1122" s="6">
        <f>IF(Table1[[#This Row],[Conversions]]=0,0,Table1[[#This Row],[Ad Spend]]/Table1[[#This Row],[Conversions]])</f>
        <v>9.3739068825910934</v>
      </c>
      <c r="M1122" s="8">
        <f>IF(Table1[[#This Row],[Ad Spend]]=0,0,Table1[[#This Row],[Revenue]]/Table1[[#This Row],[Ad Spend]])</f>
        <v>9.6129470426781207</v>
      </c>
      <c r="N1122">
        <f>YEAR(Table1[[#This Row],[Date]])</f>
        <v>2024</v>
      </c>
      <c r="O1122" t="str">
        <f>TEXT(Table1[[#This Row],[Date]],"mmm")</f>
        <v>Feb</v>
      </c>
      <c r="P1122">
        <f>MONTH(Table1[[#This Row],[Date]])</f>
        <v>2</v>
      </c>
    </row>
    <row r="1123" spans="1:16" x14ac:dyDescent="0.25">
      <c r="A1123" t="s">
        <v>1142</v>
      </c>
      <c r="B1123" t="s">
        <v>21</v>
      </c>
      <c r="C1123" t="s">
        <v>10</v>
      </c>
      <c r="D1123" s="1">
        <v>45359</v>
      </c>
      <c r="E1123">
        <v>89782</v>
      </c>
      <c r="F1123">
        <v>5625</v>
      </c>
      <c r="G1123">
        <v>536</v>
      </c>
      <c r="H1123" s="4">
        <v>4064.34</v>
      </c>
      <c r="I1123" s="4">
        <v>56269.8</v>
      </c>
      <c r="J1123" s="7">
        <f>Table1[[#This Row],[Clicks]]/Table1[[#This Row],[Impressions]]</f>
        <v>6.2651756476799353E-2</v>
      </c>
      <c r="K1123" s="7">
        <f>IFERROR(Table1[[#This Row],[Conversions]]/Table1[[#This Row],[Clicks]],0)</f>
        <v>9.5288888888888895E-2</v>
      </c>
      <c r="L1123" s="6">
        <f>IF(Table1[[#This Row],[Conversions]]=0,0,Table1[[#This Row],[Ad Spend]]/Table1[[#This Row],[Conversions]])</f>
        <v>7.5827238805970154</v>
      </c>
      <c r="M1123" s="8">
        <f>IF(Table1[[#This Row],[Ad Spend]]=0,0,Table1[[#This Row],[Revenue]]/Table1[[#This Row],[Ad Spend]])</f>
        <v>13.844757082330711</v>
      </c>
      <c r="N1123">
        <f>YEAR(Table1[[#This Row],[Date]])</f>
        <v>2024</v>
      </c>
      <c r="O1123" t="str">
        <f>TEXT(Table1[[#This Row],[Date]],"mmm")</f>
        <v>Mar</v>
      </c>
      <c r="P1123">
        <f>MONTH(Table1[[#This Row],[Date]])</f>
        <v>3</v>
      </c>
    </row>
    <row r="1124" spans="1:16" x14ac:dyDescent="0.25">
      <c r="A1124" t="s">
        <v>1143</v>
      </c>
      <c r="B1124" t="s">
        <v>34</v>
      </c>
      <c r="C1124" t="s">
        <v>17</v>
      </c>
      <c r="D1124" s="1">
        <v>45627</v>
      </c>
      <c r="E1124">
        <v>47911</v>
      </c>
      <c r="F1124">
        <v>2414</v>
      </c>
      <c r="G1124">
        <v>186</v>
      </c>
      <c r="H1124" s="4">
        <v>2515.7199999999998</v>
      </c>
      <c r="I1124" s="4">
        <v>20408.259999999998</v>
      </c>
      <c r="J1124" s="7">
        <f>Table1[[#This Row],[Clicks]]/Table1[[#This Row],[Impressions]]</f>
        <v>5.0385089019223145E-2</v>
      </c>
      <c r="K1124" s="7">
        <f>IFERROR(Table1[[#This Row],[Conversions]]/Table1[[#This Row],[Clicks]],0)</f>
        <v>7.705053852526926E-2</v>
      </c>
      <c r="L1124" s="6">
        <f>IF(Table1[[#This Row],[Conversions]]=0,0,Table1[[#This Row],[Ad Spend]]/Table1[[#This Row],[Conversions]])</f>
        <v>13.52537634408602</v>
      </c>
      <c r="M1124" s="8">
        <f>IF(Table1[[#This Row],[Ad Spend]]=0,0,Table1[[#This Row],[Revenue]]/Table1[[#This Row],[Ad Spend]])</f>
        <v>8.1122938959820647</v>
      </c>
      <c r="N1124">
        <f>YEAR(Table1[[#This Row],[Date]])</f>
        <v>2024</v>
      </c>
      <c r="O1124" t="str">
        <f>TEXT(Table1[[#This Row],[Date]],"mmm")</f>
        <v>Dec</v>
      </c>
      <c r="P1124">
        <f>MONTH(Table1[[#This Row],[Date]])</f>
        <v>12</v>
      </c>
    </row>
    <row r="1125" spans="1:16" x14ac:dyDescent="0.25">
      <c r="A1125" t="s">
        <v>1144</v>
      </c>
      <c r="B1125" t="s">
        <v>14</v>
      </c>
      <c r="C1125" t="s">
        <v>37</v>
      </c>
      <c r="D1125" s="1">
        <v>45703</v>
      </c>
      <c r="E1125">
        <v>56289</v>
      </c>
      <c r="F1125">
        <v>3460</v>
      </c>
      <c r="G1125">
        <v>73</v>
      </c>
      <c r="H1125" s="4">
        <v>3684.6</v>
      </c>
      <c r="I1125" s="4">
        <v>5662.48</v>
      </c>
      <c r="J1125" s="7">
        <f>Table1[[#This Row],[Clicks]]/Table1[[#This Row],[Impressions]]</f>
        <v>6.1468492955994956E-2</v>
      </c>
      <c r="K1125" s="7">
        <f>IFERROR(Table1[[#This Row],[Conversions]]/Table1[[#This Row],[Clicks]],0)</f>
        <v>2.1098265895953757E-2</v>
      </c>
      <c r="L1125" s="6">
        <f>IF(Table1[[#This Row],[Conversions]]=0,0,Table1[[#This Row],[Ad Spend]]/Table1[[#This Row],[Conversions]])</f>
        <v>50.473972602739728</v>
      </c>
      <c r="M1125" s="8">
        <f>IF(Table1[[#This Row],[Ad Spend]]=0,0,Table1[[#This Row],[Revenue]]/Table1[[#This Row],[Ad Spend]])</f>
        <v>1.5367963958095858</v>
      </c>
      <c r="N1125">
        <f>YEAR(Table1[[#This Row],[Date]])</f>
        <v>2025</v>
      </c>
      <c r="O1125" t="str">
        <f>TEXT(Table1[[#This Row],[Date]],"mmm")</f>
        <v>Feb</v>
      </c>
      <c r="P1125">
        <f>MONTH(Table1[[#This Row],[Date]])</f>
        <v>2</v>
      </c>
    </row>
    <row r="1126" spans="1:16" x14ac:dyDescent="0.25">
      <c r="A1126" t="s">
        <v>1145</v>
      </c>
      <c r="B1126" t="s">
        <v>16</v>
      </c>
      <c r="C1126" t="s">
        <v>17</v>
      </c>
      <c r="D1126" s="1">
        <v>45510</v>
      </c>
      <c r="E1126">
        <v>49098</v>
      </c>
      <c r="F1126">
        <v>3673</v>
      </c>
      <c r="G1126">
        <v>119</v>
      </c>
      <c r="H1126" s="4">
        <v>4875.96</v>
      </c>
      <c r="I1126" s="4">
        <v>4517.63</v>
      </c>
      <c r="J1126" s="7">
        <f>Table1[[#This Row],[Clicks]]/Table1[[#This Row],[Impressions]]</f>
        <v>7.4809564544380633E-2</v>
      </c>
      <c r="K1126" s="7">
        <f>IFERROR(Table1[[#This Row],[Conversions]]/Table1[[#This Row],[Clicks]],0)</f>
        <v>3.2398584263544784E-2</v>
      </c>
      <c r="L1126" s="6">
        <f>IF(Table1[[#This Row],[Conversions]]=0,0,Table1[[#This Row],[Ad Spend]]/Table1[[#This Row],[Conversions]])</f>
        <v>40.974453781512608</v>
      </c>
      <c r="M1126" s="8">
        <f>IF(Table1[[#This Row],[Ad Spend]]=0,0,Table1[[#This Row],[Revenue]]/Table1[[#This Row],[Ad Spend]])</f>
        <v>0.92651088195965514</v>
      </c>
      <c r="N1126">
        <f>YEAR(Table1[[#This Row],[Date]])</f>
        <v>2024</v>
      </c>
      <c r="O1126" t="str">
        <f>TEXT(Table1[[#This Row],[Date]],"mmm")</f>
        <v>Aug</v>
      </c>
      <c r="P1126">
        <f>MONTH(Table1[[#This Row],[Date]])</f>
        <v>8</v>
      </c>
    </row>
    <row r="1127" spans="1:16" x14ac:dyDescent="0.25">
      <c r="A1127" t="s">
        <v>1146</v>
      </c>
      <c r="B1127" t="s">
        <v>31</v>
      </c>
      <c r="C1127" t="s">
        <v>10</v>
      </c>
      <c r="D1127" s="1">
        <v>45555</v>
      </c>
      <c r="E1127">
        <v>93732</v>
      </c>
      <c r="F1127">
        <v>4830</v>
      </c>
      <c r="G1127">
        <v>705</v>
      </c>
      <c r="H1127" s="4">
        <v>3209.47</v>
      </c>
      <c r="I1127" s="4">
        <v>42581.58</v>
      </c>
      <c r="J1127" s="7">
        <f>Table1[[#This Row],[Clicks]]/Table1[[#This Row],[Impressions]]</f>
        <v>5.1529893739598001E-2</v>
      </c>
      <c r="K1127" s="7">
        <f>IFERROR(Table1[[#This Row],[Conversions]]/Table1[[#This Row],[Clicks]],0)</f>
        <v>0.14596273291925466</v>
      </c>
      <c r="L1127" s="6">
        <f>IF(Table1[[#This Row],[Conversions]]=0,0,Table1[[#This Row],[Ad Spend]]/Table1[[#This Row],[Conversions]])</f>
        <v>4.5524397163120565</v>
      </c>
      <c r="M1127" s="8">
        <f>IF(Table1[[#This Row],[Ad Spend]]=0,0,Table1[[#This Row],[Revenue]]/Table1[[#This Row],[Ad Spend]])</f>
        <v>13.267480300485751</v>
      </c>
      <c r="N1127">
        <f>YEAR(Table1[[#This Row],[Date]])</f>
        <v>2024</v>
      </c>
      <c r="O1127" t="str">
        <f>TEXT(Table1[[#This Row],[Date]],"mmm")</f>
        <v>Sept</v>
      </c>
      <c r="P1127">
        <f>MONTH(Table1[[#This Row],[Date]])</f>
        <v>9</v>
      </c>
    </row>
    <row r="1128" spans="1:16" x14ac:dyDescent="0.25">
      <c r="A1128" t="s">
        <v>1147</v>
      </c>
      <c r="B1128" t="s">
        <v>31</v>
      </c>
      <c r="C1128" t="s">
        <v>10</v>
      </c>
      <c r="D1128" s="1">
        <v>45415</v>
      </c>
      <c r="E1128">
        <v>108978</v>
      </c>
      <c r="F1128">
        <v>4817</v>
      </c>
      <c r="G1128">
        <v>527</v>
      </c>
      <c r="H1128" s="4">
        <v>4781.87</v>
      </c>
      <c r="I1128" s="4">
        <v>44942.400000000001</v>
      </c>
      <c r="J1128" s="7">
        <f>Table1[[#This Row],[Clicks]]/Table1[[#This Row],[Impressions]]</f>
        <v>4.4201581970672983E-2</v>
      </c>
      <c r="K1128" s="7">
        <f>IFERROR(Table1[[#This Row],[Conversions]]/Table1[[#This Row],[Clicks]],0)</f>
        <v>0.10940419348141997</v>
      </c>
      <c r="L1128" s="6">
        <f>IF(Table1[[#This Row],[Conversions]]=0,0,Table1[[#This Row],[Ad Spend]]/Table1[[#This Row],[Conversions]])</f>
        <v>9.073757115749526</v>
      </c>
      <c r="M1128" s="8">
        <f>IF(Table1[[#This Row],[Ad Spend]]=0,0,Table1[[#This Row],[Revenue]]/Table1[[#This Row],[Ad Spend]])</f>
        <v>9.3984989136049286</v>
      </c>
      <c r="N1128">
        <f>YEAR(Table1[[#This Row],[Date]])</f>
        <v>2024</v>
      </c>
      <c r="O1128" t="str">
        <f>TEXT(Table1[[#This Row],[Date]],"mmm")</f>
        <v>May</v>
      </c>
      <c r="P1128">
        <f>MONTH(Table1[[#This Row],[Date]])</f>
        <v>5</v>
      </c>
    </row>
    <row r="1129" spans="1:16" x14ac:dyDescent="0.25">
      <c r="A1129" t="s">
        <v>1148</v>
      </c>
      <c r="B1129" t="s">
        <v>21</v>
      </c>
      <c r="C1129" t="s">
        <v>10</v>
      </c>
      <c r="D1129" s="1">
        <v>45690</v>
      </c>
      <c r="E1129">
        <v>126549</v>
      </c>
      <c r="F1129">
        <v>8927</v>
      </c>
      <c r="G1129">
        <v>933</v>
      </c>
      <c r="H1129" s="4">
        <v>1521.04</v>
      </c>
      <c r="I1129" s="4">
        <v>79603.14</v>
      </c>
      <c r="J1129" s="7">
        <f>Table1[[#This Row],[Clicks]]/Table1[[#This Row],[Impressions]]</f>
        <v>7.0541845451169108E-2</v>
      </c>
      <c r="K1129" s="7">
        <f>IFERROR(Table1[[#This Row],[Conversions]]/Table1[[#This Row],[Clicks]],0)</f>
        <v>0.10451439453343789</v>
      </c>
      <c r="L1129" s="6">
        <f>IF(Table1[[#This Row],[Conversions]]=0,0,Table1[[#This Row],[Ad Spend]]/Table1[[#This Row],[Conversions]])</f>
        <v>1.6302679528403001</v>
      </c>
      <c r="M1129" s="8">
        <f>IF(Table1[[#This Row],[Ad Spend]]=0,0,Table1[[#This Row],[Revenue]]/Table1[[#This Row],[Ad Spend]])</f>
        <v>52.33467890390785</v>
      </c>
      <c r="N1129">
        <f>YEAR(Table1[[#This Row],[Date]])</f>
        <v>2025</v>
      </c>
      <c r="O1129" t="str">
        <f>TEXT(Table1[[#This Row],[Date]],"mmm")</f>
        <v>Feb</v>
      </c>
      <c r="P1129">
        <f>MONTH(Table1[[#This Row],[Date]])</f>
        <v>2</v>
      </c>
    </row>
    <row r="1130" spans="1:16" x14ac:dyDescent="0.25">
      <c r="A1130" t="s">
        <v>1149</v>
      </c>
      <c r="B1130" t="s">
        <v>47</v>
      </c>
      <c r="C1130" t="s">
        <v>10</v>
      </c>
      <c r="D1130" s="1">
        <v>45353</v>
      </c>
      <c r="E1130">
        <v>35573</v>
      </c>
      <c r="F1130">
        <v>561</v>
      </c>
      <c r="G1130">
        <v>46</v>
      </c>
      <c r="H1130" s="4">
        <v>3410.2</v>
      </c>
      <c r="I1130" s="4">
        <v>3264.84</v>
      </c>
      <c r="J1130" s="7">
        <f>Table1[[#This Row],[Clicks]]/Table1[[#This Row],[Impressions]]</f>
        <v>1.5770387653557472E-2</v>
      </c>
      <c r="K1130" s="7">
        <f>IFERROR(Table1[[#This Row],[Conversions]]/Table1[[#This Row],[Clicks]],0)</f>
        <v>8.1996434937611412E-2</v>
      </c>
      <c r="L1130" s="6">
        <f>IF(Table1[[#This Row],[Conversions]]=0,0,Table1[[#This Row],[Ad Spend]]/Table1[[#This Row],[Conversions]])</f>
        <v>74.134782608695645</v>
      </c>
      <c r="M1130" s="8">
        <f>IF(Table1[[#This Row],[Ad Spend]]=0,0,Table1[[#This Row],[Revenue]]/Table1[[#This Row],[Ad Spend]])</f>
        <v>0.95737493402146512</v>
      </c>
      <c r="N1130">
        <f>YEAR(Table1[[#This Row],[Date]])</f>
        <v>2024</v>
      </c>
      <c r="O1130" t="str">
        <f>TEXT(Table1[[#This Row],[Date]],"mmm")</f>
        <v>Mar</v>
      </c>
      <c r="P1130">
        <f>MONTH(Table1[[#This Row],[Date]])</f>
        <v>3</v>
      </c>
    </row>
    <row r="1131" spans="1:16" x14ac:dyDescent="0.25">
      <c r="A1131" t="s">
        <v>1150</v>
      </c>
      <c r="B1131" t="s">
        <v>31</v>
      </c>
      <c r="C1131" t="s">
        <v>12</v>
      </c>
      <c r="D1131" s="1">
        <v>45585</v>
      </c>
      <c r="E1131">
        <v>130697</v>
      </c>
      <c r="F1131">
        <v>3811</v>
      </c>
      <c r="G1131">
        <v>445</v>
      </c>
      <c r="H1131" s="4">
        <v>4012.85</v>
      </c>
      <c r="I1131" s="4">
        <v>16958.8</v>
      </c>
      <c r="J1131" s="7">
        <f>Table1[[#This Row],[Clicks]]/Table1[[#This Row],[Impressions]]</f>
        <v>2.9159047261987651E-2</v>
      </c>
      <c r="K1131" s="7">
        <f>IFERROR(Table1[[#This Row],[Conversions]]/Table1[[#This Row],[Clicks]],0)</f>
        <v>0.11676725268958278</v>
      </c>
      <c r="L1131" s="6">
        <f>IF(Table1[[#This Row],[Conversions]]=0,0,Table1[[#This Row],[Ad Spend]]/Table1[[#This Row],[Conversions]])</f>
        <v>9.0176404494382023</v>
      </c>
      <c r="M1131" s="8">
        <f>IF(Table1[[#This Row],[Ad Spend]]=0,0,Table1[[#This Row],[Revenue]]/Table1[[#This Row],[Ad Spend]])</f>
        <v>4.226123578005657</v>
      </c>
      <c r="N1131">
        <f>YEAR(Table1[[#This Row],[Date]])</f>
        <v>2024</v>
      </c>
      <c r="O1131" t="str">
        <f>TEXT(Table1[[#This Row],[Date]],"mmm")</f>
        <v>Oct</v>
      </c>
      <c r="P1131">
        <f>MONTH(Table1[[#This Row],[Date]])</f>
        <v>10</v>
      </c>
    </row>
    <row r="1132" spans="1:16" x14ac:dyDescent="0.25">
      <c r="A1132" t="s">
        <v>1151</v>
      </c>
      <c r="B1132" t="s">
        <v>41</v>
      </c>
      <c r="C1132" t="s">
        <v>17</v>
      </c>
      <c r="D1132" s="1">
        <v>45444</v>
      </c>
      <c r="E1132">
        <v>37829</v>
      </c>
      <c r="F1132">
        <v>641</v>
      </c>
      <c r="G1132">
        <v>18</v>
      </c>
      <c r="H1132" s="4">
        <v>4562.63</v>
      </c>
      <c r="I1132" s="4">
        <v>1791.4</v>
      </c>
      <c r="J1132" s="7">
        <f>Table1[[#This Row],[Clicks]]/Table1[[#This Row],[Impressions]]</f>
        <v>1.694467207697798E-2</v>
      </c>
      <c r="K1132" s="7">
        <f>IFERROR(Table1[[#This Row],[Conversions]]/Table1[[#This Row],[Clicks]],0)</f>
        <v>2.8081123244929798E-2</v>
      </c>
      <c r="L1132" s="6">
        <f>IF(Table1[[#This Row],[Conversions]]=0,0,Table1[[#This Row],[Ad Spend]]/Table1[[#This Row],[Conversions]])</f>
        <v>253.47944444444445</v>
      </c>
      <c r="M1132" s="8">
        <f>IF(Table1[[#This Row],[Ad Spend]]=0,0,Table1[[#This Row],[Revenue]]/Table1[[#This Row],[Ad Spend]])</f>
        <v>0.39262442933132863</v>
      </c>
      <c r="N1132">
        <f>YEAR(Table1[[#This Row],[Date]])</f>
        <v>2024</v>
      </c>
      <c r="O1132" t="str">
        <f>TEXT(Table1[[#This Row],[Date]],"mmm")</f>
        <v>Jun</v>
      </c>
      <c r="P1132">
        <f>MONTH(Table1[[#This Row],[Date]])</f>
        <v>6</v>
      </c>
    </row>
    <row r="1133" spans="1:16" x14ac:dyDescent="0.25">
      <c r="A1133" t="s">
        <v>1152</v>
      </c>
      <c r="B1133" t="s">
        <v>16</v>
      </c>
      <c r="C1133" t="s">
        <v>17</v>
      </c>
      <c r="D1133" s="1">
        <v>45708</v>
      </c>
      <c r="E1133">
        <v>10176</v>
      </c>
      <c r="F1133">
        <v>382</v>
      </c>
      <c r="G1133">
        <v>48</v>
      </c>
      <c r="H1133" s="4">
        <v>3960.68</v>
      </c>
      <c r="I1133" s="4">
        <v>3504.42</v>
      </c>
      <c r="J1133" s="7">
        <f>Table1[[#This Row],[Clicks]]/Table1[[#This Row],[Impressions]]</f>
        <v>3.7539308176100628E-2</v>
      </c>
      <c r="K1133" s="7">
        <f>IFERROR(Table1[[#This Row],[Conversions]]/Table1[[#This Row],[Clicks]],0)</f>
        <v>0.1256544502617801</v>
      </c>
      <c r="L1133" s="6">
        <f>IF(Table1[[#This Row],[Conversions]]=0,0,Table1[[#This Row],[Ad Spend]]/Table1[[#This Row],[Conversions]])</f>
        <v>82.514166666666668</v>
      </c>
      <c r="M1133" s="8">
        <f>IF(Table1[[#This Row],[Ad Spend]]=0,0,Table1[[#This Row],[Revenue]]/Table1[[#This Row],[Ad Spend]])</f>
        <v>0.88480260965288793</v>
      </c>
      <c r="N1133">
        <f>YEAR(Table1[[#This Row],[Date]])</f>
        <v>2025</v>
      </c>
      <c r="O1133" t="str">
        <f>TEXT(Table1[[#This Row],[Date]],"mmm")</f>
        <v>Feb</v>
      </c>
      <c r="P1133">
        <f>MONTH(Table1[[#This Row],[Date]])</f>
        <v>2</v>
      </c>
    </row>
    <row r="1134" spans="1:16" x14ac:dyDescent="0.25">
      <c r="A1134" t="s">
        <v>1153</v>
      </c>
      <c r="B1134" t="s">
        <v>9</v>
      </c>
      <c r="C1134" t="s">
        <v>12</v>
      </c>
      <c r="D1134" s="1">
        <v>45591</v>
      </c>
      <c r="E1134">
        <v>146290</v>
      </c>
      <c r="F1134">
        <v>8771</v>
      </c>
      <c r="G1134">
        <v>1076</v>
      </c>
      <c r="H1134" s="4">
        <v>795.63</v>
      </c>
      <c r="I1134" s="4">
        <v>102541.53</v>
      </c>
      <c r="J1134" s="7">
        <f>Table1[[#This Row],[Clicks]]/Table1[[#This Row],[Impressions]]</f>
        <v>5.9956251281700734E-2</v>
      </c>
      <c r="K1134" s="7">
        <f>IFERROR(Table1[[#This Row],[Conversions]]/Table1[[#This Row],[Clicks]],0)</f>
        <v>0.12267700376239882</v>
      </c>
      <c r="L1134" s="6">
        <f>IF(Table1[[#This Row],[Conversions]]=0,0,Table1[[#This Row],[Ad Spend]]/Table1[[#This Row],[Conversions]])</f>
        <v>0.73943308550185871</v>
      </c>
      <c r="M1134" s="8">
        <f>IF(Table1[[#This Row],[Ad Spend]]=0,0,Table1[[#This Row],[Revenue]]/Table1[[#This Row],[Ad Spend]])</f>
        <v>128.88092455035633</v>
      </c>
      <c r="N1134">
        <f>YEAR(Table1[[#This Row],[Date]])</f>
        <v>2024</v>
      </c>
      <c r="O1134" t="str">
        <f>TEXT(Table1[[#This Row],[Date]],"mmm")</f>
        <v>Oct</v>
      </c>
      <c r="P1134">
        <f>MONTH(Table1[[#This Row],[Date]])</f>
        <v>10</v>
      </c>
    </row>
    <row r="1135" spans="1:16" x14ac:dyDescent="0.25">
      <c r="A1135" t="s">
        <v>1154</v>
      </c>
      <c r="B1135" t="s">
        <v>9</v>
      </c>
      <c r="C1135" t="s">
        <v>37</v>
      </c>
      <c r="D1135" s="1">
        <v>45598</v>
      </c>
      <c r="E1135">
        <v>52169</v>
      </c>
      <c r="F1135">
        <v>541</v>
      </c>
      <c r="G1135">
        <v>42</v>
      </c>
      <c r="H1135" s="4">
        <v>1708.62</v>
      </c>
      <c r="I1135" s="4">
        <v>1004.4</v>
      </c>
      <c r="J1135" s="7">
        <f>Table1[[#This Row],[Clicks]]/Table1[[#This Row],[Impressions]]</f>
        <v>1.0370143188483583E-2</v>
      </c>
      <c r="K1135" s="7">
        <f>IFERROR(Table1[[#This Row],[Conversions]]/Table1[[#This Row],[Clicks]],0)</f>
        <v>7.763401109057301E-2</v>
      </c>
      <c r="L1135" s="6">
        <f>IF(Table1[[#This Row],[Conversions]]=0,0,Table1[[#This Row],[Ad Spend]]/Table1[[#This Row],[Conversions]])</f>
        <v>40.681428571428569</v>
      </c>
      <c r="M1135" s="8">
        <f>IF(Table1[[#This Row],[Ad Spend]]=0,0,Table1[[#This Row],[Revenue]]/Table1[[#This Row],[Ad Spend]])</f>
        <v>0.58784282052182468</v>
      </c>
      <c r="N1135">
        <f>YEAR(Table1[[#This Row],[Date]])</f>
        <v>2024</v>
      </c>
      <c r="O1135" t="str">
        <f>TEXT(Table1[[#This Row],[Date]],"mmm")</f>
        <v>Nov</v>
      </c>
      <c r="P1135">
        <f>MONTH(Table1[[#This Row],[Date]])</f>
        <v>11</v>
      </c>
    </row>
    <row r="1136" spans="1:16" x14ac:dyDescent="0.25">
      <c r="A1136" t="s">
        <v>1155</v>
      </c>
      <c r="B1136" t="s">
        <v>14</v>
      </c>
      <c r="C1136" t="s">
        <v>37</v>
      </c>
      <c r="D1136" s="1">
        <v>45336</v>
      </c>
      <c r="E1136">
        <v>72308</v>
      </c>
      <c r="F1136">
        <v>5032</v>
      </c>
      <c r="G1136">
        <v>123</v>
      </c>
      <c r="H1136" s="4">
        <v>4903.66</v>
      </c>
      <c r="I1136" s="4">
        <v>8685.6200000000008</v>
      </c>
      <c r="J1136" s="7">
        <f>Table1[[#This Row],[Clicks]]/Table1[[#This Row],[Impressions]]</f>
        <v>6.9591193228964981E-2</v>
      </c>
      <c r="K1136" s="7">
        <f>IFERROR(Table1[[#This Row],[Conversions]]/Table1[[#This Row],[Clicks]],0)</f>
        <v>2.444356120826709E-2</v>
      </c>
      <c r="L1136" s="6">
        <f>IF(Table1[[#This Row],[Conversions]]=0,0,Table1[[#This Row],[Ad Spend]]/Table1[[#This Row],[Conversions]])</f>
        <v>39.867154471544715</v>
      </c>
      <c r="M1136" s="8">
        <f>IF(Table1[[#This Row],[Ad Spend]]=0,0,Table1[[#This Row],[Revenue]]/Table1[[#This Row],[Ad Spend]])</f>
        <v>1.7712524930358142</v>
      </c>
      <c r="N1136">
        <f>YEAR(Table1[[#This Row],[Date]])</f>
        <v>2024</v>
      </c>
      <c r="O1136" t="str">
        <f>TEXT(Table1[[#This Row],[Date]],"mmm")</f>
        <v>Feb</v>
      </c>
      <c r="P1136">
        <f>MONTH(Table1[[#This Row],[Date]])</f>
        <v>2</v>
      </c>
    </row>
    <row r="1137" spans="1:16" x14ac:dyDescent="0.25">
      <c r="A1137" t="s">
        <v>1156</v>
      </c>
      <c r="B1137" t="s">
        <v>47</v>
      </c>
      <c r="C1137" t="s">
        <v>12</v>
      </c>
      <c r="D1137" s="1">
        <v>45379</v>
      </c>
      <c r="E1137">
        <v>115900</v>
      </c>
      <c r="F1137">
        <v>9086</v>
      </c>
      <c r="G1137">
        <v>959</v>
      </c>
      <c r="H1137" s="4">
        <v>1392.02</v>
      </c>
      <c r="I1137" s="4">
        <v>23607.34</v>
      </c>
      <c r="J1137" s="7">
        <f>Table1[[#This Row],[Clicks]]/Table1[[#This Row],[Impressions]]</f>
        <v>7.8395168248490077E-2</v>
      </c>
      <c r="K1137" s="7">
        <f>IFERROR(Table1[[#This Row],[Conversions]]/Table1[[#This Row],[Clicks]],0)</f>
        <v>0.10554699537750385</v>
      </c>
      <c r="L1137" s="6">
        <f>IF(Table1[[#This Row],[Conversions]]=0,0,Table1[[#This Row],[Ad Spend]]/Table1[[#This Row],[Conversions]])</f>
        <v>1.4515328467153283</v>
      </c>
      <c r="M1137" s="8">
        <f>IF(Table1[[#This Row],[Ad Spend]]=0,0,Table1[[#This Row],[Revenue]]/Table1[[#This Row],[Ad Spend]])</f>
        <v>16.959052312466774</v>
      </c>
      <c r="N1137">
        <f>YEAR(Table1[[#This Row],[Date]])</f>
        <v>2024</v>
      </c>
      <c r="O1137" t="str">
        <f>TEXT(Table1[[#This Row],[Date]],"mmm")</f>
        <v>Mar</v>
      </c>
      <c r="P1137">
        <f>MONTH(Table1[[#This Row],[Date]])</f>
        <v>3</v>
      </c>
    </row>
    <row r="1138" spans="1:16" x14ac:dyDescent="0.25">
      <c r="A1138" t="s">
        <v>1157</v>
      </c>
      <c r="B1138" t="s">
        <v>34</v>
      </c>
      <c r="C1138" t="s">
        <v>12</v>
      </c>
      <c r="D1138" s="1">
        <v>45519</v>
      </c>
      <c r="E1138">
        <v>41662</v>
      </c>
      <c r="F1138">
        <v>2099</v>
      </c>
      <c r="G1138">
        <v>231</v>
      </c>
      <c r="H1138" s="4">
        <v>2708.8</v>
      </c>
      <c r="I1138" s="4">
        <v>27397.05</v>
      </c>
      <c r="J1138" s="7">
        <f>Table1[[#This Row],[Clicks]]/Table1[[#This Row],[Impressions]]</f>
        <v>5.0381642743987327E-2</v>
      </c>
      <c r="K1138" s="7">
        <f>IFERROR(Table1[[#This Row],[Conversions]]/Table1[[#This Row],[Clicks]],0)</f>
        <v>0.11005240590757503</v>
      </c>
      <c r="L1138" s="6">
        <f>IF(Table1[[#This Row],[Conversions]]=0,0,Table1[[#This Row],[Ad Spend]]/Table1[[#This Row],[Conversions]])</f>
        <v>11.726406926406927</v>
      </c>
      <c r="M1138" s="8">
        <f>IF(Table1[[#This Row],[Ad Spend]]=0,0,Table1[[#This Row],[Revenue]]/Table1[[#This Row],[Ad Spend]])</f>
        <v>10.114091110454813</v>
      </c>
      <c r="N1138">
        <f>YEAR(Table1[[#This Row],[Date]])</f>
        <v>2024</v>
      </c>
      <c r="O1138" t="str">
        <f>TEXT(Table1[[#This Row],[Date]],"mmm")</f>
        <v>Aug</v>
      </c>
      <c r="P1138">
        <f>MONTH(Table1[[#This Row],[Date]])</f>
        <v>8</v>
      </c>
    </row>
    <row r="1139" spans="1:16" x14ac:dyDescent="0.25">
      <c r="A1139" t="s">
        <v>1158</v>
      </c>
      <c r="B1139" t="s">
        <v>47</v>
      </c>
      <c r="C1139" t="s">
        <v>12</v>
      </c>
      <c r="D1139" s="1">
        <v>45567</v>
      </c>
      <c r="E1139">
        <v>138848</v>
      </c>
      <c r="F1139">
        <v>3427</v>
      </c>
      <c r="G1139">
        <v>112</v>
      </c>
      <c r="H1139" s="4">
        <v>4134.8599999999997</v>
      </c>
      <c r="I1139" s="4">
        <v>4895.5200000000004</v>
      </c>
      <c r="J1139" s="7">
        <f>Table1[[#This Row],[Clicks]]/Table1[[#This Row],[Impressions]]</f>
        <v>2.4681666282553583E-2</v>
      </c>
      <c r="K1139" s="7">
        <f>IFERROR(Table1[[#This Row],[Conversions]]/Table1[[#This Row],[Clicks]],0)</f>
        <v>3.2681645754304059E-2</v>
      </c>
      <c r="L1139" s="6">
        <f>IF(Table1[[#This Row],[Conversions]]=0,0,Table1[[#This Row],[Ad Spend]]/Table1[[#This Row],[Conversions]])</f>
        <v>36.918392857142855</v>
      </c>
      <c r="M1139" s="8">
        <f>IF(Table1[[#This Row],[Ad Spend]]=0,0,Table1[[#This Row],[Revenue]]/Table1[[#This Row],[Ad Spend]])</f>
        <v>1.1839626976487718</v>
      </c>
      <c r="N1139">
        <f>YEAR(Table1[[#This Row],[Date]])</f>
        <v>2024</v>
      </c>
      <c r="O1139" t="str">
        <f>TEXT(Table1[[#This Row],[Date]],"mmm")</f>
        <v>Oct</v>
      </c>
      <c r="P1139">
        <f>MONTH(Table1[[#This Row],[Date]])</f>
        <v>10</v>
      </c>
    </row>
    <row r="1140" spans="1:16" x14ac:dyDescent="0.25">
      <c r="A1140" t="s">
        <v>1159</v>
      </c>
      <c r="B1140" t="s">
        <v>14</v>
      </c>
      <c r="C1140" t="s">
        <v>37</v>
      </c>
      <c r="D1140" s="1">
        <v>45445</v>
      </c>
      <c r="E1140">
        <v>61416</v>
      </c>
      <c r="F1140">
        <v>4730</v>
      </c>
      <c r="G1140">
        <v>464</v>
      </c>
      <c r="H1140" s="4">
        <v>1236.99</v>
      </c>
      <c r="I1140" s="4">
        <v>25940.62</v>
      </c>
      <c r="J1140" s="7">
        <f>Table1[[#This Row],[Clicks]]/Table1[[#This Row],[Impressions]]</f>
        <v>7.7015761365116578E-2</v>
      </c>
      <c r="K1140" s="7">
        <f>IFERROR(Table1[[#This Row],[Conversions]]/Table1[[#This Row],[Clicks]],0)</f>
        <v>9.8097251585623685E-2</v>
      </c>
      <c r="L1140" s="6">
        <f>IF(Table1[[#This Row],[Conversions]]=0,0,Table1[[#This Row],[Ad Spend]]/Table1[[#This Row],[Conversions]])</f>
        <v>2.6659267241379312</v>
      </c>
      <c r="M1140" s="8">
        <f>IF(Table1[[#This Row],[Ad Spend]]=0,0,Table1[[#This Row],[Revenue]]/Table1[[#This Row],[Ad Spend]])</f>
        <v>20.970759666610078</v>
      </c>
      <c r="N1140">
        <f>YEAR(Table1[[#This Row],[Date]])</f>
        <v>2024</v>
      </c>
      <c r="O1140" t="str">
        <f>TEXT(Table1[[#This Row],[Date]],"mmm")</f>
        <v>Jun</v>
      </c>
      <c r="P1140">
        <f>MONTH(Table1[[#This Row],[Date]])</f>
        <v>6</v>
      </c>
    </row>
    <row r="1141" spans="1:16" x14ac:dyDescent="0.25">
      <c r="A1141" t="s">
        <v>1160</v>
      </c>
      <c r="B1141" t="s">
        <v>16</v>
      </c>
      <c r="C1141" t="s">
        <v>12</v>
      </c>
      <c r="D1141" s="1">
        <v>45508</v>
      </c>
      <c r="E1141">
        <v>24492</v>
      </c>
      <c r="F1141">
        <v>1187</v>
      </c>
      <c r="G1141">
        <v>63</v>
      </c>
      <c r="H1141" s="4">
        <v>3318.89</v>
      </c>
      <c r="I1141" s="4">
        <v>2288.91</v>
      </c>
      <c r="J1141" s="7">
        <f>Table1[[#This Row],[Clicks]]/Table1[[#This Row],[Impressions]]</f>
        <v>4.8464804834231587E-2</v>
      </c>
      <c r="K1141" s="7">
        <f>IFERROR(Table1[[#This Row],[Conversions]]/Table1[[#This Row],[Clicks]],0)</f>
        <v>5.3074978938500418E-2</v>
      </c>
      <c r="L1141" s="6">
        <f>IF(Table1[[#This Row],[Conversions]]=0,0,Table1[[#This Row],[Ad Spend]]/Table1[[#This Row],[Conversions]])</f>
        <v>52.680793650793646</v>
      </c>
      <c r="M1141" s="8">
        <f>IF(Table1[[#This Row],[Ad Spend]]=0,0,Table1[[#This Row],[Revenue]]/Table1[[#This Row],[Ad Spend]])</f>
        <v>0.68966130242340062</v>
      </c>
      <c r="N1141">
        <f>YEAR(Table1[[#This Row],[Date]])</f>
        <v>2024</v>
      </c>
      <c r="O1141" t="str">
        <f>TEXT(Table1[[#This Row],[Date]],"mmm")</f>
        <v>Aug</v>
      </c>
      <c r="P1141">
        <f>MONTH(Table1[[#This Row],[Date]])</f>
        <v>8</v>
      </c>
    </row>
    <row r="1142" spans="1:16" x14ac:dyDescent="0.25">
      <c r="A1142" t="s">
        <v>1161</v>
      </c>
      <c r="B1142" t="s">
        <v>41</v>
      </c>
      <c r="C1142" t="s">
        <v>10</v>
      </c>
      <c r="D1142" s="1">
        <v>45422</v>
      </c>
      <c r="E1142">
        <v>116501</v>
      </c>
      <c r="F1142">
        <v>8832</v>
      </c>
      <c r="G1142">
        <v>341</v>
      </c>
      <c r="H1142" s="4">
        <v>1178.06</v>
      </c>
      <c r="I1142" s="4">
        <v>28288.28</v>
      </c>
      <c r="J1142" s="7">
        <f>Table1[[#This Row],[Clicks]]/Table1[[#This Row],[Impressions]]</f>
        <v>7.581050806430846E-2</v>
      </c>
      <c r="K1142" s="7">
        <f>IFERROR(Table1[[#This Row],[Conversions]]/Table1[[#This Row],[Clicks]],0)</f>
        <v>3.860960144927536E-2</v>
      </c>
      <c r="L1142" s="6">
        <f>IF(Table1[[#This Row],[Conversions]]=0,0,Table1[[#This Row],[Ad Spend]]/Table1[[#This Row],[Conversions]])</f>
        <v>3.4547214076246333</v>
      </c>
      <c r="M1142" s="8">
        <f>IF(Table1[[#This Row],[Ad Spend]]=0,0,Table1[[#This Row],[Revenue]]/Table1[[#This Row],[Ad Spend]])</f>
        <v>24.012596981478023</v>
      </c>
      <c r="N1142">
        <f>YEAR(Table1[[#This Row],[Date]])</f>
        <v>2024</v>
      </c>
      <c r="O1142" t="str">
        <f>TEXT(Table1[[#This Row],[Date]],"mmm")</f>
        <v>May</v>
      </c>
      <c r="P1142">
        <f>MONTH(Table1[[#This Row],[Date]])</f>
        <v>5</v>
      </c>
    </row>
    <row r="1143" spans="1:16" x14ac:dyDescent="0.25">
      <c r="A1143" t="s">
        <v>1162</v>
      </c>
      <c r="B1143" t="s">
        <v>34</v>
      </c>
      <c r="C1143" t="s">
        <v>37</v>
      </c>
      <c r="D1143" s="1">
        <v>45657</v>
      </c>
      <c r="E1143">
        <v>102554</v>
      </c>
      <c r="F1143">
        <v>5071</v>
      </c>
      <c r="G1143">
        <v>528</v>
      </c>
      <c r="H1143" s="4">
        <v>2654.85</v>
      </c>
      <c r="I1143" s="4">
        <v>19221.47</v>
      </c>
      <c r="J1143" s="7">
        <f>Table1[[#This Row],[Clicks]]/Table1[[#This Row],[Impressions]]</f>
        <v>4.9447120541373325E-2</v>
      </c>
      <c r="K1143" s="7">
        <f>IFERROR(Table1[[#This Row],[Conversions]]/Table1[[#This Row],[Clicks]],0)</f>
        <v>0.10412147505422993</v>
      </c>
      <c r="L1143" s="6">
        <f>IF(Table1[[#This Row],[Conversions]]=0,0,Table1[[#This Row],[Ad Spend]]/Table1[[#This Row],[Conversions]])</f>
        <v>5.0281250000000002</v>
      </c>
      <c r="M1143" s="8">
        <f>IF(Table1[[#This Row],[Ad Spend]]=0,0,Table1[[#This Row],[Revenue]]/Table1[[#This Row],[Ad Spend]])</f>
        <v>7.2401340942049464</v>
      </c>
      <c r="N1143">
        <f>YEAR(Table1[[#This Row],[Date]])</f>
        <v>2024</v>
      </c>
      <c r="O1143" t="str">
        <f>TEXT(Table1[[#This Row],[Date]],"mmm")</f>
        <v>Dec</v>
      </c>
      <c r="P1143">
        <f>MONTH(Table1[[#This Row],[Date]])</f>
        <v>12</v>
      </c>
    </row>
    <row r="1144" spans="1:16" x14ac:dyDescent="0.25">
      <c r="A1144" t="s">
        <v>1163</v>
      </c>
      <c r="B1144" t="s">
        <v>16</v>
      </c>
      <c r="C1144" t="s">
        <v>19</v>
      </c>
      <c r="D1144" s="1">
        <v>45695</v>
      </c>
      <c r="E1144">
        <v>118672</v>
      </c>
      <c r="F1144">
        <v>4334</v>
      </c>
      <c r="G1144">
        <v>629</v>
      </c>
      <c r="H1144" s="4">
        <v>1387.99</v>
      </c>
      <c r="I1144" s="4">
        <v>29570.880000000001</v>
      </c>
      <c r="J1144" s="7">
        <f>Table1[[#This Row],[Clicks]]/Table1[[#This Row],[Impressions]]</f>
        <v>3.6520830524470811E-2</v>
      </c>
      <c r="K1144" s="7">
        <f>IFERROR(Table1[[#This Row],[Conversions]]/Table1[[#This Row],[Clicks]],0)</f>
        <v>0.14513151822796494</v>
      </c>
      <c r="L1144" s="6">
        <f>IF(Table1[[#This Row],[Conversions]]=0,0,Table1[[#This Row],[Ad Spend]]/Table1[[#This Row],[Conversions]])</f>
        <v>2.2066613672496027</v>
      </c>
      <c r="M1144" s="8">
        <f>IF(Table1[[#This Row],[Ad Spend]]=0,0,Table1[[#This Row],[Revenue]]/Table1[[#This Row],[Ad Spend]])</f>
        <v>21.304822080850727</v>
      </c>
      <c r="N1144">
        <f>YEAR(Table1[[#This Row],[Date]])</f>
        <v>2025</v>
      </c>
      <c r="O1144" t="str">
        <f>TEXT(Table1[[#This Row],[Date]],"mmm")</f>
        <v>Feb</v>
      </c>
      <c r="P1144">
        <f>MONTH(Table1[[#This Row],[Date]])</f>
        <v>2</v>
      </c>
    </row>
    <row r="1145" spans="1:16" x14ac:dyDescent="0.25">
      <c r="A1145" t="s">
        <v>1164</v>
      </c>
      <c r="B1145" t="s">
        <v>9</v>
      </c>
      <c r="C1145" t="s">
        <v>12</v>
      </c>
      <c r="D1145" s="1">
        <v>45500</v>
      </c>
      <c r="E1145">
        <v>22290</v>
      </c>
      <c r="F1145">
        <v>736</v>
      </c>
      <c r="G1145">
        <v>23</v>
      </c>
      <c r="H1145" s="4">
        <v>4564.38</v>
      </c>
      <c r="I1145" s="4">
        <v>2249.56</v>
      </c>
      <c r="J1145" s="7">
        <f>Table1[[#This Row],[Clicks]]/Table1[[#This Row],[Impressions]]</f>
        <v>3.3019291161956031E-2</v>
      </c>
      <c r="K1145" s="7">
        <f>IFERROR(Table1[[#This Row],[Conversions]]/Table1[[#This Row],[Clicks]],0)</f>
        <v>3.125E-2</v>
      </c>
      <c r="L1145" s="6">
        <f>IF(Table1[[#This Row],[Conversions]]=0,0,Table1[[#This Row],[Ad Spend]]/Table1[[#This Row],[Conversions]])</f>
        <v>198.4513043478261</v>
      </c>
      <c r="M1145" s="8">
        <f>IF(Table1[[#This Row],[Ad Spend]]=0,0,Table1[[#This Row],[Revenue]]/Table1[[#This Row],[Ad Spend]])</f>
        <v>0.49285116488986452</v>
      </c>
      <c r="N1145">
        <f>YEAR(Table1[[#This Row],[Date]])</f>
        <v>2024</v>
      </c>
      <c r="O1145" t="str">
        <f>TEXT(Table1[[#This Row],[Date]],"mmm")</f>
        <v>Jul</v>
      </c>
      <c r="P1145">
        <f>MONTH(Table1[[#This Row],[Date]])</f>
        <v>7</v>
      </c>
    </row>
    <row r="1146" spans="1:16" x14ac:dyDescent="0.25">
      <c r="A1146" t="s">
        <v>1165</v>
      </c>
      <c r="B1146" t="s">
        <v>16</v>
      </c>
      <c r="C1146" t="s">
        <v>37</v>
      </c>
      <c r="D1146" s="1">
        <v>45432</v>
      </c>
      <c r="E1146">
        <v>7585</v>
      </c>
      <c r="F1146">
        <v>127</v>
      </c>
      <c r="G1146">
        <v>18</v>
      </c>
      <c r="H1146" s="4">
        <v>1266.68</v>
      </c>
      <c r="I1146" s="4">
        <v>2073.21</v>
      </c>
      <c r="J1146" s="7">
        <f>Table1[[#This Row],[Clicks]]/Table1[[#This Row],[Impressions]]</f>
        <v>1.6743572841133817E-2</v>
      </c>
      <c r="K1146" s="7">
        <f>IFERROR(Table1[[#This Row],[Conversions]]/Table1[[#This Row],[Clicks]],0)</f>
        <v>0.14173228346456693</v>
      </c>
      <c r="L1146" s="6">
        <f>IF(Table1[[#This Row],[Conversions]]=0,0,Table1[[#This Row],[Ad Spend]]/Table1[[#This Row],[Conversions]])</f>
        <v>70.371111111111119</v>
      </c>
      <c r="M1146" s="8">
        <f>IF(Table1[[#This Row],[Ad Spend]]=0,0,Table1[[#This Row],[Revenue]]/Table1[[#This Row],[Ad Spend]])</f>
        <v>1.6367275081314934</v>
      </c>
      <c r="N1146">
        <f>YEAR(Table1[[#This Row],[Date]])</f>
        <v>2024</v>
      </c>
      <c r="O1146" t="str">
        <f>TEXT(Table1[[#This Row],[Date]],"mmm")</f>
        <v>May</v>
      </c>
      <c r="P1146">
        <f>MONTH(Table1[[#This Row],[Date]])</f>
        <v>5</v>
      </c>
    </row>
    <row r="1147" spans="1:16" x14ac:dyDescent="0.25">
      <c r="A1147" t="s">
        <v>1166</v>
      </c>
      <c r="B1147" t="s">
        <v>9</v>
      </c>
      <c r="C1147" t="s">
        <v>37</v>
      </c>
      <c r="D1147" s="1">
        <v>45561</v>
      </c>
      <c r="E1147">
        <v>85360</v>
      </c>
      <c r="F1147">
        <v>4371</v>
      </c>
      <c r="G1147">
        <v>545</v>
      </c>
      <c r="H1147" s="4">
        <v>658.59</v>
      </c>
      <c r="I1147" s="4">
        <v>29915.06</v>
      </c>
      <c r="J1147" s="7">
        <f>Table1[[#This Row],[Clicks]]/Table1[[#This Row],[Impressions]]</f>
        <v>5.1206654170571693E-2</v>
      </c>
      <c r="K1147" s="7">
        <f>IFERROR(Table1[[#This Row],[Conversions]]/Table1[[#This Row],[Clicks]],0)</f>
        <v>0.12468542667581789</v>
      </c>
      <c r="L1147" s="6">
        <f>IF(Table1[[#This Row],[Conversions]]=0,0,Table1[[#This Row],[Ad Spend]]/Table1[[#This Row],[Conversions]])</f>
        <v>1.2084220183486238</v>
      </c>
      <c r="M1147" s="8">
        <f>IF(Table1[[#This Row],[Ad Spend]]=0,0,Table1[[#This Row],[Revenue]]/Table1[[#This Row],[Ad Spend]])</f>
        <v>45.422888291653379</v>
      </c>
      <c r="N1147">
        <f>YEAR(Table1[[#This Row],[Date]])</f>
        <v>2024</v>
      </c>
      <c r="O1147" t="str">
        <f>TEXT(Table1[[#This Row],[Date]],"mmm")</f>
        <v>Sept</v>
      </c>
      <c r="P1147">
        <f>MONTH(Table1[[#This Row],[Date]])</f>
        <v>9</v>
      </c>
    </row>
    <row r="1148" spans="1:16" x14ac:dyDescent="0.25">
      <c r="A1148" t="s">
        <v>1167</v>
      </c>
      <c r="B1148" t="s">
        <v>34</v>
      </c>
      <c r="C1148" t="s">
        <v>12</v>
      </c>
      <c r="D1148" s="1">
        <v>45430</v>
      </c>
      <c r="E1148">
        <v>30969</v>
      </c>
      <c r="F1148">
        <v>2253</v>
      </c>
      <c r="G1148">
        <v>95</v>
      </c>
      <c r="H1148" s="4">
        <v>4743.25</v>
      </c>
      <c r="I1148" s="4">
        <v>5600.85</v>
      </c>
      <c r="J1148" s="7">
        <f>Table1[[#This Row],[Clicks]]/Table1[[#This Row],[Impressions]]</f>
        <v>7.275016952436307E-2</v>
      </c>
      <c r="K1148" s="7">
        <f>IFERROR(Table1[[#This Row],[Conversions]]/Table1[[#This Row],[Clicks]],0)</f>
        <v>4.2166000887705279E-2</v>
      </c>
      <c r="L1148" s="6">
        <f>IF(Table1[[#This Row],[Conversions]]=0,0,Table1[[#This Row],[Ad Spend]]/Table1[[#This Row],[Conversions]])</f>
        <v>49.928947368421049</v>
      </c>
      <c r="M1148" s="8">
        <f>IF(Table1[[#This Row],[Ad Spend]]=0,0,Table1[[#This Row],[Revenue]]/Table1[[#This Row],[Ad Spend]])</f>
        <v>1.1808043008485745</v>
      </c>
      <c r="N1148">
        <f>YEAR(Table1[[#This Row],[Date]])</f>
        <v>2024</v>
      </c>
      <c r="O1148" t="str">
        <f>TEXT(Table1[[#This Row],[Date]],"mmm")</f>
        <v>May</v>
      </c>
      <c r="P1148">
        <f>MONTH(Table1[[#This Row],[Date]])</f>
        <v>5</v>
      </c>
    </row>
    <row r="1149" spans="1:16" x14ac:dyDescent="0.25">
      <c r="A1149" t="s">
        <v>1168</v>
      </c>
      <c r="B1149" t="s">
        <v>47</v>
      </c>
      <c r="C1149" t="s">
        <v>12</v>
      </c>
      <c r="D1149" s="1">
        <v>45574</v>
      </c>
      <c r="E1149">
        <v>110552</v>
      </c>
      <c r="F1149">
        <v>4795</v>
      </c>
      <c r="G1149">
        <v>175</v>
      </c>
      <c r="H1149" s="4">
        <v>245.59</v>
      </c>
      <c r="I1149" s="4">
        <v>12487.39</v>
      </c>
      <c r="J1149" s="7">
        <f>Table1[[#This Row],[Clicks]]/Table1[[#This Row],[Impressions]]</f>
        <v>4.3373254215210939E-2</v>
      </c>
      <c r="K1149" s="7">
        <f>IFERROR(Table1[[#This Row],[Conversions]]/Table1[[#This Row],[Clicks]],0)</f>
        <v>3.6496350364963501E-2</v>
      </c>
      <c r="L1149" s="6">
        <f>IF(Table1[[#This Row],[Conversions]]=0,0,Table1[[#This Row],[Ad Spend]]/Table1[[#This Row],[Conversions]])</f>
        <v>1.4033714285714285</v>
      </c>
      <c r="M1149" s="8">
        <f>IF(Table1[[#This Row],[Ad Spend]]=0,0,Table1[[#This Row],[Revenue]]/Table1[[#This Row],[Ad Spend]])</f>
        <v>50.846492121014698</v>
      </c>
      <c r="N1149">
        <f>YEAR(Table1[[#This Row],[Date]])</f>
        <v>2024</v>
      </c>
      <c r="O1149" t="str">
        <f>TEXT(Table1[[#This Row],[Date]],"mmm")</f>
        <v>Oct</v>
      </c>
      <c r="P1149">
        <f>MONTH(Table1[[#This Row],[Date]])</f>
        <v>10</v>
      </c>
    </row>
    <row r="1150" spans="1:16" x14ac:dyDescent="0.25">
      <c r="A1150" t="s">
        <v>1169</v>
      </c>
      <c r="B1150" t="s">
        <v>16</v>
      </c>
      <c r="C1150" t="s">
        <v>37</v>
      </c>
      <c r="D1150" s="1">
        <v>45365</v>
      </c>
      <c r="E1150">
        <v>104300</v>
      </c>
      <c r="F1150">
        <v>5186</v>
      </c>
      <c r="G1150">
        <v>283</v>
      </c>
      <c r="H1150" s="4">
        <v>4608.5200000000004</v>
      </c>
      <c r="I1150" s="4">
        <v>23749.18</v>
      </c>
      <c r="J1150" s="7">
        <f>Table1[[#This Row],[Clicks]]/Table1[[#This Row],[Impressions]]</f>
        <v>4.9721955896452542E-2</v>
      </c>
      <c r="K1150" s="7">
        <f>IFERROR(Table1[[#This Row],[Conversions]]/Table1[[#This Row],[Clicks]],0)</f>
        <v>5.4569996143463168E-2</v>
      </c>
      <c r="L1150" s="6">
        <f>IF(Table1[[#This Row],[Conversions]]=0,0,Table1[[#This Row],[Ad Spend]]/Table1[[#This Row],[Conversions]])</f>
        <v>16.28452296819788</v>
      </c>
      <c r="M1150" s="8">
        <f>IF(Table1[[#This Row],[Ad Spend]]=0,0,Table1[[#This Row],[Revenue]]/Table1[[#This Row],[Ad Spend]])</f>
        <v>5.1533203718330389</v>
      </c>
      <c r="N1150">
        <f>YEAR(Table1[[#This Row],[Date]])</f>
        <v>2024</v>
      </c>
      <c r="O1150" t="str">
        <f>TEXT(Table1[[#This Row],[Date]],"mmm")</f>
        <v>Mar</v>
      </c>
      <c r="P1150">
        <f>MONTH(Table1[[#This Row],[Date]])</f>
        <v>3</v>
      </c>
    </row>
    <row r="1151" spans="1:16" x14ac:dyDescent="0.25">
      <c r="A1151" t="s">
        <v>1170</v>
      </c>
      <c r="B1151" t="s">
        <v>47</v>
      </c>
      <c r="C1151" t="s">
        <v>37</v>
      </c>
      <c r="D1151" s="1">
        <v>45639</v>
      </c>
      <c r="E1151">
        <v>114640</v>
      </c>
      <c r="F1151">
        <v>6818</v>
      </c>
      <c r="G1151">
        <v>298</v>
      </c>
      <c r="H1151" s="4">
        <v>4933.9799999999996</v>
      </c>
      <c r="I1151" s="4">
        <v>29754.37</v>
      </c>
      <c r="J1151" s="7">
        <f>Table1[[#This Row],[Clicks]]/Table1[[#This Row],[Impressions]]</f>
        <v>5.9473133286810885E-2</v>
      </c>
      <c r="K1151" s="7">
        <f>IFERROR(Table1[[#This Row],[Conversions]]/Table1[[#This Row],[Clicks]],0)</f>
        <v>4.3707832208858904E-2</v>
      </c>
      <c r="L1151" s="6">
        <f>IF(Table1[[#This Row],[Conversions]]=0,0,Table1[[#This Row],[Ad Spend]]/Table1[[#This Row],[Conversions]])</f>
        <v>16.556979865771812</v>
      </c>
      <c r="M1151" s="8">
        <f>IF(Table1[[#This Row],[Ad Spend]]=0,0,Table1[[#This Row],[Revenue]]/Table1[[#This Row],[Ad Spend]])</f>
        <v>6.0305007316608501</v>
      </c>
      <c r="N1151">
        <f>YEAR(Table1[[#This Row],[Date]])</f>
        <v>2024</v>
      </c>
      <c r="O1151" t="str">
        <f>TEXT(Table1[[#This Row],[Date]],"mmm")</f>
        <v>Dec</v>
      </c>
      <c r="P1151">
        <f>MONTH(Table1[[#This Row],[Date]])</f>
        <v>12</v>
      </c>
    </row>
    <row r="1152" spans="1:16" x14ac:dyDescent="0.25">
      <c r="A1152" t="s">
        <v>1171</v>
      </c>
      <c r="B1152" t="s">
        <v>34</v>
      </c>
      <c r="C1152" t="s">
        <v>19</v>
      </c>
      <c r="D1152" s="1">
        <v>45511</v>
      </c>
      <c r="E1152">
        <v>141470</v>
      </c>
      <c r="F1152">
        <v>10740</v>
      </c>
      <c r="G1152">
        <v>1445</v>
      </c>
      <c r="H1152" s="4">
        <v>4107.3100000000004</v>
      </c>
      <c r="I1152" s="4">
        <v>72999.58</v>
      </c>
      <c r="J1152" s="7">
        <f>Table1[[#This Row],[Clicks]]/Table1[[#This Row],[Impressions]]</f>
        <v>7.5917155580688483E-2</v>
      </c>
      <c r="K1152" s="7">
        <f>IFERROR(Table1[[#This Row],[Conversions]]/Table1[[#This Row],[Clicks]],0)</f>
        <v>0.13454376163873372</v>
      </c>
      <c r="L1152" s="6">
        <f>IF(Table1[[#This Row],[Conversions]]=0,0,Table1[[#This Row],[Ad Spend]]/Table1[[#This Row],[Conversions]])</f>
        <v>2.842429065743945</v>
      </c>
      <c r="M1152" s="8">
        <f>IF(Table1[[#This Row],[Ad Spend]]=0,0,Table1[[#This Row],[Revenue]]/Table1[[#This Row],[Ad Spend]])</f>
        <v>17.773087495221933</v>
      </c>
      <c r="N1152">
        <f>YEAR(Table1[[#This Row],[Date]])</f>
        <v>2024</v>
      </c>
      <c r="O1152" t="str">
        <f>TEXT(Table1[[#This Row],[Date]],"mmm")</f>
        <v>Aug</v>
      </c>
      <c r="P1152">
        <f>MONTH(Table1[[#This Row],[Date]])</f>
        <v>8</v>
      </c>
    </row>
    <row r="1153" spans="1:16" x14ac:dyDescent="0.25">
      <c r="A1153" t="s">
        <v>1172</v>
      </c>
      <c r="B1153" t="s">
        <v>9</v>
      </c>
      <c r="C1153" t="s">
        <v>19</v>
      </c>
      <c r="D1153" s="1">
        <v>45500</v>
      </c>
      <c r="E1153">
        <v>86982</v>
      </c>
      <c r="F1153">
        <v>6016</v>
      </c>
      <c r="G1153">
        <v>616</v>
      </c>
      <c r="H1153" s="4">
        <v>568.13</v>
      </c>
      <c r="I1153" s="4">
        <v>27106.26</v>
      </c>
      <c r="J1153" s="7">
        <f>Table1[[#This Row],[Clicks]]/Table1[[#This Row],[Impressions]]</f>
        <v>6.9163735025637482E-2</v>
      </c>
      <c r="K1153" s="7">
        <f>IFERROR(Table1[[#This Row],[Conversions]]/Table1[[#This Row],[Clicks]],0)</f>
        <v>0.1023936170212766</v>
      </c>
      <c r="L1153" s="6">
        <f>IF(Table1[[#This Row],[Conversions]]=0,0,Table1[[#This Row],[Ad Spend]]/Table1[[#This Row],[Conversions]])</f>
        <v>0.92228896103896107</v>
      </c>
      <c r="M1153" s="8">
        <f>IF(Table1[[#This Row],[Ad Spend]]=0,0,Table1[[#This Row],[Revenue]]/Table1[[#This Row],[Ad Spend]])</f>
        <v>47.711368876841568</v>
      </c>
      <c r="N1153">
        <f>YEAR(Table1[[#This Row],[Date]])</f>
        <v>2024</v>
      </c>
      <c r="O1153" t="str">
        <f>TEXT(Table1[[#This Row],[Date]],"mmm")</f>
        <v>Jul</v>
      </c>
      <c r="P1153">
        <f>MONTH(Table1[[#This Row],[Date]])</f>
        <v>7</v>
      </c>
    </row>
    <row r="1154" spans="1:16" x14ac:dyDescent="0.25">
      <c r="A1154" t="s">
        <v>1173</v>
      </c>
      <c r="B1154" t="s">
        <v>9</v>
      </c>
      <c r="C1154" t="s">
        <v>37</v>
      </c>
      <c r="D1154" s="1">
        <v>45586</v>
      </c>
      <c r="E1154">
        <v>20050</v>
      </c>
      <c r="F1154">
        <v>319</v>
      </c>
      <c r="G1154">
        <v>18</v>
      </c>
      <c r="H1154" s="4">
        <v>4662.03</v>
      </c>
      <c r="I1154" s="4">
        <v>1815.02</v>
      </c>
      <c r="J1154" s="7">
        <f>Table1[[#This Row],[Clicks]]/Table1[[#This Row],[Impressions]]</f>
        <v>1.5910224438902745E-2</v>
      </c>
      <c r="K1154" s="7">
        <f>IFERROR(Table1[[#This Row],[Conversions]]/Table1[[#This Row],[Clicks]],0)</f>
        <v>5.6426332288401257E-2</v>
      </c>
      <c r="L1154" s="6">
        <f>IF(Table1[[#This Row],[Conversions]]=0,0,Table1[[#This Row],[Ad Spend]]/Table1[[#This Row],[Conversions]])</f>
        <v>259.00166666666667</v>
      </c>
      <c r="M1154" s="8">
        <f>IF(Table1[[#This Row],[Ad Spend]]=0,0,Table1[[#This Row],[Revenue]]/Table1[[#This Row],[Ad Spend]])</f>
        <v>0.38931967404757156</v>
      </c>
      <c r="N1154">
        <f>YEAR(Table1[[#This Row],[Date]])</f>
        <v>2024</v>
      </c>
      <c r="O1154" t="str">
        <f>TEXT(Table1[[#This Row],[Date]],"mmm")</f>
        <v>Oct</v>
      </c>
      <c r="P1154">
        <f>MONTH(Table1[[#This Row],[Date]])</f>
        <v>10</v>
      </c>
    </row>
    <row r="1155" spans="1:16" x14ac:dyDescent="0.25">
      <c r="A1155" t="s">
        <v>1174</v>
      </c>
      <c r="B1155" t="s">
        <v>31</v>
      </c>
      <c r="C1155" t="s">
        <v>17</v>
      </c>
      <c r="D1155" s="1">
        <v>45638</v>
      </c>
      <c r="E1155">
        <v>138348</v>
      </c>
      <c r="F1155">
        <v>10413</v>
      </c>
      <c r="G1155">
        <v>392</v>
      </c>
      <c r="H1155" s="4">
        <v>2589.46</v>
      </c>
      <c r="I1155" s="4">
        <v>34696.78</v>
      </c>
      <c r="J1155" s="7">
        <f>Table1[[#This Row],[Clicks]]/Table1[[#This Row],[Impressions]]</f>
        <v>7.5266718709341665E-2</v>
      </c>
      <c r="K1155" s="7">
        <f>IFERROR(Table1[[#This Row],[Conversions]]/Table1[[#This Row],[Clicks]],0)</f>
        <v>3.7645251128397193E-2</v>
      </c>
      <c r="L1155" s="6">
        <f>IF(Table1[[#This Row],[Conversions]]=0,0,Table1[[#This Row],[Ad Spend]]/Table1[[#This Row],[Conversions]])</f>
        <v>6.6057653061224491</v>
      </c>
      <c r="M1155" s="8">
        <f>IF(Table1[[#This Row],[Ad Spend]]=0,0,Table1[[#This Row],[Revenue]]/Table1[[#This Row],[Ad Spend]])</f>
        <v>13.399233817089277</v>
      </c>
      <c r="N1155">
        <f>YEAR(Table1[[#This Row],[Date]])</f>
        <v>2024</v>
      </c>
      <c r="O1155" t="str">
        <f>TEXT(Table1[[#This Row],[Date]],"mmm")</f>
        <v>Dec</v>
      </c>
      <c r="P1155">
        <f>MONTH(Table1[[#This Row],[Date]])</f>
        <v>12</v>
      </c>
    </row>
    <row r="1156" spans="1:16" x14ac:dyDescent="0.25">
      <c r="A1156" t="s">
        <v>1175</v>
      </c>
      <c r="B1156" t="s">
        <v>9</v>
      </c>
      <c r="C1156" t="s">
        <v>17</v>
      </c>
      <c r="D1156" s="1">
        <v>45299</v>
      </c>
      <c r="E1156">
        <v>54855</v>
      </c>
      <c r="F1156">
        <v>4046</v>
      </c>
      <c r="G1156">
        <v>473</v>
      </c>
      <c r="H1156" s="4">
        <v>3627.97</v>
      </c>
      <c r="I1156" s="4">
        <v>42692.59</v>
      </c>
      <c r="J1156" s="7">
        <f>Table1[[#This Row],[Clicks]]/Table1[[#This Row],[Impressions]]</f>
        <v>7.3758089508704772E-2</v>
      </c>
      <c r="K1156" s="7">
        <f>IFERROR(Table1[[#This Row],[Conversions]]/Table1[[#This Row],[Clicks]],0)</f>
        <v>0.11690558576371725</v>
      </c>
      <c r="L1156" s="6">
        <f>IF(Table1[[#This Row],[Conversions]]=0,0,Table1[[#This Row],[Ad Spend]]/Table1[[#This Row],[Conversions]])</f>
        <v>7.6701268498942916</v>
      </c>
      <c r="M1156" s="8">
        <f>IF(Table1[[#This Row],[Ad Spend]]=0,0,Table1[[#This Row],[Revenue]]/Table1[[#This Row],[Ad Spend]])</f>
        <v>11.767624870106422</v>
      </c>
      <c r="N1156">
        <f>YEAR(Table1[[#This Row],[Date]])</f>
        <v>2024</v>
      </c>
      <c r="O1156" t="str">
        <f>TEXT(Table1[[#This Row],[Date]],"mmm")</f>
        <v>Jan</v>
      </c>
      <c r="P1156">
        <f>MONTH(Table1[[#This Row],[Date]])</f>
        <v>1</v>
      </c>
    </row>
    <row r="1157" spans="1:16" x14ac:dyDescent="0.25">
      <c r="A1157" t="s">
        <v>1176</v>
      </c>
      <c r="B1157" t="s">
        <v>47</v>
      </c>
      <c r="C1157" t="s">
        <v>37</v>
      </c>
      <c r="D1157" s="1">
        <v>45670</v>
      </c>
      <c r="E1157">
        <v>143441</v>
      </c>
      <c r="F1157">
        <v>8303</v>
      </c>
      <c r="G1157">
        <v>211</v>
      </c>
      <c r="H1157" s="4">
        <v>2353.5300000000002</v>
      </c>
      <c r="I1157" s="4">
        <v>7776.03</v>
      </c>
      <c r="J1157" s="7">
        <f>Table1[[#This Row],[Clicks]]/Table1[[#This Row],[Impressions]]</f>
        <v>5.7884426349509556E-2</v>
      </c>
      <c r="K1157" s="7">
        <f>IFERROR(Table1[[#This Row],[Conversions]]/Table1[[#This Row],[Clicks]],0)</f>
        <v>2.5412501505479947E-2</v>
      </c>
      <c r="L1157" s="6">
        <f>IF(Table1[[#This Row],[Conversions]]=0,0,Table1[[#This Row],[Ad Spend]]/Table1[[#This Row],[Conversions]])</f>
        <v>11.154170616113745</v>
      </c>
      <c r="M1157" s="8">
        <f>IF(Table1[[#This Row],[Ad Spend]]=0,0,Table1[[#This Row],[Revenue]]/Table1[[#This Row],[Ad Spend]])</f>
        <v>3.3039859275216372</v>
      </c>
      <c r="N1157">
        <f>YEAR(Table1[[#This Row],[Date]])</f>
        <v>2025</v>
      </c>
      <c r="O1157" t="str">
        <f>TEXT(Table1[[#This Row],[Date]],"mmm")</f>
        <v>Jan</v>
      </c>
      <c r="P1157">
        <f>MONTH(Table1[[#This Row],[Date]])</f>
        <v>1</v>
      </c>
    </row>
    <row r="1158" spans="1:16" x14ac:dyDescent="0.25">
      <c r="A1158" t="s">
        <v>1177</v>
      </c>
      <c r="B1158" t="s">
        <v>14</v>
      </c>
      <c r="C1158" t="s">
        <v>37</v>
      </c>
      <c r="D1158" s="1">
        <v>45330</v>
      </c>
      <c r="E1158">
        <v>101220</v>
      </c>
      <c r="F1158">
        <v>6959</v>
      </c>
      <c r="G1158">
        <v>603</v>
      </c>
      <c r="H1158" s="4">
        <v>4771.92</v>
      </c>
      <c r="I1158" s="4">
        <v>37550.15</v>
      </c>
      <c r="J1158" s="7">
        <f>Table1[[#This Row],[Clicks]]/Table1[[#This Row],[Impressions]]</f>
        <v>6.8751234933807553E-2</v>
      </c>
      <c r="K1158" s="7">
        <f>IFERROR(Table1[[#This Row],[Conversions]]/Table1[[#This Row],[Clicks]],0)</f>
        <v>8.6650380801839344E-2</v>
      </c>
      <c r="L1158" s="6">
        <f>IF(Table1[[#This Row],[Conversions]]=0,0,Table1[[#This Row],[Ad Spend]]/Table1[[#This Row],[Conversions]])</f>
        <v>7.91363184079602</v>
      </c>
      <c r="M1158" s="8">
        <f>IF(Table1[[#This Row],[Ad Spend]]=0,0,Table1[[#This Row],[Revenue]]/Table1[[#This Row],[Ad Spend]])</f>
        <v>7.86898145819712</v>
      </c>
      <c r="N1158">
        <f>YEAR(Table1[[#This Row],[Date]])</f>
        <v>2024</v>
      </c>
      <c r="O1158" t="str">
        <f>TEXT(Table1[[#This Row],[Date]],"mmm")</f>
        <v>Feb</v>
      </c>
      <c r="P1158">
        <f>MONTH(Table1[[#This Row],[Date]])</f>
        <v>2</v>
      </c>
    </row>
    <row r="1159" spans="1:16" x14ac:dyDescent="0.25">
      <c r="A1159" t="s">
        <v>1178</v>
      </c>
      <c r="B1159" t="s">
        <v>21</v>
      </c>
      <c r="C1159" t="s">
        <v>37</v>
      </c>
      <c r="D1159" s="1">
        <v>45483</v>
      </c>
      <c r="E1159">
        <v>34683</v>
      </c>
      <c r="F1159">
        <v>1167</v>
      </c>
      <c r="G1159">
        <v>126</v>
      </c>
      <c r="H1159" s="4">
        <v>4192.29</v>
      </c>
      <c r="I1159" s="4">
        <v>13239.79</v>
      </c>
      <c r="J1159" s="7">
        <f>Table1[[#This Row],[Clicks]]/Table1[[#This Row],[Impressions]]</f>
        <v>3.3647608338379036E-2</v>
      </c>
      <c r="K1159" s="7">
        <f>IFERROR(Table1[[#This Row],[Conversions]]/Table1[[#This Row],[Clicks]],0)</f>
        <v>0.10796915167095116</v>
      </c>
      <c r="L1159" s="6">
        <f>IF(Table1[[#This Row],[Conversions]]=0,0,Table1[[#This Row],[Ad Spend]]/Table1[[#This Row],[Conversions]])</f>
        <v>33.27214285714286</v>
      </c>
      <c r="M1159" s="8">
        <f>IF(Table1[[#This Row],[Ad Spend]]=0,0,Table1[[#This Row],[Revenue]]/Table1[[#This Row],[Ad Spend]])</f>
        <v>3.1581283737527701</v>
      </c>
      <c r="N1159">
        <f>YEAR(Table1[[#This Row],[Date]])</f>
        <v>2024</v>
      </c>
      <c r="O1159" t="str">
        <f>TEXT(Table1[[#This Row],[Date]],"mmm")</f>
        <v>Jul</v>
      </c>
      <c r="P1159">
        <f>MONTH(Table1[[#This Row],[Date]])</f>
        <v>7</v>
      </c>
    </row>
    <row r="1160" spans="1:16" x14ac:dyDescent="0.25">
      <c r="A1160" t="s">
        <v>1179</v>
      </c>
      <c r="B1160" t="s">
        <v>9</v>
      </c>
      <c r="C1160" t="s">
        <v>19</v>
      </c>
      <c r="D1160" s="1">
        <v>45445</v>
      </c>
      <c r="E1160">
        <v>131648</v>
      </c>
      <c r="F1160">
        <v>4021</v>
      </c>
      <c r="G1160">
        <v>191</v>
      </c>
      <c r="H1160" s="4">
        <v>3742.52</v>
      </c>
      <c r="I1160" s="4">
        <v>14684.88</v>
      </c>
      <c r="J1160" s="7">
        <f>Table1[[#This Row],[Clicks]]/Table1[[#This Row],[Impressions]]</f>
        <v>3.0543570734078755E-2</v>
      </c>
      <c r="K1160" s="7">
        <f>IFERROR(Table1[[#This Row],[Conversions]]/Table1[[#This Row],[Clicks]],0)</f>
        <v>4.7500621735886595E-2</v>
      </c>
      <c r="L1160" s="6">
        <f>IF(Table1[[#This Row],[Conversions]]=0,0,Table1[[#This Row],[Ad Spend]]/Table1[[#This Row],[Conversions]])</f>
        <v>19.594345549738218</v>
      </c>
      <c r="M1160" s="8">
        <f>IF(Table1[[#This Row],[Ad Spend]]=0,0,Table1[[#This Row],[Revenue]]/Table1[[#This Row],[Ad Spend]])</f>
        <v>3.9237946624199735</v>
      </c>
      <c r="N1160">
        <f>YEAR(Table1[[#This Row],[Date]])</f>
        <v>2024</v>
      </c>
      <c r="O1160" t="str">
        <f>TEXT(Table1[[#This Row],[Date]],"mmm")</f>
        <v>Jun</v>
      </c>
      <c r="P1160">
        <f>MONTH(Table1[[#This Row],[Date]])</f>
        <v>6</v>
      </c>
    </row>
    <row r="1161" spans="1:16" x14ac:dyDescent="0.25">
      <c r="A1161" t="s">
        <v>1180</v>
      </c>
      <c r="B1161" t="s">
        <v>14</v>
      </c>
      <c r="C1161" t="s">
        <v>19</v>
      </c>
      <c r="D1161" s="1">
        <v>45621</v>
      </c>
      <c r="E1161">
        <v>140142</v>
      </c>
      <c r="F1161">
        <v>9501</v>
      </c>
      <c r="G1161">
        <v>233</v>
      </c>
      <c r="H1161" s="4">
        <v>2422.67</v>
      </c>
      <c r="I1161" s="4">
        <v>19053.54</v>
      </c>
      <c r="J1161" s="7">
        <f>Table1[[#This Row],[Clicks]]/Table1[[#This Row],[Impressions]]</f>
        <v>6.7795521685147922E-2</v>
      </c>
      <c r="K1161" s="7">
        <f>IFERROR(Table1[[#This Row],[Conversions]]/Table1[[#This Row],[Clicks]],0)</f>
        <v>2.4523734343753288E-2</v>
      </c>
      <c r="L1161" s="6">
        <f>IF(Table1[[#This Row],[Conversions]]=0,0,Table1[[#This Row],[Ad Spend]]/Table1[[#This Row],[Conversions]])</f>
        <v>10.397725321888412</v>
      </c>
      <c r="M1161" s="8">
        <f>IF(Table1[[#This Row],[Ad Spend]]=0,0,Table1[[#This Row],[Revenue]]/Table1[[#This Row],[Ad Spend]])</f>
        <v>7.8646864822695619</v>
      </c>
      <c r="N1161">
        <f>YEAR(Table1[[#This Row],[Date]])</f>
        <v>2024</v>
      </c>
      <c r="O1161" t="str">
        <f>TEXT(Table1[[#This Row],[Date]],"mmm")</f>
        <v>Nov</v>
      </c>
      <c r="P1161">
        <f>MONTH(Table1[[#This Row],[Date]])</f>
        <v>11</v>
      </c>
    </row>
    <row r="1162" spans="1:16" x14ac:dyDescent="0.25">
      <c r="A1162" t="s">
        <v>1181</v>
      </c>
      <c r="B1162" t="s">
        <v>41</v>
      </c>
      <c r="C1162" t="s">
        <v>10</v>
      </c>
      <c r="D1162" s="1">
        <v>45474</v>
      </c>
      <c r="E1162">
        <v>6544</v>
      </c>
      <c r="F1162">
        <v>347</v>
      </c>
      <c r="G1162">
        <v>21</v>
      </c>
      <c r="H1162" s="4">
        <v>1898.69</v>
      </c>
      <c r="I1162" s="4">
        <v>430.82</v>
      </c>
      <c r="J1162" s="7">
        <f>Table1[[#This Row],[Clicks]]/Table1[[#This Row],[Impressions]]</f>
        <v>5.302567237163814E-2</v>
      </c>
      <c r="K1162" s="7">
        <f>IFERROR(Table1[[#This Row],[Conversions]]/Table1[[#This Row],[Clicks]],0)</f>
        <v>6.0518731988472622E-2</v>
      </c>
      <c r="L1162" s="6">
        <f>IF(Table1[[#This Row],[Conversions]]=0,0,Table1[[#This Row],[Ad Spend]]/Table1[[#This Row],[Conversions]])</f>
        <v>90.413809523809533</v>
      </c>
      <c r="M1162" s="8">
        <f>IF(Table1[[#This Row],[Ad Spend]]=0,0,Table1[[#This Row],[Revenue]]/Table1[[#This Row],[Ad Spend]])</f>
        <v>0.22690381262870715</v>
      </c>
      <c r="N1162">
        <f>YEAR(Table1[[#This Row],[Date]])</f>
        <v>2024</v>
      </c>
      <c r="O1162" t="str">
        <f>TEXT(Table1[[#This Row],[Date]],"mmm")</f>
        <v>Jul</v>
      </c>
      <c r="P1162">
        <f>MONTH(Table1[[#This Row],[Date]])</f>
        <v>7</v>
      </c>
    </row>
    <row r="1163" spans="1:16" x14ac:dyDescent="0.25">
      <c r="A1163" t="s">
        <v>1182</v>
      </c>
      <c r="B1163" t="s">
        <v>16</v>
      </c>
      <c r="C1163" t="s">
        <v>17</v>
      </c>
      <c r="D1163" s="1">
        <v>45473</v>
      </c>
      <c r="E1163">
        <v>7323</v>
      </c>
      <c r="F1163">
        <v>125</v>
      </c>
      <c r="G1163">
        <v>10</v>
      </c>
      <c r="H1163" s="4">
        <v>606.77</v>
      </c>
      <c r="I1163" s="4">
        <v>714.32</v>
      </c>
      <c r="J1163" s="7">
        <f>Table1[[#This Row],[Clicks]]/Table1[[#This Row],[Impressions]]</f>
        <v>1.7069507032636898E-2</v>
      </c>
      <c r="K1163" s="7">
        <f>IFERROR(Table1[[#This Row],[Conversions]]/Table1[[#This Row],[Clicks]],0)</f>
        <v>0.08</v>
      </c>
      <c r="L1163" s="6">
        <f>IF(Table1[[#This Row],[Conversions]]=0,0,Table1[[#This Row],[Ad Spend]]/Table1[[#This Row],[Conversions]])</f>
        <v>60.677</v>
      </c>
      <c r="M1163" s="8">
        <f>IF(Table1[[#This Row],[Ad Spend]]=0,0,Table1[[#This Row],[Revenue]]/Table1[[#This Row],[Ad Spend]])</f>
        <v>1.1772500288412415</v>
      </c>
      <c r="N1163">
        <f>YEAR(Table1[[#This Row],[Date]])</f>
        <v>2024</v>
      </c>
      <c r="O1163" t="str">
        <f>TEXT(Table1[[#This Row],[Date]],"mmm")</f>
        <v>Jun</v>
      </c>
      <c r="P1163">
        <f>MONTH(Table1[[#This Row],[Date]])</f>
        <v>6</v>
      </c>
    </row>
    <row r="1164" spans="1:16" x14ac:dyDescent="0.25">
      <c r="A1164" t="s">
        <v>1183</v>
      </c>
      <c r="B1164" t="s">
        <v>16</v>
      </c>
      <c r="C1164" t="s">
        <v>17</v>
      </c>
      <c r="D1164" s="1">
        <v>45355</v>
      </c>
      <c r="E1164">
        <v>132772</v>
      </c>
      <c r="F1164">
        <v>1391</v>
      </c>
      <c r="G1164">
        <v>166</v>
      </c>
      <c r="H1164" s="4">
        <v>1400.65</v>
      </c>
      <c r="I1164" s="4">
        <v>11133.6</v>
      </c>
      <c r="J1164" s="7">
        <f>Table1[[#This Row],[Clicks]]/Table1[[#This Row],[Impressions]]</f>
        <v>1.0476606513421504E-2</v>
      </c>
      <c r="K1164" s="7">
        <f>IFERROR(Table1[[#This Row],[Conversions]]/Table1[[#This Row],[Clicks]],0)</f>
        <v>0.11933860531991373</v>
      </c>
      <c r="L1164" s="6">
        <f>IF(Table1[[#This Row],[Conversions]]=0,0,Table1[[#This Row],[Ad Spend]]/Table1[[#This Row],[Conversions]])</f>
        <v>8.4376506024096383</v>
      </c>
      <c r="M1164" s="8">
        <f>IF(Table1[[#This Row],[Ad Spend]]=0,0,Table1[[#This Row],[Revenue]]/Table1[[#This Row],[Ad Spend]])</f>
        <v>7.9488808767358012</v>
      </c>
      <c r="N1164">
        <f>YEAR(Table1[[#This Row],[Date]])</f>
        <v>2024</v>
      </c>
      <c r="O1164" t="str">
        <f>TEXT(Table1[[#This Row],[Date]],"mmm")</f>
        <v>Mar</v>
      </c>
      <c r="P1164">
        <f>MONTH(Table1[[#This Row],[Date]])</f>
        <v>3</v>
      </c>
    </row>
    <row r="1165" spans="1:16" x14ac:dyDescent="0.25">
      <c r="A1165" t="s">
        <v>1184</v>
      </c>
      <c r="B1165" t="s">
        <v>47</v>
      </c>
      <c r="C1165" t="s">
        <v>19</v>
      </c>
      <c r="D1165" s="1">
        <v>45478</v>
      </c>
      <c r="E1165">
        <v>117287</v>
      </c>
      <c r="F1165">
        <v>8497</v>
      </c>
      <c r="G1165">
        <v>762</v>
      </c>
      <c r="H1165" s="4">
        <v>1493.51</v>
      </c>
      <c r="I1165" s="4">
        <v>90629.94</v>
      </c>
      <c r="J1165" s="7">
        <f>Table1[[#This Row],[Clicks]]/Table1[[#This Row],[Impressions]]</f>
        <v>7.2446221661394694E-2</v>
      </c>
      <c r="K1165" s="7">
        <f>IFERROR(Table1[[#This Row],[Conversions]]/Table1[[#This Row],[Clicks]],0)</f>
        <v>8.9678710132988115E-2</v>
      </c>
      <c r="L1165" s="6">
        <f>IF(Table1[[#This Row],[Conversions]]=0,0,Table1[[#This Row],[Ad Spend]]/Table1[[#This Row],[Conversions]])</f>
        <v>1.95998687664042</v>
      </c>
      <c r="M1165" s="8">
        <f>IF(Table1[[#This Row],[Ad Spend]]=0,0,Table1[[#This Row],[Revenue]]/Table1[[#This Row],[Ad Spend]])</f>
        <v>60.682513006273815</v>
      </c>
      <c r="N1165">
        <f>YEAR(Table1[[#This Row],[Date]])</f>
        <v>2024</v>
      </c>
      <c r="O1165" t="str">
        <f>TEXT(Table1[[#This Row],[Date]],"mmm")</f>
        <v>Jul</v>
      </c>
      <c r="P1165">
        <f>MONTH(Table1[[#This Row],[Date]])</f>
        <v>7</v>
      </c>
    </row>
    <row r="1166" spans="1:16" x14ac:dyDescent="0.25">
      <c r="A1166" t="s">
        <v>1185</v>
      </c>
      <c r="B1166" t="s">
        <v>41</v>
      </c>
      <c r="C1166" t="s">
        <v>37</v>
      </c>
      <c r="D1166" s="1">
        <v>45363</v>
      </c>
      <c r="E1166">
        <v>97730</v>
      </c>
      <c r="F1166">
        <v>6088</v>
      </c>
      <c r="G1166">
        <v>126</v>
      </c>
      <c r="H1166" s="4">
        <v>4441.17</v>
      </c>
      <c r="I1166" s="4">
        <v>11456.16</v>
      </c>
      <c r="J1166" s="7">
        <f>Table1[[#This Row],[Clicks]]/Table1[[#This Row],[Impressions]]</f>
        <v>6.2294075514171696E-2</v>
      </c>
      <c r="K1166" s="7">
        <f>IFERROR(Table1[[#This Row],[Conversions]]/Table1[[#This Row],[Clicks]],0)</f>
        <v>2.0696452036793694E-2</v>
      </c>
      <c r="L1166" s="6">
        <f>IF(Table1[[#This Row],[Conversions]]=0,0,Table1[[#This Row],[Ad Spend]]/Table1[[#This Row],[Conversions]])</f>
        <v>35.247380952380951</v>
      </c>
      <c r="M1166" s="8">
        <f>IF(Table1[[#This Row],[Ad Spend]]=0,0,Table1[[#This Row],[Revenue]]/Table1[[#This Row],[Ad Spend]])</f>
        <v>2.5795364734968489</v>
      </c>
      <c r="N1166">
        <f>YEAR(Table1[[#This Row],[Date]])</f>
        <v>2024</v>
      </c>
      <c r="O1166" t="str">
        <f>TEXT(Table1[[#This Row],[Date]],"mmm")</f>
        <v>Mar</v>
      </c>
      <c r="P1166">
        <f>MONTH(Table1[[#This Row],[Date]])</f>
        <v>3</v>
      </c>
    </row>
    <row r="1167" spans="1:16" x14ac:dyDescent="0.25">
      <c r="A1167" t="s">
        <v>1186</v>
      </c>
      <c r="B1167" t="s">
        <v>9</v>
      </c>
      <c r="C1167" t="s">
        <v>37</v>
      </c>
      <c r="D1167" s="1">
        <v>45437</v>
      </c>
      <c r="E1167">
        <v>15552</v>
      </c>
      <c r="F1167">
        <v>301</v>
      </c>
      <c r="G1167">
        <v>22</v>
      </c>
      <c r="H1167" s="4">
        <v>1789.82</v>
      </c>
      <c r="I1167" s="4">
        <v>509.53</v>
      </c>
      <c r="J1167" s="7">
        <f>Table1[[#This Row],[Clicks]]/Table1[[#This Row],[Impressions]]</f>
        <v>1.9354423868312758E-2</v>
      </c>
      <c r="K1167" s="7">
        <f>IFERROR(Table1[[#This Row],[Conversions]]/Table1[[#This Row],[Clicks]],0)</f>
        <v>7.3089700996677748E-2</v>
      </c>
      <c r="L1167" s="6">
        <f>IF(Table1[[#This Row],[Conversions]]=0,0,Table1[[#This Row],[Ad Spend]]/Table1[[#This Row],[Conversions]])</f>
        <v>81.355454545454549</v>
      </c>
      <c r="M1167" s="8">
        <f>IF(Table1[[#This Row],[Ad Spend]]=0,0,Table1[[#This Row],[Revenue]]/Table1[[#This Row],[Ad Spend]])</f>
        <v>0.28468225855113921</v>
      </c>
      <c r="N1167">
        <f>YEAR(Table1[[#This Row],[Date]])</f>
        <v>2024</v>
      </c>
      <c r="O1167" t="str">
        <f>TEXT(Table1[[#This Row],[Date]],"mmm")</f>
        <v>May</v>
      </c>
      <c r="P1167">
        <f>MONTH(Table1[[#This Row],[Date]])</f>
        <v>5</v>
      </c>
    </row>
    <row r="1168" spans="1:16" x14ac:dyDescent="0.25">
      <c r="A1168" t="s">
        <v>1187</v>
      </c>
      <c r="B1168" t="s">
        <v>14</v>
      </c>
      <c r="C1168" t="s">
        <v>17</v>
      </c>
      <c r="D1168" s="1">
        <v>45632</v>
      </c>
      <c r="E1168">
        <v>74677</v>
      </c>
      <c r="F1168">
        <v>1367</v>
      </c>
      <c r="G1168">
        <v>114</v>
      </c>
      <c r="H1168" s="4">
        <v>2578.7199999999998</v>
      </c>
      <c r="I1168" s="4">
        <v>10051.799999999999</v>
      </c>
      <c r="J1168" s="7">
        <f>Table1[[#This Row],[Clicks]]/Table1[[#This Row],[Impressions]]</f>
        <v>1.8305502363512194E-2</v>
      </c>
      <c r="K1168" s="7">
        <f>IFERROR(Table1[[#This Row],[Conversions]]/Table1[[#This Row],[Clicks]],0)</f>
        <v>8.3394294074615946E-2</v>
      </c>
      <c r="L1168" s="6">
        <f>IF(Table1[[#This Row],[Conversions]]=0,0,Table1[[#This Row],[Ad Spend]]/Table1[[#This Row],[Conversions]])</f>
        <v>22.62035087719298</v>
      </c>
      <c r="M1168" s="8">
        <f>IF(Table1[[#This Row],[Ad Spend]]=0,0,Table1[[#This Row],[Revenue]]/Table1[[#This Row],[Ad Spend]])</f>
        <v>3.8979803933734565</v>
      </c>
      <c r="N1168">
        <f>YEAR(Table1[[#This Row],[Date]])</f>
        <v>2024</v>
      </c>
      <c r="O1168" t="str">
        <f>TEXT(Table1[[#This Row],[Date]],"mmm")</f>
        <v>Dec</v>
      </c>
      <c r="P1168">
        <f>MONTH(Table1[[#This Row],[Date]])</f>
        <v>12</v>
      </c>
    </row>
    <row r="1169" spans="1:16" x14ac:dyDescent="0.25">
      <c r="A1169" t="s">
        <v>1188</v>
      </c>
      <c r="B1169" t="s">
        <v>16</v>
      </c>
      <c r="C1169" t="s">
        <v>19</v>
      </c>
      <c r="D1169" s="1">
        <v>45676</v>
      </c>
      <c r="E1169">
        <v>109825</v>
      </c>
      <c r="F1169">
        <v>4956</v>
      </c>
      <c r="G1169">
        <v>694</v>
      </c>
      <c r="H1169" s="4">
        <v>4246.7</v>
      </c>
      <c r="I1169" s="4">
        <v>40866.089999999997</v>
      </c>
      <c r="J1169" s="7">
        <f>Table1[[#This Row],[Clicks]]/Table1[[#This Row],[Impressions]]</f>
        <v>4.5126337354882771E-2</v>
      </c>
      <c r="K1169" s="7">
        <f>IFERROR(Table1[[#This Row],[Conversions]]/Table1[[#This Row],[Clicks]],0)</f>
        <v>0.1400322841000807</v>
      </c>
      <c r="L1169" s="6">
        <f>IF(Table1[[#This Row],[Conversions]]=0,0,Table1[[#This Row],[Ad Spend]]/Table1[[#This Row],[Conversions]])</f>
        <v>6.1191642651296831</v>
      </c>
      <c r="M1169" s="8">
        <f>IF(Table1[[#This Row],[Ad Spend]]=0,0,Table1[[#This Row],[Revenue]]/Table1[[#This Row],[Ad Spend]])</f>
        <v>9.6230225822403277</v>
      </c>
      <c r="N1169">
        <f>YEAR(Table1[[#This Row],[Date]])</f>
        <v>2025</v>
      </c>
      <c r="O1169" t="str">
        <f>TEXT(Table1[[#This Row],[Date]],"mmm")</f>
        <v>Jan</v>
      </c>
      <c r="P1169">
        <f>MONTH(Table1[[#This Row],[Date]])</f>
        <v>1</v>
      </c>
    </row>
    <row r="1170" spans="1:16" x14ac:dyDescent="0.25">
      <c r="A1170" t="s">
        <v>1189</v>
      </c>
      <c r="B1170" t="s">
        <v>9</v>
      </c>
      <c r="C1170" t="s">
        <v>10</v>
      </c>
      <c r="D1170" s="1">
        <v>45697</v>
      </c>
      <c r="E1170">
        <v>10544</v>
      </c>
      <c r="F1170">
        <v>198</v>
      </c>
      <c r="G1170">
        <v>12</v>
      </c>
      <c r="H1170" s="4">
        <v>265.51</v>
      </c>
      <c r="I1170" s="4">
        <v>1061.33</v>
      </c>
      <c r="J1170" s="7">
        <f>Table1[[#This Row],[Clicks]]/Table1[[#This Row],[Impressions]]</f>
        <v>1.877845220030349E-2</v>
      </c>
      <c r="K1170" s="7">
        <f>IFERROR(Table1[[#This Row],[Conversions]]/Table1[[#This Row],[Clicks]],0)</f>
        <v>6.0606060606060608E-2</v>
      </c>
      <c r="L1170" s="6">
        <f>IF(Table1[[#This Row],[Conversions]]=0,0,Table1[[#This Row],[Ad Spend]]/Table1[[#This Row],[Conversions]])</f>
        <v>22.125833333333333</v>
      </c>
      <c r="M1170" s="8">
        <f>IF(Table1[[#This Row],[Ad Spend]]=0,0,Table1[[#This Row],[Revenue]]/Table1[[#This Row],[Ad Spend]])</f>
        <v>3.9973259010960036</v>
      </c>
      <c r="N1170">
        <f>YEAR(Table1[[#This Row],[Date]])</f>
        <v>2025</v>
      </c>
      <c r="O1170" t="str">
        <f>TEXT(Table1[[#This Row],[Date]],"mmm")</f>
        <v>Feb</v>
      </c>
      <c r="P1170">
        <f>MONTH(Table1[[#This Row],[Date]])</f>
        <v>2</v>
      </c>
    </row>
    <row r="1171" spans="1:16" x14ac:dyDescent="0.25">
      <c r="A1171" t="s">
        <v>1190</v>
      </c>
      <c r="B1171" t="s">
        <v>31</v>
      </c>
      <c r="C1171" t="s">
        <v>19</v>
      </c>
      <c r="D1171" s="1">
        <v>45511</v>
      </c>
      <c r="E1171">
        <v>7104</v>
      </c>
      <c r="F1171">
        <v>287</v>
      </c>
      <c r="G1171">
        <v>16</v>
      </c>
      <c r="H1171" s="4">
        <v>2532.46</v>
      </c>
      <c r="I1171" s="4">
        <v>1537.44</v>
      </c>
      <c r="J1171" s="7">
        <f>Table1[[#This Row],[Clicks]]/Table1[[#This Row],[Impressions]]</f>
        <v>4.0399774774774772E-2</v>
      </c>
      <c r="K1171" s="7">
        <f>IFERROR(Table1[[#This Row],[Conversions]]/Table1[[#This Row],[Clicks]],0)</f>
        <v>5.5749128919860627E-2</v>
      </c>
      <c r="L1171" s="6">
        <f>IF(Table1[[#This Row],[Conversions]]=0,0,Table1[[#This Row],[Ad Spend]]/Table1[[#This Row],[Conversions]])</f>
        <v>158.27875</v>
      </c>
      <c r="M1171" s="8">
        <f>IF(Table1[[#This Row],[Ad Spend]]=0,0,Table1[[#This Row],[Revenue]]/Table1[[#This Row],[Ad Spend]])</f>
        <v>0.60709349802168644</v>
      </c>
      <c r="N1171">
        <f>YEAR(Table1[[#This Row],[Date]])</f>
        <v>2024</v>
      </c>
      <c r="O1171" t="str">
        <f>TEXT(Table1[[#This Row],[Date]],"mmm")</f>
        <v>Aug</v>
      </c>
      <c r="P1171">
        <f>MONTH(Table1[[#This Row],[Date]])</f>
        <v>8</v>
      </c>
    </row>
    <row r="1172" spans="1:16" x14ac:dyDescent="0.25">
      <c r="A1172" t="s">
        <v>1191</v>
      </c>
      <c r="B1172" t="s">
        <v>14</v>
      </c>
      <c r="C1172" t="s">
        <v>12</v>
      </c>
      <c r="D1172" s="1">
        <v>45370</v>
      </c>
      <c r="E1172">
        <v>139018</v>
      </c>
      <c r="F1172">
        <v>3208</v>
      </c>
      <c r="G1172">
        <v>181</v>
      </c>
      <c r="H1172" s="4">
        <v>752.1</v>
      </c>
      <c r="I1172" s="4">
        <v>8389.91</v>
      </c>
      <c r="J1172" s="7">
        <f>Table1[[#This Row],[Clicks]]/Table1[[#This Row],[Impressions]]</f>
        <v>2.3076148412435799E-2</v>
      </c>
      <c r="K1172" s="7">
        <f>IFERROR(Table1[[#This Row],[Conversions]]/Table1[[#This Row],[Clicks]],0)</f>
        <v>5.6421446384039897E-2</v>
      </c>
      <c r="L1172" s="6">
        <f>IF(Table1[[#This Row],[Conversions]]=0,0,Table1[[#This Row],[Ad Spend]]/Table1[[#This Row],[Conversions]])</f>
        <v>4.1552486187845306</v>
      </c>
      <c r="M1172" s="8">
        <f>IF(Table1[[#This Row],[Ad Spend]]=0,0,Table1[[#This Row],[Revenue]]/Table1[[#This Row],[Ad Spend]])</f>
        <v>11.155311793644461</v>
      </c>
      <c r="N1172">
        <f>YEAR(Table1[[#This Row],[Date]])</f>
        <v>2024</v>
      </c>
      <c r="O1172" t="str">
        <f>TEXT(Table1[[#This Row],[Date]],"mmm")</f>
        <v>Mar</v>
      </c>
      <c r="P1172">
        <f>MONTH(Table1[[#This Row],[Date]])</f>
        <v>3</v>
      </c>
    </row>
    <row r="1173" spans="1:16" x14ac:dyDescent="0.25">
      <c r="A1173" t="s">
        <v>1192</v>
      </c>
      <c r="B1173" t="s">
        <v>14</v>
      </c>
      <c r="C1173" t="s">
        <v>17</v>
      </c>
      <c r="D1173" s="1">
        <v>45393</v>
      </c>
      <c r="E1173">
        <v>129228</v>
      </c>
      <c r="F1173">
        <v>7682</v>
      </c>
      <c r="G1173">
        <v>962</v>
      </c>
      <c r="H1173" s="4">
        <v>3565.5</v>
      </c>
      <c r="I1173" s="4">
        <v>67564.53</v>
      </c>
      <c r="J1173" s="7">
        <f>Table1[[#This Row],[Clicks]]/Table1[[#This Row],[Impressions]]</f>
        <v>5.9445321447364349E-2</v>
      </c>
      <c r="K1173" s="7">
        <f>IFERROR(Table1[[#This Row],[Conversions]]/Table1[[#This Row],[Clicks]],0)</f>
        <v>0.12522780525904711</v>
      </c>
      <c r="L1173" s="6">
        <f>IF(Table1[[#This Row],[Conversions]]=0,0,Table1[[#This Row],[Ad Spend]]/Table1[[#This Row],[Conversions]])</f>
        <v>3.7063409563409562</v>
      </c>
      <c r="M1173" s="8">
        <f>IF(Table1[[#This Row],[Ad Spend]]=0,0,Table1[[#This Row],[Revenue]]/Table1[[#This Row],[Ad Spend]])</f>
        <v>18.949524610854017</v>
      </c>
      <c r="N1173">
        <f>YEAR(Table1[[#This Row],[Date]])</f>
        <v>2024</v>
      </c>
      <c r="O1173" t="str">
        <f>TEXT(Table1[[#This Row],[Date]],"mmm")</f>
        <v>Apr</v>
      </c>
      <c r="P1173">
        <f>MONTH(Table1[[#This Row],[Date]])</f>
        <v>4</v>
      </c>
    </row>
    <row r="1174" spans="1:16" x14ac:dyDescent="0.25">
      <c r="A1174" t="s">
        <v>1193</v>
      </c>
      <c r="B1174" t="s">
        <v>16</v>
      </c>
      <c r="C1174" t="s">
        <v>37</v>
      </c>
      <c r="D1174" s="1">
        <v>45594</v>
      </c>
      <c r="E1174">
        <v>43987</v>
      </c>
      <c r="F1174">
        <v>1146</v>
      </c>
      <c r="G1174">
        <v>42</v>
      </c>
      <c r="H1174" s="4">
        <v>384.16</v>
      </c>
      <c r="I1174" s="4">
        <v>4999.67</v>
      </c>
      <c r="J1174" s="7">
        <f>Table1[[#This Row],[Clicks]]/Table1[[#This Row],[Impressions]]</f>
        <v>2.6053152067656352E-2</v>
      </c>
      <c r="K1174" s="7">
        <f>IFERROR(Table1[[#This Row],[Conversions]]/Table1[[#This Row],[Clicks]],0)</f>
        <v>3.6649214659685861E-2</v>
      </c>
      <c r="L1174" s="6">
        <f>IF(Table1[[#This Row],[Conversions]]=0,0,Table1[[#This Row],[Ad Spend]]/Table1[[#This Row],[Conversions]])</f>
        <v>9.1466666666666665</v>
      </c>
      <c r="M1174" s="8">
        <f>IF(Table1[[#This Row],[Ad Spend]]=0,0,Table1[[#This Row],[Revenue]]/Table1[[#This Row],[Ad Spend]])</f>
        <v>13.014551228654726</v>
      </c>
      <c r="N1174">
        <f>YEAR(Table1[[#This Row],[Date]])</f>
        <v>2024</v>
      </c>
      <c r="O1174" t="str">
        <f>TEXT(Table1[[#This Row],[Date]],"mmm")</f>
        <v>Oct</v>
      </c>
      <c r="P1174">
        <f>MONTH(Table1[[#This Row],[Date]])</f>
        <v>10</v>
      </c>
    </row>
    <row r="1175" spans="1:16" x14ac:dyDescent="0.25">
      <c r="A1175" t="s">
        <v>1194</v>
      </c>
      <c r="B1175" t="s">
        <v>16</v>
      </c>
      <c r="C1175" t="s">
        <v>17</v>
      </c>
      <c r="D1175" s="1">
        <v>45301</v>
      </c>
      <c r="E1175">
        <v>57335</v>
      </c>
      <c r="F1175">
        <v>938</v>
      </c>
      <c r="G1175">
        <v>24</v>
      </c>
      <c r="H1175" s="4">
        <v>2155.0300000000002</v>
      </c>
      <c r="I1175" s="4">
        <v>1215.47</v>
      </c>
      <c r="J1175" s="7">
        <f>Table1[[#This Row],[Clicks]]/Table1[[#This Row],[Impressions]]</f>
        <v>1.6359989535187931E-2</v>
      </c>
      <c r="K1175" s="7">
        <f>IFERROR(Table1[[#This Row],[Conversions]]/Table1[[#This Row],[Clicks]],0)</f>
        <v>2.5586353944562899E-2</v>
      </c>
      <c r="L1175" s="6">
        <f>IF(Table1[[#This Row],[Conversions]]=0,0,Table1[[#This Row],[Ad Spend]]/Table1[[#This Row],[Conversions]])</f>
        <v>89.79291666666667</v>
      </c>
      <c r="M1175" s="8">
        <f>IF(Table1[[#This Row],[Ad Spend]]=0,0,Table1[[#This Row],[Revenue]]/Table1[[#This Row],[Ad Spend]])</f>
        <v>0.56401535013433679</v>
      </c>
      <c r="N1175">
        <f>YEAR(Table1[[#This Row],[Date]])</f>
        <v>2024</v>
      </c>
      <c r="O1175" t="str">
        <f>TEXT(Table1[[#This Row],[Date]],"mmm")</f>
        <v>Jan</v>
      </c>
      <c r="P1175">
        <f>MONTH(Table1[[#This Row],[Date]])</f>
        <v>1</v>
      </c>
    </row>
    <row r="1176" spans="1:16" x14ac:dyDescent="0.25">
      <c r="A1176" t="s">
        <v>1195</v>
      </c>
      <c r="B1176" t="s">
        <v>14</v>
      </c>
      <c r="C1176" t="s">
        <v>37</v>
      </c>
      <c r="D1176" s="1">
        <v>45464</v>
      </c>
      <c r="E1176">
        <v>116693</v>
      </c>
      <c r="F1176">
        <v>5081</v>
      </c>
      <c r="G1176">
        <v>438</v>
      </c>
      <c r="H1176" s="4">
        <v>3290.59</v>
      </c>
      <c r="I1176" s="4">
        <v>22087.9</v>
      </c>
      <c r="J1176" s="7">
        <f>Table1[[#This Row],[Clicks]]/Table1[[#This Row],[Impressions]]</f>
        <v>4.3541600610147994E-2</v>
      </c>
      <c r="K1176" s="7">
        <f>IFERROR(Table1[[#This Row],[Conversions]]/Table1[[#This Row],[Clicks]],0)</f>
        <v>8.6203503247392246E-2</v>
      </c>
      <c r="L1176" s="6">
        <f>IF(Table1[[#This Row],[Conversions]]=0,0,Table1[[#This Row],[Ad Spend]]/Table1[[#This Row],[Conversions]])</f>
        <v>7.5127625570776262</v>
      </c>
      <c r="M1176" s="8">
        <f>IF(Table1[[#This Row],[Ad Spend]]=0,0,Table1[[#This Row],[Revenue]]/Table1[[#This Row],[Ad Spend]])</f>
        <v>6.7124436651178057</v>
      </c>
      <c r="N1176">
        <f>YEAR(Table1[[#This Row],[Date]])</f>
        <v>2024</v>
      </c>
      <c r="O1176" t="str">
        <f>TEXT(Table1[[#This Row],[Date]],"mmm")</f>
        <v>Jun</v>
      </c>
      <c r="P1176">
        <f>MONTH(Table1[[#This Row],[Date]])</f>
        <v>6</v>
      </c>
    </row>
    <row r="1177" spans="1:16" x14ac:dyDescent="0.25">
      <c r="A1177" t="s">
        <v>1196</v>
      </c>
      <c r="B1177" t="s">
        <v>34</v>
      </c>
      <c r="C1177" t="s">
        <v>19</v>
      </c>
      <c r="D1177" s="1">
        <v>45435</v>
      </c>
      <c r="E1177">
        <v>97018</v>
      </c>
      <c r="F1177">
        <v>5802</v>
      </c>
      <c r="G1177">
        <v>302</v>
      </c>
      <c r="H1177" s="4">
        <v>4496.51</v>
      </c>
      <c r="I1177" s="4">
        <v>11528.9</v>
      </c>
      <c r="J1177" s="7">
        <f>Table1[[#This Row],[Clicks]]/Table1[[#This Row],[Impressions]]</f>
        <v>5.9803335463522234E-2</v>
      </c>
      <c r="K1177" s="7">
        <f>IFERROR(Table1[[#This Row],[Conversions]]/Table1[[#This Row],[Clicks]],0)</f>
        <v>5.2051016890727338E-2</v>
      </c>
      <c r="L1177" s="6">
        <f>IF(Table1[[#This Row],[Conversions]]=0,0,Table1[[#This Row],[Ad Spend]]/Table1[[#This Row],[Conversions]])</f>
        <v>14.889105960264901</v>
      </c>
      <c r="M1177" s="8">
        <f>IF(Table1[[#This Row],[Ad Spend]]=0,0,Table1[[#This Row],[Revenue]]/Table1[[#This Row],[Ad Spend]])</f>
        <v>2.5639662760674389</v>
      </c>
      <c r="N1177">
        <f>YEAR(Table1[[#This Row],[Date]])</f>
        <v>2024</v>
      </c>
      <c r="O1177" t="str">
        <f>TEXT(Table1[[#This Row],[Date]],"mmm")</f>
        <v>May</v>
      </c>
      <c r="P1177">
        <f>MONTH(Table1[[#This Row],[Date]])</f>
        <v>5</v>
      </c>
    </row>
    <row r="1178" spans="1:16" x14ac:dyDescent="0.25">
      <c r="A1178" t="s">
        <v>1197</v>
      </c>
      <c r="B1178" t="s">
        <v>31</v>
      </c>
      <c r="C1178" t="s">
        <v>10</v>
      </c>
      <c r="D1178" s="1">
        <v>45630</v>
      </c>
      <c r="E1178">
        <v>89315</v>
      </c>
      <c r="F1178">
        <v>2218</v>
      </c>
      <c r="G1178">
        <v>180</v>
      </c>
      <c r="H1178" s="4">
        <v>4560.71</v>
      </c>
      <c r="I1178" s="4">
        <v>5413.71</v>
      </c>
      <c r="J1178" s="7">
        <f>Table1[[#This Row],[Clicks]]/Table1[[#This Row],[Impressions]]</f>
        <v>2.4833454626882384E-2</v>
      </c>
      <c r="K1178" s="7">
        <f>IFERROR(Table1[[#This Row],[Conversions]]/Table1[[#This Row],[Clicks]],0)</f>
        <v>8.1154192966636604E-2</v>
      </c>
      <c r="L1178" s="6">
        <f>IF(Table1[[#This Row],[Conversions]]=0,0,Table1[[#This Row],[Ad Spend]]/Table1[[#This Row],[Conversions]])</f>
        <v>25.337277777777778</v>
      </c>
      <c r="M1178" s="8">
        <f>IF(Table1[[#This Row],[Ad Spend]]=0,0,Table1[[#This Row],[Revenue]]/Table1[[#This Row],[Ad Spend]])</f>
        <v>1.187032282254298</v>
      </c>
      <c r="N1178">
        <f>YEAR(Table1[[#This Row],[Date]])</f>
        <v>2024</v>
      </c>
      <c r="O1178" t="str">
        <f>TEXT(Table1[[#This Row],[Date]],"mmm")</f>
        <v>Dec</v>
      </c>
      <c r="P1178">
        <f>MONTH(Table1[[#This Row],[Date]])</f>
        <v>12</v>
      </c>
    </row>
    <row r="1179" spans="1:16" x14ac:dyDescent="0.25">
      <c r="A1179" t="s">
        <v>1198</v>
      </c>
      <c r="B1179" t="s">
        <v>16</v>
      </c>
      <c r="C1179" t="s">
        <v>19</v>
      </c>
      <c r="D1179" s="1">
        <v>45543</v>
      </c>
      <c r="E1179">
        <v>100310</v>
      </c>
      <c r="F1179">
        <v>3350</v>
      </c>
      <c r="G1179">
        <v>115</v>
      </c>
      <c r="H1179" s="4">
        <v>3410.95</v>
      </c>
      <c r="I1179" s="4">
        <v>10154.06</v>
      </c>
      <c r="J1179" s="7">
        <f>Table1[[#This Row],[Clicks]]/Table1[[#This Row],[Impressions]]</f>
        <v>3.3396470940085736E-2</v>
      </c>
      <c r="K1179" s="7">
        <f>IFERROR(Table1[[#This Row],[Conversions]]/Table1[[#This Row],[Clicks]],0)</f>
        <v>3.4328358208955224E-2</v>
      </c>
      <c r="L1179" s="6">
        <f>IF(Table1[[#This Row],[Conversions]]=0,0,Table1[[#This Row],[Ad Spend]]/Table1[[#This Row],[Conversions]])</f>
        <v>29.660434782608693</v>
      </c>
      <c r="M1179" s="8">
        <f>IF(Table1[[#This Row],[Ad Spend]]=0,0,Table1[[#This Row],[Revenue]]/Table1[[#This Row],[Ad Spend]])</f>
        <v>2.9769008633958283</v>
      </c>
      <c r="N1179">
        <f>YEAR(Table1[[#This Row],[Date]])</f>
        <v>2024</v>
      </c>
      <c r="O1179" t="str">
        <f>TEXT(Table1[[#This Row],[Date]],"mmm")</f>
        <v>Sept</v>
      </c>
      <c r="P1179">
        <f>MONTH(Table1[[#This Row],[Date]])</f>
        <v>9</v>
      </c>
    </row>
    <row r="1180" spans="1:16" x14ac:dyDescent="0.25">
      <c r="A1180" t="s">
        <v>1199</v>
      </c>
      <c r="B1180" t="s">
        <v>16</v>
      </c>
      <c r="C1180" t="s">
        <v>19</v>
      </c>
      <c r="D1180" s="1">
        <v>45476</v>
      </c>
      <c r="E1180">
        <v>99734</v>
      </c>
      <c r="F1180">
        <v>6184</v>
      </c>
      <c r="G1180">
        <v>597</v>
      </c>
      <c r="H1180" s="4">
        <v>3102.63</v>
      </c>
      <c r="I1180" s="4">
        <v>26163.66</v>
      </c>
      <c r="J1180" s="7">
        <f>Table1[[#This Row],[Clicks]]/Table1[[#This Row],[Impressions]]</f>
        <v>6.2004933122104797E-2</v>
      </c>
      <c r="K1180" s="7">
        <f>IFERROR(Table1[[#This Row],[Conversions]]/Table1[[#This Row],[Clicks]],0)</f>
        <v>9.6539456662354459E-2</v>
      </c>
      <c r="L1180" s="6">
        <f>IF(Table1[[#This Row],[Conversions]]=0,0,Table1[[#This Row],[Ad Spend]]/Table1[[#This Row],[Conversions]])</f>
        <v>5.1970351758793969</v>
      </c>
      <c r="M1180" s="8">
        <f>IF(Table1[[#This Row],[Ad Spend]]=0,0,Table1[[#This Row],[Revenue]]/Table1[[#This Row],[Ad Spend]])</f>
        <v>8.4327360980845274</v>
      </c>
      <c r="N1180">
        <f>YEAR(Table1[[#This Row],[Date]])</f>
        <v>2024</v>
      </c>
      <c r="O1180" t="str">
        <f>TEXT(Table1[[#This Row],[Date]],"mmm")</f>
        <v>Jul</v>
      </c>
      <c r="P1180">
        <f>MONTH(Table1[[#This Row],[Date]])</f>
        <v>7</v>
      </c>
    </row>
    <row r="1181" spans="1:16" x14ac:dyDescent="0.25">
      <c r="A1181" t="s">
        <v>1200</v>
      </c>
      <c r="B1181" t="s">
        <v>34</v>
      </c>
      <c r="C1181" t="s">
        <v>37</v>
      </c>
      <c r="D1181" s="1">
        <v>45591</v>
      </c>
      <c r="E1181">
        <v>105676</v>
      </c>
      <c r="F1181">
        <v>1702</v>
      </c>
      <c r="G1181">
        <v>57</v>
      </c>
      <c r="H1181" s="4">
        <v>3221.88</v>
      </c>
      <c r="I1181" s="4">
        <v>4570.46</v>
      </c>
      <c r="J1181" s="7">
        <f>Table1[[#This Row],[Clicks]]/Table1[[#This Row],[Impressions]]</f>
        <v>1.6105832923274915E-2</v>
      </c>
      <c r="K1181" s="7">
        <f>IFERROR(Table1[[#This Row],[Conversions]]/Table1[[#This Row],[Clicks]],0)</f>
        <v>3.3490011750881316E-2</v>
      </c>
      <c r="L1181" s="6">
        <f>IF(Table1[[#This Row],[Conversions]]=0,0,Table1[[#This Row],[Ad Spend]]/Table1[[#This Row],[Conversions]])</f>
        <v>56.524210526315791</v>
      </c>
      <c r="M1181" s="8">
        <f>IF(Table1[[#This Row],[Ad Spend]]=0,0,Table1[[#This Row],[Revenue]]/Table1[[#This Row],[Ad Spend]])</f>
        <v>1.4185692825306964</v>
      </c>
      <c r="N1181">
        <f>YEAR(Table1[[#This Row],[Date]])</f>
        <v>2024</v>
      </c>
      <c r="O1181" t="str">
        <f>TEXT(Table1[[#This Row],[Date]],"mmm")</f>
        <v>Oct</v>
      </c>
      <c r="P1181">
        <f>MONTH(Table1[[#This Row],[Date]])</f>
        <v>10</v>
      </c>
    </row>
    <row r="1182" spans="1:16" x14ac:dyDescent="0.25">
      <c r="A1182" t="s">
        <v>1201</v>
      </c>
      <c r="B1182" t="s">
        <v>31</v>
      </c>
      <c r="C1182" t="s">
        <v>12</v>
      </c>
      <c r="D1182" s="1">
        <v>45627</v>
      </c>
      <c r="E1182">
        <v>54921</v>
      </c>
      <c r="F1182">
        <v>1290</v>
      </c>
      <c r="G1182">
        <v>100</v>
      </c>
      <c r="H1182" s="4">
        <v>673.46</v>
      </c>
      <c r="I1182" s="4">
        <v>11418.18</v>
      </c>
      <c r="J1182" s="7">
        <f>Table1[[#This Row],[Clicks]]/Table1[[#This Row],[Impressions]]</f>
        <v>2.348828317037199E-2</v>
      </c>
      <c r="K1182" s="7">
        <f>IFERROR(Table1[[#This Row],[Conversions]]/Table1[[#This Row],[Clicks]],0)</f>
        <v>7.7519379844961239E-2</v>
      </c>
      <c r="L1182" s="6">
        <f>IF(Table1[[#This Row],[Conversions]]=0,0,Table1[[#This Row],[Ad Spend]]/Table1[[#This Row],[Conversions]])</f>
        <v>6.7346000000000004</v>
      </c>
      <c r="M1182" s="8">
        <f>IF(Table1[[#This Row],[Ad Spend]]=0,0,Table1[[#This Row],[Revenue]]/Table1[[#This Row],[Ad Spend]])</f>
        <v>16.954503608232113</v>
      </c>
      <c r="N1182">
        <f>YEAR(Table1[[#This Row],[Date]])</f>
        <v>2024</v>
      </c>
      <c r="O1182" t="str">
        <f>TEXT(Table1[[#This Row],[Date]],"mmm")</f>
        <v>Dec</v>
      </c>
      <c r="P1182">
        <f>MONTH(Table1[[#This Row],[Date]])</f>
        <v>12</v>
      </c>
    </row>
    <row r="1183" spans="1:16" x14ac:dyDescent="0.25">
      <c r="A1183" t="s">
        <v>1202</v>
      </c>
      <c r="B1183" t="s">
        <v>47</v>
      </c>
      <c r="C1183" t="s">
        <v>19</v>
      </c>
      <c r="D1183" s="1">
        <v>45663</v>
      </c>
      <c r="E1183">
        <v>129308</v>
      </c>
      <c r="F1183">
        <v>10250</v>
      </c>
      <c r="G1183">
        <v>474</v>
      </c>
      <c r="H1183" s="4">
        <v>3659.69</v>
      </c>
      <c r="I1183" s="4">
        <v>11556.65</v>
      </c>
      <c r="J1183" s="7">
        <f>Table1[[#This Row],[Clicks]]/Table1[[#This Row],[Impressions]]</f>
        <v>7.9268104061620312E-2</v>
      </c>
      <c r="K1183" s="7">
        <f>IFERROR(Table1[[#This Row],[Conversions]]/Table1[[#This Row],[Clicks]],0)</f>
        <v>4.624390243902439E-2</v>
      </c>
      <c r="L1183" s="6">
        <f>IF(Table1[[#This Row],[Conversions]]=0,0,Table1[[#This Row],[Ad Spend]]/Table1[[#This Row],[Conversions]])</f>
        <v>7.720864978902954</v>
      </c>
      <c r="M1183" s="8">
        <f>IF(Table1[[#This Row],[Ad Spend]]=0,0,Table1[[#This Row],[Revenue]]/Table1[[#This Row],[Ad Spend]])</f>
        <v>3.1578221106159265</v>
      </c>
      <c r="N1183">
        <f>YEAR(Table1[[#This Row],[Date]])</f>
        <v>2025</v>
      </c>
      <c r="O1183" t="str">
        <f>TEXT(Table1[[#This Row],[Date]],"mmm")</f>
        <v>Jan</v>
      </c>
      <c r="P1183">
        <f>MONTH(Table1[[#This Row],[Date]])</f>
        <v>1</v>
      </c>
    </row>
    <row r="1184" spans="1:16" x14ac:dyDescent="0.25">
      <c r="A1184" t="s">
        <v>1203</v>
      </c>
      <c r="B1184" t="s">
        <v>14</v>
      </c>
      <c r="C1184" t="s">
        <v>17</v>
      </c>
      <c r="D1184" s="1">
        <v>45573</v>
      </c>
      <c r="E1184">
        <v>71198</v>
      </c>
      <c r="F1184">
        <v>5155</v>
      </c>
      <c r="G1184">
        <v>611</v>
      </c>
      <c r="H1184" s="4">
        <v>4261.22</v>
      </c>
      <c r="I1184" s="4">
        <v>46457.14</v>
      </c>
      <c r="J1184" s="7">
        <f>Table1[[#This Row],[Clicks]]/Table1[[#This Row],[Impressions]]</f>
        <v>7.2403719205595657E-2</v>
      </c>
      <c r="K1184" s="7">
        <f>IFERROR(Table1[[#This Row],[Conversions]]/Table1[[#This Row],[Clicks]],0)</f>
        <v>0.11852570320077595</v>
      </c>
      <c r="L1184" s="6">
        <f>IF(Table1[[#This Row],[Conversions]]=0,0,Table1[[#This Row],[Ad Spend]]/Table1[[#This Row],[Conversions]])</f>
        <v>6.9741734860883797</v>
      </c>
      <c r="M1184" s="8">
        <f>IF(Table1[[#This Row],[Ad Spend]]=0,0,Table1[[#This Row],[Revenue]]/Table1[[#This Row],[Ad Spend]])</f>
        <v>10.902309667184515</v>
      </c>
      <c r="N1184">
        <f>YEAR(Table1[[#This Row],[Date]])</f>
        <v>2024</v>
      </c>
      <c r="O1184" t="str">
        <f>TEXT(Table1[[#This Row],[Date]],"mmm")</f>
        <v>Oct</v>
      </c>
      <c r="P1184">
        <f>MONTH(Table1[[#This Row],[Date]])</f>
        <v>10</v>
      </c>
    </row>
    <row r="1185" spans="1:16" x14ac:dyDescent="0.25">
      <c r="A1185" t="s">
        <v>1204</v>
      </c>
      <c r="B1185" t="s">
        <v>47</v>
      </c>
      <c r="C1185" t="s">
        <v>19</v>
      </c>
      <c r="D1185" s="1">
        <v>45521</v>
      </c>
      <c r="E1185">
        <v>35783</v>
      </c>
      <c r="F1185">
        <v>2639</v>
      </c>
      <c r="G1185">
        <v>76</v>
      </c>
      <c r="H1185" s="4">
        <v>2211.2199999999998</v>
      </c>
      <c r="I1185" s="4">
        <v>8598.1299999999992</v>
      </c>
      <c r="J1185" s="7">
        <f>Table1[[#This Row],[Clicks]]/Table1[[#This Row],[Impressions]]</f>
        <v>7.3750104798367938E-2</v>
      </c>
      <c r="K1185" s="7">
        <f>IFERROR(Table1[[#This Row],[Conversions]]/Table1[[#This Row],[Clicks]],0)</f>
        <v>2.8798787419477074E-2</v>
      </c>
      <c r="L1185" s="6">
        <f>IF(Table1[[#This Row],[Conversions]]=0,0,Table1[[#This Row],[Ad Spend]]/Table1[[#This Row],[Conversions]])</f>
        <v>29.094999999999999</v>
      </c>
      <c r="M1185" s="8">
        <f>IF(Table1[[#This Row],[Ad Spend]]=0,0,Table1[[#This Row],[Revenue]]/Table1[[#This Row],[Ad Spend]])</f>
        <v>3.8884100179991137</v>
      </c>
      <c r="N1185">
        <f>YEAR(Table1[[#This Row],[Date]])</f>
        <v>2024</v>
      </c>
      <c r="O1185" t="str">
        <f>TEXT(Table1[[#This Row],[Date]],"mmm")</f>
        <v>Aug</v>
      </c>
      <c r="P1185">
        <f>MONTH(Table1[[#This Row],[Date]])</f>
        <v>8</v>
      </c>
    </row>
    <row r="1186" spans="1:16" x14ac:dyDescent="0.25">
      <c r="A1186" t="s">
        <v>1205</v>
      </c>
      <c r="B1186" t="s">
        <v>31</v>
      </c>
      <c r="C1186" t="s">
        <v>37</v>
      </c>
      <c r="D1186" s="1">
        <v>45598</v>
      </c>
      <c r="E1186">
        <v>76866</v>
      </c>
      <c r="F1186">
        <v>4517</v>
      </c>
      <c r="G1186">
        <v>166</v>
      </c>
      <c r="H1186" s="4">
        <v>418.14</v>
      </c>
      <c r="I1186" s="4">
        <v>12718.5</v>
      </c>
      <c r="J1186" s="7">
        <f>Table1[[#This Row],[Clicks]]/Table1[[#This Row],[Impressions]]</f>
        <v>5.876460333567507E-2</v>
      </c>
      <c r="K1186" s="7">
        <f>IFERROR(Table1[[#This Row],[Conversions]]/Table1[[#This Row],[Clicks]],0)</f>
        <v>3.6750055346468892E-2</v>
      </c>
      <c r="L1186" s="6">
        <f>IF(Table1[[#This Row],[Conversions]]=0,0,Table1[[#This Row],[Ad Spend]]/Table1[[#This Row],[Conversions]])</f>
        <v>2.5189156626506022</v>
      </c>
      <c r="M1186" s="8">
        <f>IF(Table1[[#This Row],[Ad Spend]]=0,0,Table1[[#This Row],[Revenue]]/Table1[[#This Row],[Ad Spend]])</f>
        <v>30.41684603242933</v>
      </c>
      <c r="N1186">
        <f>YEAR(Table1[[#This Row],[Date]])</f>
        <v>2024</v>
      </c>
      <c r="O1186" t="str">
        <f>TEXT(Table1[[#This Row],[Date]],"mmm")</f>
        <v>Nov</v>
      </c>
      <c r="P1186">
        <f>MONTH(Table1[[#This Row],[Date]])</f>
        <v>11</v>
      </c>
    </row>
    <row r="1187" spans="1:16" x14ac:dyDescent="0.25">
      <c r="A1187" t="s">
        <v>1206</v>
      </c>
      <c r="B1187" t="s">
        <v>14</v>
      </c>
      <c r="C1187" t="s">
        <v>17</v>
      </c>
      <c r="D1187" s="1">
        <v>45545</v>
      </c>
      <c r="E1187">
        <v>144583</v>
      </c>
      <c r="F1187">
        <v>10253</v>
      </c>
      <c r="G1187">
        <v>1500</v>
      </c>
      <c r="H1187" s="4">
        <v>994.49</v>
      </c>
      <c r="I1187" s="4">
        <v>142609.17000000001</v>
      </c>
      <c r="J1187" s="7">
        <f>Table1[[#This Row],[Clicks]]/Table1[[#This Row],[Impressions]]</f>
        <v>7.0914284528609858E-2</v>
      </c>
      <c r="K1187" s="7">
        <f>IFERROR(Table1[[#This Row],[Conversions]]/Table1[[#This Row],[Clicks]],0)</f>
        <v>0.14629864429922948</v>
      </c>
      <c r="L1187" s="6">
        <f>IF(Table1[[#This Row],[Conversions]]=0,0,Table1[[#This Row],[Ad Spend]]/Table1[[#This Row],[Conversions]])</f>
        <v>0.66299333333333332</v>
      </c>
      <c r="M1187" s="8">
        <f>IF(Table1[[#This Row],[Ad Spend]]=0,0,Table1[[#This Row],[Revenue]]/Table1[[#This Row],[Ad Spend]])</f>
        <v>143.39930014379232</v>
      </c>
      <c r="N1187">
        <f>YEAR(Table1[[#This Row],[Date]])</f>
        <v>2024</v>
      </c>
      <c r="O1187" t="str">
        <f>TEXT(Table1[[#This Row],[Date]],"mmm")</f>
        <v>Sept</v>
      </c>
      <c r="P1187">
        <f>MONTH(Table1[[#This Row],[Date]])</f>
        <v>9</v>
      </c>
    </row>
    <row r="1188" spans="1:16" x14ac:dyDescent="0.25">
      <c r="A1188" t="s">
        <v>1207</v>
      </c>
      <c r="B1188" t="s">
        <v>21</v>
      </c>
      <c r="C1188" t="s">
        <v>12</v>
      </c>
      <c r="D1188" s="1">
        <v>45691</v>
      </c>
      <c r="E1188">
        <v>107300</v>
      </c>
      <c r="F1188">
        <v>4083</v>
      </c>
      <c r="G1188">
        <v>225</v>
      </c>
      <c r="H1188" s="4">
        <v>1083.52</v>
      </c>
      <c r="I1188" s="4">
        <v>8100.07</v>
      </c>
      <c r="J1188" s="7">
        <f>Table1[[#This Row],[Clicks]]/Table1[[#This Row],[Impressions]]</f>
        <v>3.8052190121155641E-2</v>
      </c>
      <c r="K1188" s="7">
        <f>IFERROR(Table1[[#This Row],[Conversions]]/Table1[[#This Row],[Clicks]],0)</f>
        <v>5.5106539309331376E-2</v>
      </c>
      <c r="L1188" s="6">
        <f>IF(Table1[[#This Row],[Conversions]]=0,0,Table1[[#This Row],[Ad Spend]]/Table1[[#This Row],[Conversions]])</f>
        <v>4.8156444444444446</v>
      </c>
      <c r="M1188" s="8">
        <f>IF(Table1[[#This Row],[Ad Spend]]=0,0,Table1[[#This Row],[Revenue]]/Table1[[#This Row],[Ad Spend]])</f>
        <v>7.4756995717660955</v>
      </c>
      <c r="N1188">
        <f>YEAR(Table1[[#This Row],[Date]])</f>
        <v>2025</v>
      </c>
      <c r="O1188" t="str">
        <f>TEXT(Table1[[#This Row],[Date]],"mmm")</f>
        <v>Feb</v>
      </c>
      <c r="P1188">
        <f>MONTH(Table1[[#This Row],[Date]])</f>
        <v>2</v>
      </c>
    </row>
    <row r="1189" spans="1:16" x14ac:dyDescent="0.25">
      <c r="A1189" t="s">
        <v>1208</v>
      </c>
      <c r="B1189" t="s">
        <v>14</v>
      </c>
      <c r="C1189" t="s">
        <v>12</v>
      </c>
      <c r="D1189" s="1">
        <v>45648</v>
      </c>
      <c r="E1189">
        <v>7322</v>
      </c>
      <c r="F1189">
        <v>523</v>
      </c>
      <c r="G1189">
        <v>64</v>
      </c>
      <c r="H1189" s="4">
        <v>2386.12</v>
      </c>
      <c r="I1189" s="4">
        <v>5809.63</v>
      </c>
      <c r="J1189" s="7">
        <f>Table1[[#This Row],[Clicks]]/Table1[[#This Row],[Impressions]]</f>
        <v>7.1428571428571425E-2</v>
      </c>
      <c r="K1189" s="7">
        <f>IFERROR(Table1[[#This Row],[Conversions]]/Table1[[#This Row],[Clicks]],0)</f>
        <v>0.12237093690248566</v>
      </c>
      <c r="L1189" s="6">
        <f>IF(Table1[[#This Row],[Conversions]]=0,0,Table1[[#This Row],[Ad Spend]]/Table1[[#This Row],[Conversions]])</f>
        <v>37.283124999999998</v>
      </c>
      <c r="M1189" s="8">
        <f>IF(Table1[[#This Row],[Ad Spend]]=0,0,Table1[[#This Row],[Revenue]]/Table1[[#This Row],[Ad Spend]])</f>
        <v>2.4347601964695826</v>
      </c>
      <c r="N1189">
        <f>YEAR(Table1[[#This Row],[Date]])</f>
        <v>2024</v>
      </c>
      <c r="O1189" t="str">
        <f>TEXT(Table1[[#This Row],[Date]],"mmm")</f>
        <v>Dec</v>
      </c>
      <c r="P1189">
        <f>MONTH(Table1[[#This Row],[Date]])</f>
        <v>12</v>
      </c>
    </row>
    <row r="1190" spans="1:16" x14ac:dyDescent="0.25">
      <c r="A1190" t="s">
        <v>1209</v>
      </c>
      <c r="B1190" t="s">
        <v>34</v>
      </c>
      <c r="C1190" t="s">
        <v>19</v>
      </c>
      <c r="D1190" s="1">
        <v>45404</v>
      </c>
      <c r="E1190">
        <v>82689</v>
      </c>
      <c r="F1190">
        <v>4926</v>
      </c>
      <c r="G1190">
        <v>452</v>
      </c>
      <c r="H1190" s="4">
        <v>1021.32</v>
      </c>
      <c r="I1190" s="4">
        <v>11101.68</v>
      </c>
      <c r="J1190" s="7">
        <f>Table1[[#This Row],[Clicks]]/Table1[[#This Row],[Impressions]]</f>
        <v>5.9572615462758043E-2</v>
      </c>
      <c r="K1190" s="7">
        <f>IFERROR(Table1[[#This Row],[Conversions]]/Table1[[#This Row],[Clicks]],0)</f>
        <v>9.1758018676410882E-2</v>
      </c>
      <c r="L1190" s="6">
        <f>IF(Table1[[#This Row],[Conversions]]=0,0,Table1[[#This Row],[Ad Spend]]/Table1[[#This Row],[Conversions]])</f>
        <v>2.2595575221238939</v>
      </c>
      <c r="M1190" s="8">
        <f>IF(Table1[[#This Row],[Ad Spend]]=0,0,Table1[[#This Row],[Revenue]]/Table1[[#This Row],[Ad Spend]])</f>
        <v>10.869933027846317</v>
      </c>
      <c r="N1190">
        <f>YEAR(Table1[[#This Row],[Date]])</f>
        <v>2024</v>
      </c>
      <c r="O1190" t="str">
        <f>TEXT(Table1[[#This Row],[Date]],"mmm")</f>
        <v>Apr</v>
      </c>
      <c r="P1190">
        <f>MONTH(Table1[[#This Row],[Date]])</f>
        <v>4</v>
      </c>
    </row>
    <row r="1191" spans="1:16" x14ac:dyDescent="0.25">
      <c r="A1191" t="s">
        <v>1210</v>
      </c>
      <c r="B1191" t="s">
        <v>14</v>
      </c>
      <c r="C1191" t="s">
        <v>19</v>
      </c>
      <c r="D1191" s="1">
        <v>45312</v>
      </c>
      <c r="E1191">
        <v>43833</v>
      </c>
      <c r="F1191">
        <v>3328</v>
      </c>
      <c r="G1191">
        <v>186</v>
      </c>
      <c r="H1191" s="4">
        <v>838.26</v>
      </c>
      <c r="I1191" s="4">
        <v>19964.919999999998</v>
      </c>
      <c r="J1191" s="7">
        <f>Table1[[#This Row],[Clicks]]/Table1[[#This Row],[Impressions]]</f>
        <v>7.5924531745488563E-2</v>
      </c>
      <c r="K1191" s="7">
        <f>IFERROR(Table1[[#This Row],[Conversions]]/Table1[[#This Row],[Clicks]],0)</f>
        <v>5.588942307692308E-2</v>
      </c>
      <c r="L1191" s="6">
        <f>IF(Table1[[#This Row],[Conversions]]=0,0,Table1[[#This Row],[Ad Spend]]/Table1[[#This Row],[Conversions]])</f>
        <v>4.5067741935483872</v>
      </c>
      <c r="M1191" s="8">
        <f>IF(Table1[[#This Row],[Ad Spend]]=0,0,Table1[[#This Row],[Revenue]]/Table1[[#This Row],[Ad Spend]])</f>
        <v>23.817097320640372</v>
      </c>
      <c r="N1191">
        <f>YEAR(Table1[[#This Row],[Date]])</f>
        <v>2024</v>
      </c>
      <c r="O1191" t="str">
        <f>TEXT(Table1[[#This Row],[Date]],"mmm")</f>
        <v>Jan</v>
      </c>
      <c r="P1191">
        <f>MONTH(Table1[[#This Row],[Date]])</f>
        <v>1</v>
      </c>
    </row>
    <row r="1192" spans="1:16" x14ac:dyDescent="0.25">
      <c r="A1192" t="s">
        <v>1211</v>
      </c>
      <c r="B1192" t="s">
        <v>31</v>
      </c>
      <c r="C1192" t="s">
        <v>37</v>
      </c>
      <c r="D1192" s="1">
        <v>45713</v>
      </c>
      <c r="E1192">
        <v>60043</v>
      </c>
      <c r="F1192">
        <v>2847</v>
      </c>
      <c r="G1192">
        <v>57</v>
      </c>
      <c r="H1192" s="4">
        <v>1867.82</v>
      </c>
      <c r="I1192" s="4">
        <v>4589.41</v>
      </c>
      <c r="J1192" s="7">
        <f>Table1[[#This Row],[Clicks]]/Table1[[#This Row],[Impressions]]</f>
        <v>4.7416018520060624E-2</v>
      </c>
      <c r="K1192" s="7">
        <f>IFERROR(Table1[[#This Row],[Conversions]]/Table1[[#This Row],[Clicks]],0)</f>
        <v>2.0021074815595362E-2</v>
      </c>
      <c r="L1192" s="6">
        <f>IF(Table1[[#This Row],[Conversions]]=0,0,Table1[[#This Row],[Ad Spend]]/Table1[[#This Row],[Conversions]])</f>
        <v>32.76877192982456</v>
      </c>
      <c r="M1192" s="8">
        <f>IF(Table1[[#This Row],[Ad Spend]]=0,0,Table1[[#This Row],[Revenue]]/Table1[[#This Row],[Ad Spend]])</f>
        <v>2.4570943666948635</v>
      </c>
      <c r="N1192">
        <f>YEAR(Table1[[#This Row],[Date]])</f>
        <v>2025</v>
      </c>
      <c r="O1192" t="str">
        <f>TEXT(Table1[[#This Row],[Date]],"mmm")</f>
        <v>Feb</v>
      </c>
      <c r="P1192">
        <f>MONTH(Table1[[#This Row],[Date]])</f>
        <v>2</v>
      </c>
    </row>
    <row r="1193" spans="1:16" x14ac:dyDescent="0.25">
      <c r="A1193" t="s">
        <v>1212</v>
      </c>
      <c r="B1193" t="s">
        <v>47</v>
      </c>
      <c r="C1193" t="s">
        <v>19</v>
      </c>
      <c r="D1193" s="1">
        <v>45334</v>
      </c>
      <c r="E1193">
        <v>148989</v>
      </c>
      <c r="F1193">
        <v>4243</v>
      </c>
      <c r="G1193">
        <v>158</v>
      </c>
      <c r="H1193" s="4">
        <v>4512.01</v>
      </c>
      <c r="I1193" s="4">
        <v>7819.35</v>
      </c>
      <c r="J1193" s="7">
        <f>Table1[[#This Row],[Clicks]]/Table1[[#This Row],[Impressions]]</f>
        <v>2.8478612515017886E-2</v>
      </c>
      <c r="K1193" s="7">
        <f>IFERROR(Table1[[#This Row],[Conversions]]/Table1[[#This Row],[Clicks]],0)</f>
        <v>3.7237803440961587E-2</v>
      </c>
      <c r="L1193" s="6">
        <f>IF(Table1[[#This Row],[Conversions]]=0,0,Table1[[#This Row],[Ad Spend]]/Table1[[#This Row],[Conversions]])</f>
        <v>28.557025316455697</v>
      </c>
      <c r="M1193" s="8">
        <f>IF(Table1[[#This Row],[Ad Spend]]=0,0,Table1[[#This Row],[Revenue]]/Table1[[#This Row],[Ad Spend]])</f>
        <v>1.7330081271982996</v>
      </c>
      <c r="N1193">
        <f>YEAR(Table1[[#This Row],[Date]])</f>
        <v>2024</v>
      </c>
      <c r="O1193" t="str">
        <f>TEXT(Table1[[#This Row],[Date]],"mmm")</f>
        <v>Feb</v>
      </c>
      <c r="P1193">
        <f>MONTH(Table1[[#This Row],[Date]])</f>
        <v>2</v>
      </c>
    </row>
    <row r="1194" spans="1:16" x14ac:dyDescent="0.25">
      <c r="A1194" t="s">
        <v>1213</v>
      </c>
      <c r="B1194" t="s">
        <v>31</v>
      </c>
      <c r="C1194" t="s">
        <v>10</v>
      </c>
      <c r="D1194" s="1">
        <v>45713</v>
      </c>
      <c r="E1194">
        <v>98187</v>
      </c>
      <c r="F1194">
        <v>2488</v>
      </c>
      <c r="G1194">
        <v>361</v>
      </c>
      <c r="H1194" s="4">
        <v>1048.33</v>
      </c>
      <c r="I1194" s="4">
        <v>42294.93</v>
      </c>
      <c r="J1194" s="7">
        <f>Table1[[#This Row],[Clicks]]/Table1[[#This Row],[Impressions]]</f>
        <v>2.5339403383339953E-2</v>
      </c>
      <c r="K1194" s="7">
        <f>IFERROR(Table1[[#This Row],[Conversions]]/Table1[[#This Row],[Clicks]],0)</f>
        <v>0.14509646302250803</v>
      </c>
      <c r="L1194" s="6">
        <f>IF(Table1[[#This Row],[Conversions]]=0,0,Table1[[#This Row],[Ad Spend]]/Table1[[#This Row],[Conversions]])</f>
        <v>2.9039612188365651</v>
      </c>
      <c r="M1194" s="8">
        <f>IF(Table1[[#This Row],[Ad Spend]]=0,0,Table1[[#This Row],[Revenue]]/Table1[[#This Row],[Ad Spend]])</f>
        <v>40.345053561378577</v>
      </c>
      <c r="N1194">
        <f>YEAR(Table1[[#This Row],[Date]])</f>
        <v>2025</v>
      </c>
      <c r="O1194" t="str">
        <f>TEXT(Table1[[#This Row],[Date]],"mmm")</f>
        <v>Feb</v>
      </c>
      <c r="P1194">
        <f>MONTH(Table1[[#This Row],[Date]])</f>
        <v>2</v>
      </c>
    </row>
    <row r="1195" spans="1:16" x14ac:dyDescent="0.25">
      <c r="A1195" t="s">
        <v>1214</v>
      </c>
      <c r="B1195" t="s">
        <v>9</v>
      </c>
      <c r="C1195" t="s">
        <v>17</v>
      </c>
      <c r="D1195" s="1">
        <v>45626</v>
      </c>
      <c r="E1195">
        <v>72461</v>
      </c>
      <c r="F1195">
        <v>5137</v>
      </c>
      <c r="G1195">
        <v>526</v>
      </c>
      <c r="H1195" s="4">
        <v>2844.21</v>
      </c>
      <c r="I1195" s="4">
        <v>53486.15</v>
      </c>
      <c r="J1195" s="7">
        <f>Table1[[#This Row],[Clicks]]/Table1[[#This Row],[Impressions]]</f>
        <v>7.0893308124370349E-2</v>
      </c>
      <c r="K1195" s="7">
        <f>IFERROR(Table1[[#This Row],[Conversions]]/Table1[[#This Row],[Clicks]],0)</f>
        <v>0.10239439361495035</v>
      </c>
      <c r="L1195" s="6">
        <f>IF(Table1[[#This Row],[Conversions]]=0,0,Table1[[#This Row],[Ad Spend]]/Table1[[#This Row],[Conversions]])</f>
        <v>5.407243346007605</v>
      </c>
      <c r="M1195" s="8">
        <f>IF(Table1[[#This Row],[Ad Spend]]=0,0,Table1[[#This Row],[Revenue]]/Table1[[#This Row],[Ad Spend]])</f>
        <v>18.805274575365392</v>
      </c>
      <c r="N1195">
        <f>YEAR(Table1[[#This Row],[Date]])</f>
        <v>2024</v>
      </c>
      <c r="O1195" t="str">
        <f>TEXT(Table1[[#This Row],[Date]],"mmm")</f>
        <v>Nov</v>
      </c>
      <c r="P1195">
        <f>MONTH(Table1[[#This Row],[Date]])</f>
        <v>11</v>
      </c>
    </row>
    <row r="1196" spans="1:16" x14ac:dyDescent="0.25">
      <c r="A1196" t="s">
        <v>1215</v>
      </c>
      <c r="B1196" t="s">
        <v>14</v>
      </c>
      <c r="C1196" t="s">
        <v>19</v>
      </c>
      <c r="D1196" s="1">
        <v>45429</v>
      </c>
      <c r="E1196">
        <v>58456</v>
      </c>
      <c r="F1196">
        <v>2964</v>
      </c>
      <c r="G1196">
        <v>370</v>
      </c>
      <c r="H1196" s="4">
        <v>3813.91</v>
      </c>
      <c r="I1196" s="4">
        <v>13158.73</v>
      </c>
      <c r="J1196" s="7">
        <f>Table1[[#This Row],[Clicks]]/Table1[[#This Row],[Impressions]]</f>
        <v>5.0704803612973859E-2</v>
      </c>
      <c r="K1196" s="7">
        <f>IFERROR(Table1[[#This Row],[Conversions]]/Table1[[#This Row],[Clicks]],0)</f>
        <v>0.12483130904183536</v>
      </c>
      <c r="L1196" s="6">
        <f>IF(Table1[[#This Row],[Conversions]]=0,0,Table1[[#This Row],[Ad Spend]]/Table1[[#This Row],[Conversions]])</f>
        <v>10.307864864864865</v>
      </c>
      <c r="M1196" s="8">
        <f>IF(Table1[[#This Row],[Ad Spend]]=0,0,Table1[[#This Row],[Revenue]]/Table1[[#This Row],[Ad Spend]])</f>
        <v>3.4501941577016764</v>
      </c>
      <c r="N1196">
        <f>YEAR(Table1[[#This Row],[Date]])</f>
        <v>2024</v>
      </c>
      <c r="O1196" t="str">
        <f>TEXT(Table1[[#This Row],[Date]],"mmm")</f>
        <v>May</v>
      </c>
      <c r="P1196">
        <f>MONTH(Table1[[#This Row],[Date]])</f>
        <v>5</v>
      </c>
    </row>
    <row r="1197" spans="1:16" x14ac:dyDescent="0.25">
      <c r="A1197" t="s">
        <v>1216</v>
      </c>
      <c r="B1197" t="s">
        <v>14</v>
      </c>
      <c r="C1197" t="s">
        <v>17</v>
      </c>
      <c r="D1197" s="1">
        <v>45480</v>
      </c>
      <c r="E1197">
        <v>43884</v>
      </c>
      <c r="F1197">
        <v>3210</v>
      </c>
      <c r="G1197">
        <v>103</v>
      </c>
      <c r="H1197" s="4">
        <v>1071.27</v>
      </c>
      <c r="I1197" s="4">
        <v>3965.79</v>
      </c>
      <c r="J1197" s="7">
        <f>Table1[[#This Row],[Clicks]]/Table1[[#This Row],[Impressions]]</f>
        <v>7.3147388569866009E-2</v>
      </c>
      <c r="K1197" s="7">
        <f>IFERROR(Table1[[#This Row],[Conversions]]/Table1[[#This Row],[Clicks]],0)</f>
        <v>3.2087227414330219E-2</v>
      </c>
      <c r="L1197" s="6">
        <f>IF(Table1[[#This Row],[Conversions]]=0,0,Table1[[#This Row],[Ad Spend]]/Table1[[#This Row],[Conversions]])</f>
        <v>10.400679611650485</v>
      </c>
      <c r="M1197" s="8">
        <f>IF(Table1[[#This Row],[Ad Spend]]=0,0,Table1[[#This Row],[Revenue]]/Table1[[#This Row],[Ad Spend]])</f>
        <v>3.7019518888795542</v>
      </c>
      <c r="N1197">
        <f>YEAR(Table1[[#This Row],[Date]])</f>
        <v>2024</v>
      </c>
      <c r="O1197" t="str">
        <f>TEXT(Table1[[#This Row],[Date]],"mmm")</f>
        <v>Jul</v>
      </c>
      <c r="P1197">
        <f>MONTH(Table1[[#This Row],[Date]])</f>
        <v>7</v>
      </c>
    </row>
    <row r="1198" spans="1:16" x14ac:dyDescent="0.25">
      <c r="A1198" t="s">
        <v>1217</v>
      </c>
      <c r="B1198" t="s">
        <v>16</v>
      </c>
      <c r="C1198" t="s">
        <v>37</v>
      </c>
      <c r="D1198" s="1">
        <v>45583</v>
      </c>
      <c r="E1198">
        <v>133586</v>
      </c>
      <c r="F1198">
        <v>10157</v>
      </c>
      <c r="G1198">
        <v>441</v>
      </c>
      <c r="H1198" s="4">
        <v>1553.81</v>
      </c>
      <c r="I1198" s="4">
        <v>22498.07</v>
      </c>
      <c r="J1198" s="7">
        <f>Table1[[#This Row],[Clicks]]/Table1[[#This Row],[Impressions]]</f>
        <v>7.6033416675400117E-2</v>
      </c>
      <c r="K1198" s="7">
        <f>IFERROR(Table1[[#This Row],[Conversions]]/Table1[[#This Row],[Clicks]],0)</f>
        <v>4.3418332184700204E-2</v>
      </c>
      <c r="L1198" s="6">
        <f>IF(Table1[[#This Row],[Conversions]]=0,0,Table1[[#This Row],[Ad Spend]]/Table1[[#This Row],[Conversions]])</f>
        <v>3.5233786848072559</v>
      </c>
      <c r="M1198" s="8">
        <f>IF(Table1[[#This Row],[Ad Spend]]=0,0,Table1[[#This Row],[Revenue]]/Table1[[#This Row],[Ad Spend]])</f>
        <v>14.479292835031311</v>
      </c>
      <c r="N1198">
        <f>YEAR(Table1[[#This Row],[Date]])</f>
        <v>2024</v>
      </c>
      <c r="O1198" t="str">
        <f>TEXT(Table1[[#This Row],[Date]],"mmm")</f>
        <v>Oct</v>
      </c>
      <c r="P1198">
        <f>MONTH(Table1[[#This Row],[Date]])</f>
        <v>10</v>
      </c>
    </row>
    <row r="1199" spans="1:16" x14ac:dyDescent="0.25">
      <c r="A1199" t="s">
        <v>1218</v>
      </c>
      <c r="B1199" t="s">
        <v>16</v>
      </c>
      <c r="C1199" t="s">
        <v>17</v>
      </c>
      <c r="D1199" s="1">
        <v>45643</v>
      </c>
      <c r="E1199">
        <v>54243</v>
      </c>
      <c r="F1199">
        <v>806</v>
      </c>
      <c r="G1199">
        <v>23</v>
      </c>
      <c r="H1199" s="4">
        <v>1377.22</v>
      </c>
      <c r="I1199" s="4">
        <v>2551</v>
      </c>
      <c r="J1199" s="7">
        <f>Table1[[#This Row],[Clicks]]/Table1[[#This Row],[Impressions]]</f>
        <v>1.4859060155227402E-2</v>
      </c>
      <c r="K1199" s="7">
        <f>IFERROR(Table1[[#This Row],[Conversions]]/Table1[[#This Row],[Clicks]],0)</f>
        <v>2.8535980148883373E-2</v>
      </c>
      <c r="L1199" s="6">
        <f>IF(Table1[[#This Row],[Conversions]]=0,0,Table1[[#This Row],[Ad Spend]]/Table1[[#This Row],[Conversions]])</f>
        <v>59.87913043478261</v>
      </c>
      <c r="M1199" s="8">
        <f>IF(Table1[[#This Row],[Ad Spend]]=0,0,Table1[[#This Row],[Revenue]]/Table1[[#This Row],[Ad Spend]])</f>
        <v>1.8522821335734305</v>
      </c>
      <c r="N1199">
        <f>YEAR(Table1[[#This Row],[Date]])</f>
        <v>2024</v>
      </c>
      <c r="O1199" t="str">
        <f>TEXT(Table1[[#This Row],[Date]],"mmm")</f>
        <v>Dec</v>
      </c>
      <c r="P1199">
        <f>MONTH(Table1[[#This Row],[Date]])</f>
        <v>12</v>
      </c>
    </row>
    <row r="1200" spans="1:16" x14ac:dyDescent="0.25">
      <c r="A1200" t="s">
        <v>1219</v>
      </c>
      <c r="B1200" t="s">
        <v>21</v>
      </c>
      <c r="C1200" t="s">
        <v>10</v>
      </c>
      <c r="D1200" s="1">
        <v>45662</v>
      </c>
      <c r="E1200">
        <v>143091</v>
      </c>
      <c r="F1200">
        <v>2806</v>
      </c>
      <c r="G1200">
        <v>329</v>
      </c>
      <c r="H1200" s="4">
        <v>256.58</v>
      </c>
      <c r="I1200" s="4">
        <v>9861.1200000000008</v>
      </c>
      <c r="J1200" s="7">
        <f>Table1[[#This Row],[Clicks]]/Table1[[#This Row],[Impressions]]</f>
        <v>1.9609898595998352E-2</v>
      </c>
      <c r="K1200" s="7">
        <f>IFERROR(Table1[[#This Row],[Conversions]]/Table1[[#This Row],[Clicks]],0)</f>
        <v>0.1172487526728439</v>
      </c>
      <c r="L1200" s="6">
        <f>IF(Table1[[#This Row],[Conversions]]=0,0,Table1[[#This Row],[Ad Spend]]/Table1[[#This Row],[Conversions]])</f>
        <v>0.77987841945288749</v>
      </c>
      <c r="M1200" s="8">
        <f>IF(Table1[[#This Row],[Ad Spend]]=0,0,Table1[[#This Row],[Revenue]]/Table1[[#This Row],[Ad Spend]])</f>
        <v>38.432925403382967</v>
      </c>
      <c r="N1200">
        <f>YEAR(Table1[[#This Row],[Date]])</f>
        <v>2025</v>
      </c>
      <c r="O1200" t="str">
        <f>TEXT(Table1[[#This Row],[Date]],"mmm")</f>
        <v>Jan</v>
      </c>
      <c r="P1200">
        <f>MONTH(Table1[[#This Row],[Date]])</f>
        <v>1</v>
      </c>
    </row>
    <row r="1201" spans="1:16" x14ac:dyDescent="0.25">
      <c r="A1201" t="s">
        <v>1220</v>
      </c>
      <c r="B1201" t="s">
        <v>21</v>
      </c>
      <c r="C1201" t="s">
        <v>10</v>
      </c>
      <c r="D1201" s="1">
        <v>45348</v>
      </c>
      <c r="E1201">
        <v>8552</v>
      </c>
      <c r="F1201">
        <v>542</v>
      </c>
      <c r="G1201">
        <v>56</v>
      </c>
      <c r="H1201" s="4">
        <v>409.95</v>
      </c>
      <c r="I1201" s="4">
        <v>2510.7199999999998</v>
      </c>
      <c r="J1201" s="7">
        <f>Table1[[#This Row],[Clicks]]/Table1[[#This Row],[Impressions]]</f>
        <v>6.3376987839101964E-2</v>
      </c>
      <c r="K1201" s="7">
        <f>IFERROR(Table1[[#This Row],[Conversions]]/Table1[[#This Row],[Clicks]],0)</f>
        <v>0.10332103321033211</v>
      </c>
      <c r="L1201" s="6">
        <f>IF(Table1[[#This Row],[Conversions]]=0,0,Table1[[#This Row],[Ad Spend]]/Table1[[#This Row],[Conversions]])</f>
        <v>7.3205357142857137</v>
      </c>
      <c r="M1201" s="8">
        <f>IF(Table1[[#This Row],[Ad Spend]]=0,0,Table1[[#This Row],[Revenue]]/Table1[[#This Row],[Ad Spend]])</f>
        <v>6.1244542017319183</v>
      </c>
      <c r="N1201">
        <f>YEAR(Table1[[#This Row],[Date]])</f>
        <v>2024</v>
      </c>
      <c r="O1201" t="str">
        <f>TEXT(Table1[[#This Row],[Date]],"mmm")</f>
        <v>Feb</v>
      </c>
      <c r="P1201">
        <f>MONTH(Table1[[#This Row],[Date]])</f>
        <v>2</v>
      </c>
    </row>
    <row r="1202" spans="1:16" x14ac:dyDescent="0.25">
      <c r="A1202" t="s">
        <v>1221</v>
      </c>
      <c r="B1202" t="s">
        <v>9</v>
      </c>
      <c r="C1202" t="s">
        <v>19</v>
      </c>
      <c r="D1202" s="1">
        <v>45365</v>
      </c>
      <c r="E1202">
        <v>8538</v>
      </c>
      <c r="F1202">
        <v>558</v>
      </c>
      <c r="G1202">
        <v>11</v>
      </c>
      <c r="H1202" s="4">
        <v>3999.97</v>
      </c>
      <c r="I1202" s="4">
        <v>816.61</v>
      </c>
      <c r="J1202" s="7">
        <f>Table1[[#This Row],[Clicks]]/Table1[[#This Row],[Impressions]]</f>
        <v>6.535488404778636E-2</v>
      </c>
      <c r="K1202" s="7">
        <f>IFERROR(Table1[[#This Row],[Conversions]]/Table1[[#This Row],[Clicks]],0)</f>
        <v>1.9713261648745518E-2</v>
      </c>
      <c r="L1202" s="6">
        <f>IF(Table1[[#This Row],[Conversions]]=0,0,Table1[[#This Row],[Ad Spend]]/Table1[[#This Row],[Conversions]])</f>
        <v>363.63363636363636</v>
      </c>
      <c r="M1202" s="8">
        <f>IF(Table1[[#This Row],[Ad Spend]]=0,0,Table1[[#This Row],[Revenue]]/Table1[[#This Row],[Ad Spend]])</f>
        <v>0.20415403115523367</v>
      </c>
      <c r="N1202">
        <f>YEAR(Table1[[#This Row],[Date]])</f>
        <v>2024</v>
      </c>
      <c r="O1202" t="str">
        <f>TEXT(Table1[[#This Row],[Date]],"mmm")</f>
        <v>Mar</v>
      </c>
      <c r="P1202">
        <f>MONTH(Table1[[#This Row],[Date]])</f>
        <v>3</v>
      </c>
    </row>
    <row r="1203" spans="1:16" x14ac:dyDescent="0.25">
      <c r="A1203" t="s">
        <v>1222</v>
      </c>
      <c r="B1203" t="s">
        <v>47</v>
      </c>
      <c r="C1203" t="s">
        <v>10</v>
      </c>
      <c r="D1203" s="1">
        <v>45395</v>
      </c>
      <c r="E1203">
        <v>41498</v>
      </c>
      <c r="F1203">
        <v>1810</v>
      </c>
      <c r="G1203">
        <v>168</v>
      </c>
      <c r="H1203" s="4">
        <v>2332.77</v>
      </c>
      <c r="I1203" s="4">
        <v>6100.83</v>
      </c>
      <c r="J1203" s="7">
        <f>Table1[[#This Row],[Clicks]]/Table1[[#This Row],[Impressions]]</f>
        <v>4.3616559834208875E-2</v>
      </c>
      <c r="K1203" s="7">
        <f>IFERROR(Table1[[#This Row],[Conversions]]/Table1[[#This Row],[Clicks]],0)</f>
        <v>9.2817679558011054E-2</v>
      </c>
      <c r="L1203" s="6">
        <f>IF(Table1[[#This Row],[Conversions]]=0,0,Table1[[#This Row],[Ad Spend]]/Table1[[#This Row],[Conversions]])</f>
        <v>13.885535714285714</v>
      </c>
      <c r="M1203" s="8">
        <f>IF(Table1[[#This Row],[Ad Spend]]=0,0,Table1[[#This Row],[Revenue]]/Table1[[#This Row],[Ad Spend]])</f>
        <v>2.6152728301547086</v>
      </c>
      <c r="N1203">
        <f>YEAR(Table1[[#This Row],[Date]])</f>
        <v>2024</v>
      </c>
      <c r="O1203" t="str">
        <f>TEXT(Table1[[#This Row],[Date]],"mmm")</f>
        <v>Apr</v>
      </c>
      <c r="P1203">
        <f>MONTH(Table1[[#This Row],[Date]])</f>
        <v>4</v>
      </c>
    </row>
    <row r="1204" spans="1:16" x14ac:dyDescent="0.25">
      <c r="A1204" t="s">
        <v>1223</v>
      </c>
      <c r="B1204" t="s">
        <v>47</v>
      </c>
      <c r="C1204" t="s">
        <v>17</v>
      </c>
      <c r="D1204" s="1">
        <v>45371</v>
      </c>
      <c r="E1204">
        <v>68913</v>
      </c>
      <c r="F1204">
        <v>958</v>
      </c>
      <c r="G1204">
        <v>105</v>
      </c>
      <c r="H1204" s="4">
        <v>3211.93</v>
      </c>
      <c r="I1204" s="4">
        <v>3392.29</v>
      </c>
      <c r="J1204" s="7">
        <f>Table1[[#This Row],[Clicks]]/Table1[[#This Row],[Impressions]]</f>
        <v>1.3901586057783001E-2</v>
      </c>
      <c r="K1204" s="7">
        <f>IFERROR(Table1[[#This Row],[Conversions]]/Table1[[#This Row],[Clicks]],0)</f>
        <v>0.10960334029227557</v>
      </c>
      <c r="L1204" s="6">
        <f>IF(Table1[[#This Row],[Conversions]]=0,0,Table1[[#This Row],[Ad Spend]]/Table1[[#This Row],[Conversions]])</f>
        <v>30.589809523809521</v>
      </c>
      <c r="M1204" s="8">
        <f>IF(Table1[[#This Row],[Ad Spend]]=0,0,Table1[[#This Row],[Revenue]]/Table1[[#This Row],[Ad Spend]])</f>
        <v>1.0561531540226594</v>
      </c>
      <c r="N1204">
        <f>YEAR(Table1[[#This Row],[Date]])</f>
        <v>2024</v>
      </c>
      <c r="O1204" t="str">
        <f>TEXT(Table1[[#This Row],[Date]],"mmm")</f>
        <v>Mar</v>
      </c>
      <c r="P1204">
        <f>MONTH(Table1[[#This Row],[Date]])</f>
        <v>3</v>
      </c>
    </row>
    <row r="1205" spans="1:16" x14ac:dyDescent="0.25">
      <c r="A1205" t="s">
        <v>1224</v>
      </c>
      <c r="B1205" t="s">
        <v>31</v>
      </c>
      <c r="C1205" t="s">
        <v>10</v>
      </c>
      <c r="D1205" s="1">
        <v>45570</v>
      </c>
      <c r="E1205">
        <v>82788</v>
      </c>
      <c r="F1205">
        <v>1422</v>
      </c>
      <c r="G1205">
        <v>192</v>
      </c>
      <c r="H1205" s="4">
        <v>2193.37</v>
      </c>
      <c r="I1205" s="4">
        <v>3863.24</v>
      </c>
      <c r="J1205" s="7">
        <f>Table1[[#This Row],[Clicks]]/Table1[[#This Row],[Impressions]]</f>
        <v>1.7176402377156109E-2</v>
      </c>
      <c r="K1205" s="7">
        <f>IFERROR(Table1[[#This Row],[Conversions]]/Table1[[#This Row],[Clicks]],0)</f>
        <v>0.13502109704641349</v>
      </c>
      <c r="L1205" s="6">
        <f>IF(Table1[[#This Row],[Conversions]]=0,0,Table1[[#This Row],[Ad Spend]]/Table1[[#This Row],[Conversions]])</f>
        <v>11.423802083333333</v>
      </c>
      <c r="M1205" s="8">
        <f>IF(Table1[[#This Row],[Ad Spend]]=0,0,Table1[[#This Row],[Revenue]]/Table1[[#This Row],[Ad Spend]])</f>
        <v>1.7613261784377465</v>
      </c>
      <c r="N1205">
        <f>YEAR(Table1[[#This Row],[Date]])</f>
        <v>2024</v>
      </c>
      <c r="O1205" t="str">
        <f>TEXT(Table1[[#This Row],[Date]],"mmm")</f>
        <v>Oct</v>
      </c>
      <c r="P1205">
        <f>MONTH(Table1[[#This Row],[Date]])</f>
        <v>10</v>
      </c>
    </row>
    <row r="1206" spans="1:16" x14ac:dyDescent="0.25">
      <c r="A1206" t="s">
        <v>1225</v>
      </c>
      <c r="B1206" t="s">
        <v>14</v>
      </c>
      <c r="C1206" t="s">
        <v>10</v>
      </c>
      <c r="D1206" s="1">
        <v>45408</v>
      </c>
      <c r="E1206">
        <v>116970</v>
      </c>
      <c r="F1206">
        <v>4325</v>
      </c>
      <c r="G1206">
        <v>285</v>
      </c>
      <c r="H1206" s="4">
        <v>1576.86</v>
      </c>
      <c r="I1206" s="4">
        <v>31968.19</v>
      </c>
      <c r="J1206" s="7">
        <f>Table1[[#This Row],[Clicks]]/Table1[[#This Row],[Impressions]]</f>
        <v>3.6975292810122254E-2</v>
      </c>
      <c r="K1206" s="7">
        <f>IFERROR(Table1[[#This Row],[Conversions]]/Table1[[#This Row],[Clicks]],0)</f>
        <v>6.5895953757225428E-2</v>
      </c>
      <c r="L1206" s="6">
        <f>IF(Table1[[#This Row],[Conversions]]=0,0,Table1[[#This Row],[Ad Spend]]/Table1[[#This Row],[Conversions]])</f>
        <v>5.5328421052631578</v>
      </c>
      <c r="M1206" s="8">
        <f>IF(Table1[[#This Row],[Ad Spend]]=0,0,Table1[[#This Row],[Revenue]]/Table1[[#This Row],[Ad Spend]])</f>
        <v>20.273321664573899</v>
      </c>
      <c r="N1206">
        <f>YEAR(Table1[[#This Row],[Date]])</f>
        <v>2024</v>
      </c>
      <c r="O1206" t="str">
        <f>TEXT(Table1[[#This Row],[Date]],"mmm")</f>
        <v>Apr</v>
      </c>
      <c r="P1206">
        <f>MONTH(Table1[[#This Row],[Date]])</f>
        <v>4</v>
      </c>
    </row>
    <row r="1207" spans="1:16" x14ac:dyDescent="0.25">
      <c r="A1207" t="s">
        <v>1226</v>
      </c>
      <c r="B1207" t="s">
        <v>21</v>
      </c>
      <c r="C1207" t="s">
        <v>10</v>
      </c>
      <c r="D1207" s="1">
        <v>45543</v>
      </c>
      <c r="E1207">
        <v>49448</v>
      </c>
      <c r="F1207">
        <v>3923</v>
      </c>
      <c r="G1207">
        <v>192</v>
      </c>
      <c r="H1207" s="4">
        <v>4791.04</v>
      </c>
      <c r="I1207" s="4">
        <v>9250.83</v>
      </c>
      <c r="J1207" s="7">
        <f>Table1[[#This Row],[Clicks]]/Table1[[#This Row],[Impressions]]</f>
        <v>7.9335867982527106E-2</v>
      </c>
      <c r="K1207" s="7">
        <f>IFERROR(Table1[[#This Row],[Conversions]]/Table1[[#This Row],[Clicks]],0)</f>
        <v>4.8942136120316088E-2</v>
      </c>
      <c r="L1207" s="6">
        <f>IF(Table1[[#This Row],[Conversions]]=0,0,Table1[[#This Row],[Ad Spend]]/Table1[[#This Row],[Conversions]])</f>
        <v>24.953333333333333</v>
      </c>
      <c r="M1207" s="8">
        <f>IF(Table1[[#This Row],[Ad Spend]]=0,0,Table1[[#This Row],[Revenue]]/Table1[[#This Row],[Ad Spend]])</f>
        <v>1.9308605229762223</v>
      </c>
      <c r="N1207">
        <f>YEAR(Table1[[#This Row],[Date]])</f>
        <v>2024</v>
      </c>
      <c r="O1207" t="str">
        <f>TEXT(Table1[[#This Row],[Date]],"mmm")</f>
        <v>Sept</v>
      </c>
      <c r="P1207">
        <f>MONTH(Table1[[#This Row],[Date]])</f>
        <v>9</v>
      </c>
    </row>
    <row r="1208" spans="1:16" x14ac:dyDescent="0.25">
      <c r="A1208" t="s">
        <v>1227</v>
      </c>
      <c r="B1208" t="s">
        <v>9</v>
      </c>
      <c r="C1208" t="s">
        <v>12</v>
      </c>
      <c r="D1208" s="1">
        <v>45462</v>
      </c>
      <c r="E1208">
        <v>36024</v>
      </c>
      <c r="F1208">
        <v>1269</v>
      </c>
      <c r="G1208">
        <v>177</v>
      </c>
      <c r="H1208" s="4">
        <v>607.05999999999995</v>
      </c>
      <c r="I1208" s="4">
        <v>4307.24</v>
      </c>
      <c r="J1208" s="7">
        <f>Table1[[#This Row],[Clicks]]/Table1[[#This Row],[Impressions]]</f>
        <v>3.5226515656229182E-2</v>
      </c>
      <c r="K1208" s="7">
        <f>IFERROR(Table1[[#This Row],[Conversions]]/Table1[[#This Row],[Clicks]],0)</f>
        <v>0.13947990543735225</v>
      </c>
      <c r="L1208" s="6">
        <f>IF(Table1[[#This Row],[Conversions]]=0,0,Table1[[#This Row],[Ad Spend]]/Table1[[#This Row],[Conversions]])</f>
        <v>3.4297175141242935</v>
      </c>
      <c r="M1208" s="8">
        <f>IF(Table1[[#This Row],[Ad Spend]]=0,0,Table1[[#This Row],[Revenue]]/Table1[[#This Row],[Ad Spend]])</f>
        <v>7.0952459394458538</v>
      </c>
      <c r="N1208">
        <f>YEAR(Table1[[#This Row],[Date]])</f>
        <v>2024</v>
      </c>
      <c r="O1208" t="str">
        <f>TEXT(Table1[[#This Row],[Date]],"mmm")</f>
        <v>Jun</v>
      </c>
      <c r="P1208">
        <f>MONTH(Table1[[#This Row],[Date]])</f>
        <v>6</v>
      </c>
    </row>
    <row r="1209" spans="1:16" x14ac:dyDescent="0.25">
      <c r="A1209" t="s">
        <v>1228</v>
      </c>
      <c r="B1209" t="s">
        <v>16</v>
      </c>
      <c r="C1209" t="s">
        <v>37</v>
      </c>
      <c r="D1209" s="1">
        <v>45511</v>
      </c>
      <c r="E1209">
        <v>144062</v>
      </c>
      <c r="F1209">
        <v>4817</v>
      </c>
      <c r="G1209">
        <v>209</v>
      </c>
      <c r="H1209" s="4">
        <v>2241.17</v>
      </c>
      <c r="I1209" s="4">
        <v>22846.16</v>
      </c>
      <c r="J1209" s="7">
        <f>Table1[[#This Row],[Clicks]]/Table1[[#This Row],[Impressions]]</f>
        <v>3.3436992406047396E-2</v>
      </c>
      <c r="K1209" s="7">
        <f>IFERROR(Table1[[#This Row],[Conversions]]/Table1[[#This Row],[Clicks]],0)</f>
        <v>4.3388000830392362E-2</v>
      </c>
      <c r="L1209" s="6">
        <f>IF(Table1[[#This Row],[Conversions]]=0,0,Table1[[#This Row],[Ad Spend]]/Table1[[#This Row],[Conversions]])</f>
        <v>10.723301435406698</v>
      </c>
      <c r="M1209" s="8">
        <f>IF(Table1[[#This Row],[Ad Spend]]=0,0,Table1[[#This Row],[Revenue]]/Table1[[#This Row],[Ad Spend]])</f>
        <v>10.193854102990848</v>
      </c>
      <c r="N1209">
        <f>YEAR(Table1[[#This Row],[Date]])</f>
        <v>2024</v>
      </c>
      <c r="O1209" t="str">
        <f>TEXT(Table1[[#This Row],[Date]],"mmm")</f>
        <v>Aug</v>
      </c>
      <c r="P1209">
        <f>MONTH(Table1[[#This Row],[Date]])</f>
        <v>8</v>
      </c>
    </row>
    <row r="1210" spans="1:16" x14ac:dyDescent="0.25">
      <c r="A1210" t="s">
        <v>1229</v>
      </c>
      <c r="B1210" t="s">
        <v>34</v>
      </c>
      <c r="C1210" t="s">
        <v>12</v>
      </c>
      <c r="D1210" s="1">
        <v>45710</v>
      </c>
      <c r="E1210">
        <v>80236</v>
      </c>
      <c r="F1210">
        <v>2759</v>
      </c>
      <c r="G1210">
        <v>92</v>
      </c>
      <c r="H1210" s="4">
        <v>4597.92</v>
      </c>
      <c r="I1210" s="4">
        <v>7927.93</v>
      </c>
      <c r="J1210" s="7">
        <f>Table1[[#This Row],[Clicks]]/Table1[[#This Row],[Impressions]]</f>
        <v>3.4386061119696894E-2</v>
      </c>
      <c r="K1210" s="7">
        <f>IFERROR(Table1[[#This Row],[Conversions]]/Table1[[#This Row],[Clicks]],0)</f>
        <v>3.3345415005436752E-2</v>
      </c>
      <c r="L1210" s="6">
        <f>IF(Table1[[#This Row],[Conversions]]=0,0,Table1[[#This Row],[Ad Spend]]/Table1[[#This Row],[Conversions]])</f>
        <v>49.977391304347826</v>
      </c>
      <c r="M1210" s="8">
        <f>IF(Table1[[#This Row],[Ad Spend]]=0,0,Table1[[#This Row],[Revenue]]/Table1[[#This Row],[Ad Spend]])</f>
        <v>1.7242427010474302</v>
      </c>
      <c r="N1210">
        <f>YEAR(Table1[[#This Row],[Date]])</f>
        <v>2025</v>
      </c>
      <c r="O1210" t="str">
        <f>TEXT(Table1[[#This Row],[Date]],"mmm")</f>
        <v>Feb</v>
      </c>
      <c r="P1210">
        <f>MONTH(Table1[[#This Row],[Date]])</f>
        <v>2</v>
      </c>
    </row>
    <row r="1211" spans="1:16" x14ac:dyDescent="0.25">
      <c r="A1211" t="s">
        <v>1230</v>
      </c>
      <c r="B1211" t="s">
        <v>34</v>
      </c>
      <c r="C1211" t="s">
        <v>10</v>
      </c>
      <c r="D1211" s="1">
        <v>45695</v>
      </c>
      <c r="E1211">
        <v>5571</v>
      </c>
      <c r="F1211">
        <v>391</v>
      </c>
      <c r="G1211">
        <v>57</v>
      </c>
      <c r="H1211" s="4">
        <v>3933.36</v>
      </c>
      <c r="I1211" s="4">
        <v>1975.56</v>
      </c>
      <c r="J1211" s="7">
        <f>Table1[[#This Row],[Clicks]]/Table1[[#This Row],[Impressions]]</f>
        <v>7.0184886016873088E-2</v>
      </c>
      <c r="K1211" s="7">
        <f>IFERROR(Table1[[#This Row],[Conversions]]/Table1[[#This Row],[Clicks]],0)</f>
        <v>0.14578005115089515</v>
      </c>
      <c r="L1211" s="6">
        <f>IF(Table1[[#This Row],[Conversions]]=0,0,Table1[[#This Row],[Ad Spend]]/Table1[[#This Row],[Conversions]])</f>
        <v>69.006315789473689</v>
      </c>
      <c r="M1211" s="8">
        <f>IF(Table1[[#This Row],[Ad Spend]]=0,0,Table1[[#This Row],[Revenue]]/Table1[[#This Row],[Ad Spend]])</f>
        <v>0.50225761181280126</v>
      </c>
      <c r="N1211">
        <f>YEAR(Table1[[#This Row],[Date]])</f>
        <v>2025</v>
      </c>
      <c r="O1211" t="str">
        <f>TEXT(Table1[[#This Row],[Date]],"mmm")</f>
        <v>Feb</v>
      </c>
      <c r="P1211">
        <f>MONTH(Table1[[#This Row],[Date]])</f>
        <v>2</v>
      </c>
    </row>
    <row r="1212" spans="1:16" x14ac:dyDescent="0.25">
      <c r="A1212" t="s">
        <v>1231</v>
      </c>
      <c r="B1212" t="s">
        <v>16</v>
      </c>
      <c r="C1212" t="s">
        <v>17</v>
      </c>
      <c r="D1212" s="1">
        <v>45520</v>
      </c>
      <c r="E1212">
        <v>130418</v>
      </c>
      <c r="F1212">
        <v>8741</v>
      </c>
      <c r="G1212">
        <v>303</v>
      </c>
      <c r="H1212" s="4">
        <v>2251.7800000000002</v>
      </c>
      <c r="I1212" s="4">
        <v>28079.24</v>
      </c>
      <c r="J1212" s="7">
        <f>Table1[[#This Row],[Clicks]]/Table1[[#This Row],[Impressions]]</f>
        <v>6.7022956953794718E-2</v>
      </c>
      <c r="K1212" s="7">
        <f>IFERROR(Table1[[#This Row],[Conversions]]/Table1[[#This Row],[Clicks]],0)</f>
        <v>3.4664226061091409E-2</v>
      </c>
      <c r="L1212" s="6">
        <f>IF(Table1[[#This Row],[Conversions]]=0,0,Table1[[#This Row],[Ad Spend]]/Table1[[#This Row],[Conversions]])</f>
        <v>7.4316171617161721</v>
      </c>
      <c r="M1212" s="8">
        <f>IF(Table1[[#This Row],[Ad Spend]]=0,0,Table1[[#This Row],[Revenue]]/Table1[[#This Row],[Ad Spend]])</f>
        <v>12.469797227082575</v>
      </c>
      <c r="N1212">
        <f>YEAR(Table1[[#This Row],[Date]])</f>
        <v>2024</v>
      </c>
      <c r="O1212" t="str">
        <f>TEXT(Table1[[#This Row],[Date]],"mmm")</f>
        <v>Aug</v>
      </c>
      <c r="P1212">
        <f>MONTH(Table1[[#This Row],[Date]])</f>
        <v>8</v>
      </c>
    </row>
    <row r="1213" spans="1:16" x14ac:dyDescent="0.25">
      <c r="A1213" t="s">
        <v>1232</v>
      </c>
      <c r="B1213" t="s">
        <v>16</v>
      </c>
      <c r="C1213" t="s">
        <v>10</v>
      </c>
      <c r="D1213" s="1">
        <v>45457</v>
      </c>
      <c r="E1213">
        <v>38432</v>
      </c>
      <c r="F1213">
        <v>873</v>
      </c>
      <c r="G1213">
        <v>61</v>
      </c>
      <c r="H1213" s="4">
        <v>1732.72</v>
      </c>
      <c r="I1213" s="4">
        <v>3805.38</v>
      </c>
      <c r="J1213" s="7">
        <f>Table1[[#This Row],[Clicks]]/Table1[[#This Row],[Impressions]]</f>
        <v>2.2715445462114903E-2</v>
      </c>
      <c r="K1213" s="7">
        <f>IFERROR(Table1[[#This Row],[Conversions]]/Table1[[#This Row],[Clicks]],0)</f>
        <v>6.9873997709049257E-2</v>
      </c>
      <c r="L1213" s="6">
        <f>IF(Table1[[#This Row],[Conversions]]=0,0,Table1[[#This Row],[Ad Spend]]/Table1[[#This Row],[Conversions]])</f>
        <v>28.405245901639343</v>
      </c>
      <c r="M1213" s="8">
        <f>IF(Table1[[#This Row],[Ad Spend]]=0,0,Table1[[#This Row],[Revenue]]/Table1[[#This Row],[Ad Spend]])</f>
        <v>2.1961886513689461</v>
      </c>
      <c r="N1213">
        <f>YEAR(Table1[[#This Row],[Date]])</f>
        <v>2024</v>
      </c>
      <c r="O1213" t="str">
        <f>TEXT(Table1[[#This Row],[Date]],"mmm")</f>
        <v>Jun</v>
      </c>
      <c r="P1213">
        <f>MONTH(Table1[[#This Row],[Date]])</f>
        <v>6</v>
      </c>
    </row>
    <row r="1214" spans="1:16" x14ac:dyDescent="0.25">
      <c r="A1214" t="s">
        <v>1233</v>
      </c>
      <c r="B1214" t="s">
        <v>21</v>
      </c>
      <c r="C1214" t="s">
        <v>12</v>
      </c>
      <c r="D1214" s="1">
        <v>45698</v>
      </c>
      <c r="E1214">
        <v>92415</v>
      </c>
      <c r="F1214">
        <v>1818</v>
      </c>
      <c r="G1214">
        <v>259</v>
      </c>
      <c r="H1214" s="4">
        <v>4623.7</v>
      </c>
      <c r="I1214" s="4">
        <v>15104.5</v>
      </c>
      <c r="J1214" s="7">
        <f>Table1[[#This Row],[Clicks]]/Table1[[#This Row],[Impressions]]</f>
        <v>1.9672131147540985E-2</v>
      </c>
      <c r="K1214" s="7">
        <f>IFERROR(Table1[[#This Row],[Conversions]]/Table1[[#This Row],[Clicks]],0)</f>
        <v>0.14246424642464248</v>
      </c>
      <c r="L1214" s="6">
        <f>IF(Table1[[#This Row],[Conversions]]=0,0,Table1[[#This Row],[Ad Spend]]/Table1[[#This Row],[Conversions]])</f>
        <v>17.852123552123551</v>
      </c>
      <c r="M1214" s="8">
        <f>IF(Table1[[#This Row],[Ad Spend]]=0,0,Table1[[#This Row],[Revenue]]/Table1[[#This Row],[Ad Spend]])</f>
        <v>3.2667560611631377</v>
      </c>
      <c r="N1214">
        <f>YEAR(Table1[[#This Row],[Date]])</f>
        <v>2025</v>
      </c>
      <c r="O1214" t="str">
        <f>TEXT(Table1[[#This Row],[Date]],"mmm")</f>
        <v>Feb</v>
      </c>
      <c r="P1214">
        <f>MONTH(Table1[[#This Row],[Date]])</f>
        <v>2</v>
      </c>
    </row>
    <row r="1215" spans="1:16" x14ac:dyDescent="0.25">
      <c r="A1215" t="s">
        <v>1234</v>
      </c>
      <c r="B1215" t="s">
        <v>41</v>
      </c>
      <c r="C1215" t="s">
        <v>12</v>
      </c>
      <c r="D1215" s="1">
        <v>45565</v>
      </c>
      <c r="E1215">
        <v>134132</v>
      </c>
      <c r="F1215">
        <v>6340</v>
      </c>
      <c r="G1215">
        <v>803</v>
      </c>
      <c r="H1215" s="4">
        <v>2046.21</v>
      </c>
      <c r="I1215" s="4">
        <v>62711.4</v>
      </c>
      <c r="J1215" s="7">
        <f>Table1[[#This Row],[Clicks]]/Table1[[#This Row],[Impressions]]</f>
        <v>4.7266871440073958E-2</v>
      </c>
      <c r="K1215" s="7">
        <f>IFERROR(Table1[[#This Row],[Conversions]]/Table1[[#This Row],[Clicks]],0)</f>
        <v>0.12665615141955835</v>
      </c>
      <c r="L1215" s="6">
        <f>IF(Table1[[#This Row],[Conversions]]=0,0,Table1[[#This Row],[Ad Spend]]/Table1[[#This Row],[Conversions]])</f>
        <v>2.5482067247820672</v>
      </c>
      <c r="M1215" s="8">
        <f>IF(Table1[[#This Row],[Ad Spend]]=0,0,Table1[[#This Row],[Revenue]]/Table1[[#This Row],[Ad Spend]])</f>
        <v>30.647587491019983</v>
      </c>
      <c r="N1215">
        <f>YEAR(Table1[[#This Row],[Date]])</f>
        <v>2024</v>
      </c>
      <c r="O1215" t="str">
        <f>TEXT(Table1[[#This Row],[Date]],"mmm")</f>
        <v>Sept</v>
      </c>
      <c r="P1215">
        <f>MONTH(Table1[[#This Row],[Date]])</f>
        <v>9</v>
      </c>
    </row>
    <row r="1216" spans="1:16" x14ac:dyDescent="0.25">
      <c r="A1216" t="s">
        <v>1235</v>
      </c>
      <c r="B1216" t="s">
        <v>21</v>
      </c>
      <c r="C1216" t="s">
        <v>12</v>
      </c>
      <c r="D1216" s="1">
        <v>45587</v>
      </c>
      <c r="E1216">
        <v>62497</v>
      </c>
      <c r="F1216">
        <v>3700</v>
      </c>
      <c r="G1216">
        <v>187</v>
      </c>
      <c r="H1216" s="4">
        <v>213.76</v>
      </c>
      <c r="I1216" s="4">
        <v>22326.03</v>
      </c>
      <c r="J1216" s="7">
        <f>Table1[[#This Row],[Clicks]]/Table1[[#This Row],[Impressions]]</f>
        <v>5.9202841736403347E-2</v>
      </c>
      <c r="K1216" s="7">
        <f>IFERROR(Table1[[#This Row],[Conversions]]/Table1[[#This Row],[Clicks]],0)</f>
        <v>5.0540540540540538E-2</v>
      </c>
      <c r="L1216" s="6">
        <f>IF(Table1[[#This Row],[Conversions]]=0,0,Table1[[#This Row],[Ad Spend]]/Table1[[#This Row],[Conversions]])</f>
        <v>1.1431016042780748</v>
      </c>
      <c r="M1216" s="8">
        <f>IF(Table1[[#This Row],[Ad Spend]]=0,0,Table1[[#This Row],[Revenue]]/Table1[[#This Row],[Ad Spend]])</f>
        <v>104.44437687125749</v>
      </c>
      <c r="N1216">
        <f>YEAR(Table1[[#This Row],[Date]])</f>
        <v>2024</v>
      </c>
      <c r="O1216" t="str">
        <f>TEXT(Table1[[#This Row],[Date]],"mmm")</f>
        <v>Oct</v>
      </c>
      <c r="P1216">
        <f>MONTH(Table1[[#This Row],[Date]])</f>
        <v>10</v>
      </c>
    </row>
    <row r="1217" spans="1:16" x14ac:dyDescent="0.25">
      <c r="A1217" t="s">
        <v>1236</v>
      </c>
      <c r="B1217" t="s">
        <v>31</v>
      </c>
      <c r="C1217" t="s">
        <v>19</v>
      </c>
      <c r="D1217" s="1">
        <v>45577</v>
      </c>
      <c r="E1217">
        <v>129236</v>
      </c>
      <c r="F1217">
        <v>9955</v>
      </c>
      <c r="G1217">
        <v>1390</v>
      </c>
      <c r="H1217" s="4">
        <v>485.97</v>
      </c>
      <c r="I1217" s="4">
        <v>76359.31</v>
      </c>
      <c r="J1217" s="7">
        <f>Table1[[#This Row],[Clicks]]/Table1[[#This Row],[Impressions]]</f>
        <v>7.702962022965737E-2</v>
      </c>
      <c r="K1217" s="7">
        <f>IFERROR(Table1[[#This Row],[Conversions]]/Table1[[#This Row],[Clicks]],0)</f>
        <v>0.13962832747363135</v>
      </c>
      <c r="L1217" s="6">
        <f>IF(Table1[[#This Row],[Conversions]]=0,0,Table1[[#This Row],[Ad Spend]]/Table1[[#This Row],[Conversions]])</f>
        <v>0.34961870503597126</v>
      </c>
      <c r="M1217" s="8">
        <f>IF(Table1[[#This Row],[Ad Spend]]=0,0,Table1[[#This Row],[Revenue]]/Table1[[#This Row],[Ad Spend]])</f>
        <v>157.12762104656665</v>
      </c>
      <c r="N1217">
        <f>YEAR(Table1[[#This Row],[Date]])</f>
        <v>2024</v>
      </c>
      <c r="O1217" t="str">
        <f>TEXT(Table1[[#This Row],[Date]],"mmm")</f>
        <v>Oct</v>
      </c>
      <c r="P1217">
        <f>MONTH(Table1[[#This Row],[Date]])</f>
        <v>10</v>
      </c>
    </row>
    <row r="1218" spans="1:16" x14ac:dyDescent="0.25">
      <c r="A1218" t="s">
        <v>1237</v>
      </c>
      <c r="B1218" t="s">
        <v>16</v>
      </c>
      <c r="C1218" t="s">
        <v>19</v>
      </c>
      <c r="D1218" s="1">
        <v>45527</v>
      </c>
      <c r="E1218">
        <v>42785</v>
      </c>
      <c r="F1218">
        <v>2929</v>
      </c>
      <c r="G1218">
        <v>268</v>
      </c>
      <c r="H1218" s="4">
        <v>4670.4399999999996</v>
      </c>
      <c r="I1218" s="4">
        <v>16644.86</v>
      </c>
      <c r="J1218" s="7">
        <f>Table1[[#This Row],[Clicks]]/Table1[[#This Row],[Impressions]]</f>
        <v>6.8458571929414513E-2</v>
      </c>
      <c r="K1218" s="7">
        <f>IFERROR(Table1[[#This Row],[Conversions]]/Table1[[#This Row],[Clicks]],0)</f>
        <v>9.1498805052919088E-2</v>
      </c>
      <c r="L1218" s="6">
        <f>IF(Table1[[#This Row],[Conversions]]=0,0,Table1[[#This Row],[Ad Spend]]/Table1[[#This Row],[Conversions]])</f>
        <v>17.427014925373133</v>
      </c>
      <c r="M1218" s="8">
        <f>IF(Table1[[#This Row],[Ad Spend]]=0,0,Table1[[#This Row],[Revenue]]/Table1[[#This Row],[Ad Spend]])</f>
        <v>3.5638740675396754</v>
      </c>
      <c r="N1218">
        <f>YEAR(Table1[[#This Row],[Date]])</f>
        <v>2024</v>
      </c>
      <c r="O1218" t="str">
        <f>TEXT(Table1[[#This Row],[Date]],"mmm")</f>
        <v>Aug</v>
      </c>
      <c r="P1218">
        <f>MONTH(Table1[[#This Row],[Date]])</f>
        <v>8</v>
      </c>
    </row>
    <row r="1219" spans="1:16" x14ac:dyDescent="0.25">
      <c r="A1219" t="s">
        <v>1238</v>
      </c>
      <c r="B1219" t="s">
        <v>14</v>
      </c>
      <c r="C1219" t="s">
        <v>37</v>
      </c>
      <c r="D1219" s="1">
        <v>45320</v>
      </c>
      <c r="E1219">
        <v>41123</v>
      </c>
      <c r="F1219">
        <v>748</v>
      </c>
      <c r="G1219">
        <v>82</v>
      </c>
      <c r="H1219" s="4">
        <v>886.77</v>
      </c>
      <c r="I1219" s="4">
        <v>7651.27</v>
      </c>
      <c r="J1219" s="7">
        <f>Table1[[#This Row],[Clicks]]/Table1[[#This Row],[Impressions]]</f>
        <v>1.8189334435717238E-2</v>
      </c>
      <c r="K1219" s="7">
        <f>IFERROR(Table1[[#This Row],[Conversions]]/Table1[[#This Row],[Clicks]],0)</f>
        <v>0.10962566844919786</v>
      </c>
      <c r="L1219" s="6">
        <f>IF(Table1[[#This Row],[Conversions]]=0,0,Table1[[#This Row],[Ad Spend]]/Table1[[#This Row],[Conversions]])</f>
        <v>10.814268292682927</v>
      </c>
      <c r="M1219" s="8">
        <f>IF(Table1[[#This Row],[Ad Spend]]=0,0,Table1[[#This Row],[Revenue]]/Table1[[#This Row],[Ad Spend]])</f>
        <v>8.6282463321943688</v>
      </c>
      <c r="N1219">
        <f>YEAR(Table1[[#This Row],[Date]])</f>
        <v>2024</v>
      </c>
      <c r="O1219" t="str">
        <f>TEXT(Table1[[#This Row],[Date]],"mmm")</f>
        <v>Jan</v>
      </c>
      <c r="P1219">
        <f>MONTH(Table1[[#This Row],[Date]])</f>
        <v>1</v>
      </c>
    </row>
    <row r="1220" spans="1:16" x14ac:dyDescent="0.25">
      <c r="A1220" t="s">
        <v>1239</v>
      </c>
      <c r="B1220" t="s">
        <v>21</v>
      </c>
      <c r="C1220" t="s">
        <v>19</v>
      </c>
      <c r="D1220" s="1">
        <v>45319</v>
      </c>
      <c r="E1220">
        <v>32789</v>
      </c>
      <c r="F1220">
        <v>1849</v>
      </c>
      <c r="G1220">
        <v>54</v>
      </c>
      <c r="H1220" s="4">
        <v>4219.7</v>
      </c>
      <c r="I1220" s="4">
        <v>5780.58</v>
      </c>
      <c r="J1220" s="7">
        <f>Table1[[#This Row],[Clicks]]/Table1[[#This Row],[Impressions]]</f>
        <v>5.6390862789350085E-2</v>
      </c>
      <c r="K1220" s="7">
        <f>IFERROR(Table1[[#This Row],[Conversions]]/Table1[[#This Row],[Clicks]],0)</f>
        <v>2.9204975662520283E-2</v>
      </c>
      <c r="L1220" s="6">
        <f>IF(Table1[[#This Row],[Conversions]]=0,0,Table1[[#This Row],[Ad Spend]]/Table1[[#This Row],[Conversions]])</f>
        <v>78.142592592592592</v>
      </c>
      <c r="M1220" s="8">
        <f>IF(Table1[[#This Row],[Ad Spend]]=0,0,Table1[[#This Row],[Revenue]]/Table1[[#This Row],[Ad Spend]])</f>
        <v>1.3699030736782236</v>
      </c>
      <c r="N1220">
        <f>YEAR(Table1[[#This Row],[Date]])</f>
        <v>2024</v>
      </c>
      <c r="O1220" t="str">
        <f>TEXT(Table1[[#This Row],[Date]],"mmm")</f>
        <v>Jan</v>
      </c>
      <c r="P1220">
        <f>MONTH(Table1[[#This Row],[Date]])</f>
        <v>1</v>
      </c>
    </row>
    <row r="1221" spans="1:16" x14ac:dyDescent="0.25">
      <c r="A1221" t="s">
        <v>1240</v>
      </c>
      <c r="B1221" t="s">
        <v>31</v>
      </c>
      <c r="C1221" t="s">
        <v>37</v>
      </c>
      <c r="D1221" s="1">
        <v>45479</v>
      </c>
      <c r="E1221">
        <v>42035</v>
      </c>
      <c r="F1221">
        <v>652</v>
      </c>
      <c r="G1221">
        <v>19</v>
      </c>
      <c r="H1221" s="4">
        <v>2932.08</v>
      </c>
      <c r="I1221" s="4">
        <v>1926.05</v>
      </c>
      <c r="J1221" s="7">
        <f>Table1[[#This Row],[Clicks]]/Table1[[#This Row],[Impressions]]</f>
        <v>1.5510883787320091E-2</v>
      </c>
      <c r="K1221" s="7">
        <f>IFERROR(Table1[[#This Row],[Conversions]]/Table1[[#This Row],[Clicks]],0)</f>
        <v>2.9141104294478526E-2</v>
      </c>
      <c r="L1221" s="6">
        <f>IF(Table1[[#This Row],[Conversions]]=0,0,Table1[[#This Row],[Ad Spend]]/Table1[[#This Row],[Conversions]])</f>
        <v>154.32</v>
      </c>
      <c r="M1221" s="8">
        <f>IF(Table1[[#This Row],[Ad Spend]]=0,0,Table1[[#This Row],[Revenue]]/Table1[[#This Row],[Ad Spend]])</f>
        <v>0.65688862513983248</v>
      </c>
      <c r="N1221">
        <f>YEAR(Table1[[#This Row],[Date]])</f>
        <v>2024</v>
      </c>
      <c r="O1221" t="str">
        <f>TEXT(Table1[[#This Row],[Date]],"mmm")</f>
        <v>Jul</v>
      </c>
      <c r="P1221">
        <f>MONTH(Table1[[#This Row],[Date]])</f>
        <v>7</v>
      </c>
    </row>
    <row r="1222" spans="1:16" x14ac:dyDescent="0.25">
      <c r="A1222" t="s">
        <v>1241</v>
      </c>
      <c r="B1222" t="s">
        <v>16</v>
      </c>
      <c r="C1222" t="s">
        <v>37</v>
      </c>
      <c r="D1222" s="1">
        <v>45532</v>
      </c>
      <c r="E1222">
        <v>41729</v>
      </c>
      <c r="F1222">
        <v>2602</v>
      </c>
      <c r="G1222">
        <v>288</v>
      </c>
      <c r="H1222" s="4">
        <v>1637.64</v>
      </c>
      <c r="I1222" s="4">
        <v>17611.849999999999</v>
      </c>
      <c r="J1222" s="7">
        <f>Table1[[#This Row],[Clicks]]/Table1[[#This Row],[Impressions]]</f>
        <v>6.2354717342855089E-2</v>
      </c>
      <c r="K1222" s="7">
        <f>IFERROR(Table1[[#This Row],[Conversions]]/Table1[[#This Row],[Clicks]],0)</f>
        <v>0.11068408916218293</v>
      </c>
      <c r="L1222" s="6">
        <f>IF(Table1[[#This Row],[Conversions]]=0,0,Table1[[#This Row],[Ad Spend]]/Table1[[#This Row],[Conversions]])</f>
        <v>5.6862500000000002</v>
      </c>
      <c r="M1222" s="8">
        <f>IF(Table1[[#This Row],[Ad Spend]]=0,0,Table1[[#This Row],[Revenue]]/Table1[[#This Row],[Ad Spend]])</f>
        <v>10.754408783371192</v>
      </c>
      <c r="N1222">
        <f>YEAR(Table1[[#This Row],[Date]])</f>
        <v>2024</v>
      </c>
      <c r="O1222" t="str">
        <f>TEXT(Table1[[#This Row],[Date]],"mmm")</f>
        <v>Aug</v>
      </c>
      <c r="P1222">
        <f>MONTH(Table1[[#This Row],[Date]])</f>
        <v>8</v>
      </c>
    </row>
    <row r="1223" spans="1:16" x14ac:dyDescent="0.25">
      <c r="A1223" t="s">
        <v>1242</v>
      </c>
      <c r="B1223" t="s">
        <v>47</v>
      </c>
      <c r="C1223" t="s">
        <v>17</v>
      </c>
      <c r="D1223" s="1">
        <v>45692</v>
      </c>
      <c r="E1223">
        <v>8462</v>
      </c>
      <c r="F1223">
        <v>254</v>
      </c>
      <c r="G1223">
        <v>10</v>
      </c>
      <c r="H1223" s="4">
        <v>4429.55</v>
      </c>
      <c r="I1223" s="4">
        <v>232.12</v>
      </c>
      <c r="J1223" s="7">
        <f>Table1[[#This Row],[Clicks]]/Table1[[#This Row],[Impressions]]</f>
        <v>3.0016544552115339E-2</v>
      </c>
      <c r="K1223" s="7">
        <f>IFERROR(Table1[[#This Row],[Conversions]]/Table1[[#This Row],[Clicks]],0)</f>
        <v>3.937007874015748E-2</v>
      </c>
      <c r="L1223" s="6">
        <f>IF(Table1[[#This Row],[Conversions]]=0,0,Table1[[#This Row],[Ad Spend]]/Table1[[#This Row],[Conversions]])</f>
        <v>442.95500000000004</v>
      </c>
      <c r="M1223" s="8">
        <f>IF(Table1[[#This Row],[Ad Spend]]=0,0,Table1[[#This Row],[Revenue]]/Table1[[#This Row],[Ad Spend]])</f>
        <v>5.240261426104232E-2</v>
      </c>
      <c r="N1223">
        <f>YEAR(Table1[[#This Row],[Date]])</f>
        <v>2025</v>
      </c>
      <c r="O1223" t="str">
        <f>TEXT(Table1[[#This Row],[Date]],"mmm")</f>
        <v>Feb</v>
      </c>
      <c r="P1223">
        <f>MONTH(Table1[[#This Row],[Date]])</f>
        <v>2</v>
      </c>
    </row>
    <row r="1224" spans="1:16" x14ac:dyDescent="0.25">
      <c r="A1224" t="s">
        <v>1243</v>
      </c>
      <c r="B1224" t="s">
        <v>16</v>
      </c>
      <c r="C1224" t="s">
        <v>12</v>
      </c>
      <c r="D1224" s="1">
        <v>45374</v>
      </c>
      <c r="E1224">
        <v>7848</v>
      </c>
      <c r="F1224">
        <v>296</v>
      </c>
      <c r="G1224">
        <v>22</v>
      </c>
      <c r="H1224" s="4">
        <v>4751.5600000000004</v>
      </c>
      <c r="I1224" s="4">
        <v>1439.45</v>
      </c>
      <c r="J1224" s="7">
        <f>Table1[[#This Row],[Clicks]]/Table1[[#This Row],[Impressions]]</f>
        <v>3.7716615698267071E-2</v>
      </c>
      <c r="K1224" s="7">
        <f>IFERROR(Table1[[#This Row],[Conversions]]/Table1[[#This Row],[Clicks]],0)</f>
        <v>7.4324324324324328E-2</v>
      </c>
      <c r="L1224" s="6">
        <f>IF(Table1[[#This Row],[Conversions]]=0,0,Table1[[#This Row],[Ad Spend]]/Table1[[#This Row],[Conversions]])</f>
        <v>215.98000000000002</v>
      </c>
      <c r="M1224" s="8">
        <f>IF(Table1[[#This Row],[Ad Spend]]=0,0,Table1[[#This Row],[Revenue]]/Table1[[#This Row],[Ad Spend]])</f>
        <v>0.30294261253146332</v>
      </c>
      <c r="N1224">
        <f>YEAR(Table1[[#This Row],[Date]])</f>
        <v>2024</v>
      </c>
      <c r="O1224" t="str">
        <f>TEXT(Table1[[#This Row],[Date]],"mmm")</f>
        <v>Mar</v>
      </c>
      <c r="P1224">
        <f>MONTH(Table1[[#This Row],[Date]])</f>
        <v>3</v>
      </c>
    </row>
    <row r="1225" spans="1:16" x14ac:dyDescent="0.25">
      <c r="A1225" t="s">
        <v>1244</v>
      </c>
      <c r="B1225" t="s">
        <v>34</v>
      </c>
      <c r="C1225" t="s">
        <v>12</v>
      </c>
      <c r="D1225" s="1">
        <v>45548</v>
      </c>
      <c r="E1225">
        <v>85224</v>
      </c>
      <c r="F1225">
        <v>5084</v>
      </c>
      <c r="G1225">
        <v>381</v>
      </c>
      <c r="H1225" s="4">
        <v>952.64</v>
      </c>
      <c r="I1225" s="4">
        <v>44695.96</v>
      </c>
      <c r="J1225" s="7">
        <f>Table1[[#This Row],[Clicks]]/Table1[[#This Row],[Impressions]]</f>
        <v>5.9654557401670888E-2</v>
      </c>
      <c r="K1225" s="7">
        <f>IFERROR(Table1[[#This Row],[Conversions]]/Table1[[#This Row],[Clicks]],0)</f>
        <v>7.494099134539732E-2</v>
      </c>
      <c r="L1225" s="6">
        <f>IF(Table1[[#This Row],[Conversions]]=0,0,Table1[[#This Row],[Ad Spend]]/Table1[[#This Row],[Conversions]])</f>
        <v>2.5003674540682415</v>
      </c>
      <c r="M1225" s="8">
        <f>IF(Table1[[#This Row],[Ad Spend]]=0,0,Table1[[#This Row],[Revenue]]/Table1[[#This Row],[Ad Spend]])</f>
        <v>46.91799630500504</v>
      </c>
      <c r="N1225">
        <f>YEAR(Table1[[#This Row],[Date]])</f>
        <v>2024</v>
      </c>
      <c r="O1225" t="str">
        <f>TEXT(Table1[[#This Row],[Date]],"mmm")</f>
        <v>Sept</v>
      </c>
      <c r="P1225">
        <f>MONTH(Table1[[#This Row],[Date]])</f>
        <v>9</v>
      </c>
    </row>
    <row r="1226" spans="1:16" x14ac:dyDescent="0.25">
      <c r="A1226" t="s">
        <v>1245</v>
      </c>
      <c r="B1226" t="s">
        <v>21</v>
      </c>
      <c r="C1226" t="s">
        <v>37</v>
      </c>
      <c r="D1226" s="1">
        <v>45672</v>
      </c>
      <c r="E1226">
        <v>60538</v>
      </c>
      <c r="F1226">
        <v>2302</v>
      </c>
      <c r="G1226">
        <v>62</v>
      </c>
      <c r="H1226" s="4">
        <v>2083</v>
      </c>
      <c r="I1226" s="4">
        <v>6339.53</v>
      </c>
      <c r="J1226" s="7">
        <f>Table1[[#This Row],[Clicks]]/Table1[[#This Row],[Impressions]]</f>
        <v>3.8025702864316627E-2</v>
      </c>
      <c r="K1226" s="7">
        <f>IFERROR(Table1[[#This Row],[Conversions]]/Table1[[#This Row],[Clicks]],0)</f>
        <v>2.6933101650738488E-2</v>
      </c>
      <c r="L1226" s="6">
        <f>IF(Table1[[#This Row],[Conversions]]=0,0,Table1[[#This Row],[Ad Spend]]/Table1[[#This Row],[Conversions]])</f>
        <v>33.596774193548384</v>
      </c>
      <c r="M1226" s="8">
        <f>IF(Table1[[#This Row],[Ad Spend]]=0,0,Table1[[#This Row],[Revenue]]/Table1[[#This Row],[Ad Spend]])</f>
        <v>3.0434613538166104</v>
      </c>
      <c r="N1226">
        <f>YEAR(Table1[[#This Row],[Date]])</f>
        <v>2025</v>
      </c>
      <c r="O1226" t="str">
        <f>TEXT(Table1[[#This Row],[Date]],"mmm")</f>
        <v>Jan</v>
      </c>
      <c r="P1226">
        <f>MONTH(Table1[[#This Row],[Date]])</f>
        <v>1</v>
      </c>
    </row>
    <row r="1227" spans="1:16" x14ac:dyDescent="0.25">
      <c r="A1227" t="s">
        <v>1246</v>
      </c>
      <c r="B1227" t="s">
        <v>9</v>
      </c>
      <c r="C1227" t="s">
        <v>17</v>
      </c>
      <c r="D1227" s="1">
        <v>45536</v>
      </c>
      <c r="E1227">
        <v>87100</v>
      </c>
      <c r="F1227">
        <v>4850</v>
      </c>
      <c r="G1227">
        <v>352</v>
      </c>
      <c r="H1227" s="4">
        <v>2026.26</v>
      </c>
      <c r="I1227" s="4">
        <v>8964.44</v>
      </c>
      <c r="J1227" s="7">
        <f>Table1[[#This Row],[Clicks]]/Table1[[#This Row],[Impressions]]</f>
        <v>5.5683122847301952E-2</v>
      </c>
      <c r="K1227" s="7">
        <f>IFERROR(Table1[[#This Row],[Conversions]]/Table1[[#This Row],[Clicks]],0)</f>
        <v>7.2577319587628863E-2</v>
      </c>
      <c r="L1227" s="6">
        <f>IF(Table1[[#This Row],[Conversions]]=0,0,Table1[[#This Row],[Ad Spend]]/Table1[[#This Row],[Conversions]])</f>
        <v>5.7564204545454549</v>
      </c>
      <c r="M1227" s="8">
        <f>IF(Table1[[#This Row],[Ad Spend]]=0,0,Table1[[#This Row],[Revenue]]/Table1[[#This Row],[Ad Spend]])</f>
        <v>4.4241311578968148</v>
      </c>
      <c r="N1227">
        <f>YEAR(Table1[[#This Row],[Date]])</f>
        <v>2024</v>
      </c>
      <c r="O1227" t="str">
        <f>TEXT(Table1[[#This Row],[Date]],"mmm")</f>
        <v>Sept</v>
      </c>
      <c r="P1227">
        <f>MONTH(Table1[[#This Row],[Date]])</f>
        <v>9</v>
      </c>
    </row>
    <row r="1228" spans="1:16" x14ac:dyDescent="0.25">
      <c r="A1228" t="s">
        <v>1247</v>
      </c>
      <c r="B1228" t="s">
        <v>47</v>
      </c>
      <c r="C1228" t="s">
        <v>17</v>
      </c>
      <c r="D1228" s="1">
        <v>45391</v>
      </c>
      <c r="E1228">
        <v>75757</v>
      </c>
      <c r="F1228">
        <v>1332</v>
      </c>
      <c r="G1228">
        <v>40</v>
      </c>
      <c r="H1228" s="4">
        <v>3095.31</v>
      </c>
      <c r="I1228" s="4">
        <v>4186.4399999999996</v>
      </c>
      <c r="J1228" s="7">
        <f>Table1[[#This Row],[Clicks]]/Table1[[#This Row],[Impressions]]</f>
        <v>1.7582533627255568E-2</v>
      </c>
      <c r="K1228" s="7">
        <f>IFERROR(Table1[[#This Row],[Conversions]]/Table1[[#This Row],[Clicks]],0)</f>
        <v>3.003003003003003E-2</v>
      </c>
      <c r="L1228" s="6">
        <f>IF(Table1[[#This Row],[Conversions]]=0,0,Table1[[#This Row],[Ad Spend]]/Table1[[#This Row],[Conversions]])</f>
        <v>77.382750000000001</v>
      </c>
      <c r="M1228" s="8">
        <f>IF(Table1[[#This Row],[Ad Spend]]=0,0,Table1[[#This Row],[Revenue]]/Table1[[#This Row],[Ad Spend]])</f>
        <v>1.3525107339814104</v>
      </c>
      <c r="N1228">
        <f>YEAR(Table1[[#This Row],[Date]])</f>
        <v>2024</v>
      </c>
      <c r="O1228" t="str">
        <f>TEXT(Table1[[#This Row],[Date]],"mmm")</f>
        <v>Apr</v>
      </c>
      <c r="P1228">
        <f>MONTH(Table1[[#This Row],[Date]])</f>
        <v>4</v>
      </c>
    </row>
    <row r="1229" spans="1:16" x14ac:dyDescent="0.25">
      <c r="A1229" t="s">
        <v>1248</v>
      </c>
      <c r="B1229" t="s">
        <v>31</v>
      </c>
      <c r="C1229" t="s">
        <v>37</v>
      </c>
      <c r="D1229" s="1">
        <v>45436</v>
      </c>
      <c r="E1229">
        <v>47666</v>
      </c>
      <c r="F1229">
        <v>2283</v>
      </c>
      <c r="G1229">
        <v>65</v>
      </c>
      <c r="H1229" s="4">
        <v>3066.13</v>
      </c>
      <c r="I1229" s="4">
        <v>6217.39</v>
      </c>
      <c r="J1229" s="7">
        <f>Table1[[#This Row],[Clicks]]/Table1[[#This Row],[Impressions]]</f>
        <v>4.7895774766080645E-2</v>
      </c>
      <c r="K1229" s="7">
        <f>IFERROR(Table1[[#This Row],[Conversions]]/Table1[[#This Row],[Clicks]],0)</f>
        <v>2.8471309680245291E-2</v>
      </c>
      <c r="L1229" s="6">
        <f>IF(Table1[[#This Row],[Conversions]]=0,0,Table1[[#This Row],[Ad Spend]]/Table1[[#This Row],[Conversions]])</f>
        <v>47.171230769230768</v>
      </c>
      <c r="M1229" s="8">
        <f>IF(Table1[[#This Row],[Ad Spend]]=0,0,Table1[[#This Row],[Revenue]]/Table1[[#This Row],[Ad Spend]])</f>
        <v>2.0277646414209443</v>
      </c>
      <c r="N1229">
        <f>YEAR(Table1[[#This Row],[Date]])</f>
        <v>2024</v>
      </c>
      <c r="O1229" t="str">
        <f>TEXT(Table1[[#This Row],[Date]],"mmm")</f>
        <v>May</v>
      </c>
      <c r="P1229">
        <f>MONTH(Table1[[#This Row],[Date]])</f>
        <v>5</v>
      </c>
    </row>
    <row r="1230" spans="1:16" x14ac:dyDescent="0.25">
      <c r="A1230" t="s">
        <v>1249</v>
      </c>
      <c r="B1230" t="s">
        <v>34</v>
      </c>
      <c r="C1230" t="s">
        <v>37</v>
      </c>
      <c r="D1230" s="1">
        <v>45574</v>
      </c>
      <c r="E1230">
        <v>57881</v>
      </c>
      <c r="F1230">
        <v>3165</v>
      </c>
      <c r="G1230">
        <v>76</v>
      </c>
      <c r="H1230" s="4">
        <v>1492.01</v>
      </c>
      <c r="I1230" s="4">
        <v>8942.64</v>
      </c>
      <c r="J1230" s="7">
        <f>Table1[[#This Row],[Clicks]]/Table1[[#This Row],[Impressions]]</f>
        <v>5.468115616523557E-2</v>
      </c>
      <c r="K1230" s="7">
        <f>IFERROR(Table1[[#This Row],[Conversions]]/Table1[[#This Row],[Clicks]],0)</f>
        <v>2.4012638230647709E-2</v>
      </c>
      <c r="L1230" s="6">
        <f>IF(Table1[[#This Row],[Conversions]]=0,0,Table1[[#This Row],[Ad Spend]]/Table1[[#This Row],[Conversions]])</f>
        <v>19.631710526315789</v>
      </c>
      <c r="M1230" s="8">
        <f>IF(Table1[[#This Row],[Ad Spend]]=0,0,Table1[[#This Row],[Revenue]]/Table1[[#This Row],[Ad Spend]])</f>
        <v>5.9936863693943065</v>
      </c>
      <c r="N1230">
        <f>YEAR(Table1[[#This Row],[Date]])</f>
        <v>2024</v>
      </c>
      <c r="O1230" t="str">
        <f>TEXT(Table1[[#This Row],[Date]],"mmm")</f>
        <v>Oct</v>
      </c>
      <c r="P1230">
        <f>MONTH(Table1[[#This Row],[Date]])</f>
        <v>10</v>
      </c>
    </row>
    <row r="1231" spans="1:16" x14ac:dyDescent="0.25">
      <c r="A1231" t="s">
        <v>1250</v>
      </c>
      <c r="B1231" t="s">
        <v>31</v>
      </c>
      <c r="C1231" t="s">
        <v>12</v>
      </c>
      <c r="D1231" s="1">
        <v>45696</v>
      </c>
      <c r="E1231">
        <v>131827</v>
      </c>
      <c r="F1231">
        <v>1739</v>
      </c>
      <c r="G1231">
        <v>105</v>
      </c>
      <c r="H1231" s="4">
        <v>4728.84</v>
      </c>
      <c r="I1231" s="4">
        <v>2189.0300000000002</v>
      </c>
      <c r="J1231" s="7">
        <f>Table1[[#This Row],[Clicks]]/Table1[[#This Row],[Impressions]]</f>
        <v>1.3191531325145835E-2</v>
      </c>
      <c r="K1231" s="7">
        <f>IFERROR(Table1[[#This Row],[Conversions]]/Table1[[#This Row],[Clicks]],0)</f>
        <v>6.0379528464634846E-2</v>
      </c>
      <c r="L1231" s="6">
        <f>IF(Table1[[#This Row],[Conversions]]=0,0,Table1[[#This Row],[Ad Spend]]/Table1[[#This Row],[Conversions]])</f>
        <v>45.036571428571428</v>
      </c>
      <c r="M1231" s="8">
        <f>IF(Table1[[#This Row],[Ad Spend]]=0,0,Table1[[#This Row],[Revenue]]/Table1[[#This Row],[Ad Spend]])</f>
        <v>0.46291056580472167</v>
      </c>
      <c r="N1231">
        <f>YEAR(Table1[[#This Row],[Date]])</f>
        <v>2025</v>
      </c>
      <c r="O1231" t="str">
        <f>TEXT(Table1[[#This Row],[Date]],"mmm")</f>
        <v>Feb</v>
      </c>
      <c r="P1231">
        <f>MONTH(Table1[[#This Row],[Date]])</f>
        <v>2</v>
      </c>
    </row>
    <row r="1232" spans="1:16" x14ac:dyDescent="0.25">
      <c r="A1232" t="s">
        <v>1251</v>
      </c>
      <c r="B1232" t="s">
        <v>47</v>
      </c>
      <c r="C1232" t="s">
        <v>19</v>
      </c>
      <c r="D1232" s="1">
        <v>45495</v>
      </c>
      <c r="E1232">
        <v>136128</v>
      </c>
      <c r="F1232">
        <v>3218</v>
      </c>
      <c r="G1232">
        <v>378</v>
      </c>
      <c r="H1232" s="4">
        <v>3683.3</v>
      </c>
      <c r="I1232" s="4">
        <v>44371.56</v>
      </c>
      <c r="J1232" s="7">
        <f>Table1[[#This Row],[Clicks]]/Table1[[#This Row],[Impressions]]</f>
        <v>2.3639515749882465E-2</v>
      </c>
      <c r="K1232" s="7">
        <f>IFERROR(Table1[[#This Row],[Conversions]]/Table1[[#This Row],[Clicks]],0)</f>
        <v>0.11746426351771287</v>
      </c>
      <c r="L1232" s="6">
        <f>IF(Table1[[#This Row],[Conversions]]=0,0,Table1[[#This Row],[Ad Spend]]/Table1[[#This Row],[Conversions]])</f>
        <v>9.7441798941798954</v>
      </c>
      <c r="M1232" s="8">
        <f>IF(Table1[[#This Row],[Ad Spend]]=0,0,Table1[[#This Row],[Revenue]]/Table1[[#This Row],[Ad Spend]])</f>
        <v>12.046686395351992</v>
      </c>
      <c r="N1232">
        <f>YEAR(Table1[[#This Row],[Date]])</f>
        <v>2024</v>
      </c>
      <c r="O1232" t="str">
        <f>TEXT(Table1[[#This Row],[Date]],"mmm")</f>
        <v>Jul</v>
      </c>
      <c r="P1232">
        <f>MONTH(Table1[[#This Row],[Date]])</f>
        <v>7</v>
      </c>
    </row>
    <row r="1233" spans="1:16" x14ac:dyDescent="0.25">
      <c r="A1233" t="s">
        <v>1252</v>
      </c>
      <c r="B1233" t="s">
        <v>9</v>
      </c>
      <c r="C1233" t="s">
        <v>19</v>
      </c>
      <c r="D1233" s="1">
        <v>45500</v>
      </c>
      <c r="E1233">
        <v>137010</v>
      </c>
      <c r="F1233">
        <v>2338</v>
      </c>
      <c r="G1233">
        <v>292</v>
      </c>
      <c r="H1233" s="4">
        <v>920.9</v>
      </c>
      <c r="I1233" s="4">
        <v>22985.52</v>
      </c>
      <c r="J1233" s="7">
        <f>Table1[[#This Row],[Clicks]]/Table1[[#This Row],[Impressions]]</f>
        <v>1.7064447850521861E-2</v>
      </c>
      <c r="K1233" s="7">
        <f>IFERROR(Table1[[#This Row],[Conversions]]/Table1[[#This Row],[Clicks]],0)</f>
        <v>0.12489307100085544</v>
      </c>
      <c r="L1233" s="6">
        <f>IF(Table1[[#This Row],[Conversions]]=0,0,Table1[[#This Row],[Ad Spend]]/Table1[[#This Row],[Conversions]])</f>
        <v>3.1537671232876709</v>
      </c>
      <c r="M1233" s="8">
        <f>IF(Table1[[#This Row],[Ad Spend]]=0,0,Table1[[#This Row],[Revenue]]/Table1[[#This Row],[Ad Spend]])</f>
        <v>24.959843631230321</v>
      </c>
      <c r="N1233">
        <f>YEAR(Table1[[#This Row],[Date]])</f>
        <v>2024</v>
      </c>
      <c r="O1233" t="str">
        <f>TEXT(Table1[[#This Row],[Date]],"mmm")</f>
        <v>Jul</v>
      </c>
      <c r="P1233">
        <f>MONTH(Table1[[#This Row],[Date]])</f>
        <v>7</v>
      </c>
    </row>
    <row r="1234" spans="1:16" x14ac:dyDescent="0.25">
      <c r="A1234" t="s">
        <v>1253</v>
      </c>
      <c r="B1234" t="s">
        <v>21</v>
      </c>
      <c r="C1234" t="s">
        <v>17</v>
      </c>
      <c r="D1234" s="1">
        <v>45592</v>
      </c>
      <c r="E1234">
        <v>14806</v>
      </c>
      <c r="F1234">
        <v>448</v>
      </c>
      <c r="G1234">
        <v>17</v>
      </c>
      <c r="H1234" s="4">
        <v>2422.91</v>
      </c>
      <c r="I1234" s="4">
        <v>1844.85</v>
      </c>
      <c r="J1234" s="7">
        <f>Table1[[#This Row],[Clicks]]/Table1[[#This Row],[Impressions]]</f>
        <v>3.0258003512089692E-2</v>
      </c>
      <c r="K1234" s="7">
        <f>IFERROR(Table1[[#This Row],[Conversions]]/Table1[[#This Row],[Clicks]],0)</f>
        <v>3.7946428571428568E-2</v>
      </c>
      <c r="L1234" s="6">
        <f>IF(Table1[[#This Row],[Conversions]]=0,0,Table1[[#This Row],[Ad Spend]]/Table1[[#This Row],[Conversions]])</f>
        <v>142.5241176470588</v>
      </c>
      <c r="M1234" s="8">
        <f>IF(Table1[[#This Row],[Ad Spend]]=0,0,Table1[[#This Row],[Revenue]]/Table1[[#This Row],[Ad Spend]])</f>
        <v>0.76141911998382117</v>
      </c>
      <c r="N1234">
        <f>YEAR(Table1[[#This Row],[Date]])</f>
        <v>2024</v>
      </c>
      <c r="O1234" t="str">
        <f>TEXT(Table1[[#This Row],[Date]],"mmm")</f>
        <v>Oct</v>
      </c>
      <c r="P1234">
        <f>MONTH(Table1[[#This Row],[Date]])</f>
        <v>10</v>
      </c>
    </row>
    <row r="1235" spans="1:16" x14ac:dyDescent="0.25">
      <c r="A1235" t="s">
        <v>1254</v>
      </c>
      <c r="B1235" t="s">
        <v>9</v>
      </c>
      <c r="C1235" t="s">
        <v>37</v>
      </c>
      <c r="D1235" s="1">
        <v>45402</v>
      </c>
      <c r="E1235">
        <v>41926</v>
      </c>
      <c r="F1235">
        <v>2675</v>
      </c>
      <c r="G1235">
        <v>109</v>
      </c>
      <c r="H1235" s="4">
        <v>4825.6000000000004</v>
      </c>
      <c r="I1235" s="4">
        <v>7807.68</v>
      </c>
      <c r="J1235" s="7">
        <f>Table1[[#This Row],[Clicks]]/Table1[[#This Row],[Impressions]]</f>
        <v>6.3802890807613408E-2</v>
      </c>
      <c r="K1235" s="7">
        <f>IFERROR(Table1[[#This Row],[Conversions]]/Table1[[#This Row],[Clicks]],0)</f>
        <v>4.0747663551401872E-2</v>
      </c>
      <c r="L1235" s="6">
        <f>IF(Table1[[#This Row],[Conversions]]=0,0,Table1[[#This Row],[Ad Spend]]/Table1[[#This Row],[Conversions]])</f>
        <v>44.271559633027529</v>
      </c>
      <c r="M1235" s="8">
        <f>IF(Table1[[#This Row],[Ad Spend]]=0,0,Table1[[#This Row],[Revenue]]/Table1[[#This Row],[Ad Spend]])</f>
        <v>1.6179708222811671</v>
      </c>
      <c r="N1235">
        <f>YEAR(Table1[[#This Row],[Date]])</f>
        <v>2024</v>
      </c>
      <c r="O1235" t="str">
        <f>TEXT(Table1[[#This Row],[Date]],"mmm")</f>
        <v>Apr</v>
      </c>
      <c r="P1235">
        <f>MONTH(Table1[[#This Row],[Date]])</f>
        <v>4</v>
      </c>
    </row>
    <row r="1236" spans="1:16" x14ac:dyDescent="0.25">
      <c r="A1236" t="s">
        <v>1255</v>
      </c>
      <c r="B1236" t="s">
        <v>47</v>
      </c>
      <c r="C1236" t="s">
        <v>17</v>
      </c>
      <c r="D1236" s="1">
        <v>45694</v>
      </c>
      <c r="E1236">
        <v>39392</v>
      </c>
      <c r="F1236">
        <v>1328</v>
      </c>
      <c r="G1236">
        <v>88</v>
      </c>
      <c r="H1236" s="4">
        <v>4308.57</v>
      </c>
      <c r="I1236" s="4">
        <v>5551.93</v>
      </c>
      <c r="J1236" s="7">
        <f>Table1[[#This Row],[Clicks]]/Table1[[#This Row],[Impressions]]</f>
        <v>3.3712428919577576E-2</v>
      </c>
      <c r="K1236" s="7">
        <f>IFERROR(Table1[[#This Row],[Conversions]]/Table1[[#This Row],[Clicks]],0)</f>
        <v>6.6265060240963861E-2</v>
      </c>
      <c r="L1236" s="6">
        <f>IF(Table1[[#This Row],[Conversions]]=0,0,Table1[[#This Row],[Ad Spend]]/Table1[[#This Row],[Conversions]])</f>
        <v>48.961022727272727</v>
      </c>
      <c r="M1236" s="8">
        <f>IF(Table1[[#This Row],[Ad Spend]]=0,0,Table1[[#This Row],[Revenue]]/Table1[[#This Row],[Ad Spend]])</f>
        <v>1.2885783450193453</v>
      </c>
      <c r="N1236">
        <f>YEAR(Table1[[#This Row],[Date]])</f>
        <v>2025</v>
      </c>
      <c r="O1236" t="str">
        <f>TEXT(Table1[[#This Row],[Date]],"mmm")</f>
        <v>Feb</v>
      </c>
      <c r="P1236">
        <f>MONTH(Table1[[#This Row],[Date]])</f>
        <v>2</v>
      </c>
    </row>
    <row r="1237" spans="1:16" x14ac:dyDescent="0.25">
      <c r="A1237" t="s">
        <v>1256</v>
      </c>
      <c r="B1237" t="s">
        <v>21</v>
      </c>
      <c r="C1237" t="s">
        <v>37</v>
      </c>
      <c r="D1237" s="1">
        <v>45398</v>
      </c>
      <c r="E1237">
        <v>24660</v>
      </c>
      <c r="F1237">
        <v>1900</v>
      </c>
      <c r="G1237">
        <v>178</v>
      </c>
      <c r="H1237" s="4">
        <v>4973.1400000000003</v>
      </c>
      <c r="I1237" s="4">
        <v>5293.83</v>
      </c>
      <c r="J1237" s="7">
        <f>Table1[[#This Row],[Clicks]]/Table1[[#This Row],[Impressions]]</f>
        <v>7.7047850770478502E-2</v>
      </c>
      <c r="K1237" s="7">
        <f>IFERROR(Table1[[#This Row],[Conversions]]/Table1[[#This Row],[Clicks]],0)</f>
        <v>9.3684210526315786E-2</v>
      </c>
      <c r="L1237" s="6">
        <f>IF(Table1[[#This Row],[Conversions]]=0,0,Table1[[#This Row],[Ad Spend]]/Table1[[#This Row],[Conversions]])</f>
        <v>27.938988764044947</v>
      </c>
      <c r="M1237" s="8">
        <f>IF(Table1[[#This Row],[Ad Spend]]=0,0,Table1[[#This Row],[Revenue]]/Table1[[#This Row],[Ad Spend]])</f>
        <v>1.0644844102518729</v>
      </c>
      <c r="N1237">
        <f>YEAR(Table1[[#This Row],[Date]])</f>
        <v>2024</v>
      </c>
      <c r="O1237" t="str">
        <f>TEXT(Table1[[#This Row],[Date]],"mmm")</f>
        <v>Apr</v>
      </c>
      <c r="P1237">
        <f>MONTH(Table1[[#This Row],[Date]])</f>
        <v>4</v>
      </c>
    </row>
    <row r="1238" spans="1:16" x14ac:dyDescent="0.25">
      <c r="A1238" t="s">
        <v>1257</v>
      </c>
      <c r="B1238" t="s">
        <v>31</v>
      </c>
      <c r="C1238" t="s">
        <v>37</v>
      </c>
      <c r="D1238" s="1">
        <v>45684</v>
      </c>
      <c r="E1238">
        <v>86144</v>
      </c>
      <c r="F1238">
        <v>4160</v>
      </c>
      <c r="G1238">
        <v>607</v>
      </c>
      <c r="H1238" s="4">
        <v>3950.94</v>
      </c>
      <c r="I1238" s="4">
        <v>17431.080000000002</v>
      </c>
      <c r="J1238" s="7">
        <f>Table1[[#This Row],[Clicks]]/Table1[[#This Row],[Impressions]]</f>
        <v>4.8291233283803865E-2</v>
      </c>
      <c r="K1238" s="7">
        <f>IFERROR(Table1[[#This Row],[Conversions]]/Table1[[#This Row],[Clicks]],0)</f>
        <v>0.14591346153846155</v>
      </c>
      <c r="L1238" s="6">
        <f>IF(Table1[[#This Row],[Conversions]]=0,0,Table1[[#This Row],[Ad Spend]]/Table1[[#This Row],[Conversions]])</f>
        <v>6.508962108731466</v>
      </c>
      <c r="M1238" s="8">
        <f>IF(Table1[[#This Row],[Ad Spend]]=0,0,Table1[[#This Row],[Revenue]]/Table1[[#This Row],[Ad Spend]])</f>
        <v>4.4118817294112294</v>
      </c>
      <c r="N1238">
        <f>YEAR(Table1[[#This Row],[Date]])</f>
        <v>2025</v>
      </c>
      <c r="O1238" t="str">
        <f>TEXT(Table1[[#This Row],[Date]],"mmm")</f>
        <v>Jan</v>
      </c>
      <c r="P1238">
        <f>MONTH(Table1[[#This Row],[Date]])</f>
        <v>1</v>
      </c>
    </row>
    <row r="1239" spans="1:16" x14ac:dyDescent="0.25">
      <c r="A1239" t="s">
        <v>1258</v>
      </c>
      <c r="B1239" t="s">
        <v>9</v>
      </c>
      <c r="C1239" t="s">
        <v>17</v>
      </c>
      <c r="D1239" s="1">
        <v>45452</v>
      </c>
      <c r="E1239">
        <v>49490</v>
      </c>
      <c r="F1239">
        <v>3730</v>
      </c>
      <c r="G1239">
        <v>152</v>
      </c>
      <c r="H1239" s="4">
        <v>1544.56</v>
      </c>
      <c r="I1239" s="4">
        <v>8562.59</v>
      </c>
      <c r="J1239" s="7">
        <f>Table1[[#This Row],[Clicks]]/Table1[[#This Row],[Impressions]]</f>
        <v>7.5368761365932513E-2</v>
      </c>
      <c r="K1239" s="7">
        <f>IFERROR(Table1[[#This Row],[Conversions]]/Table1[[#This Row],[Clicks]],0)</f>
        <v>4.0750670241286861E-2</v>
      </c>
      <c r="L1239" s="6">
        <f>IF(Table1[[#This Row],[Conversions]]=0,0,Table1[[#This Row],[Ad Spend]]/Table1[[#This Row],[Conversions]])</f>
        <v>10.161578947368421</v>
      </c>
      <c r="M1239" s="8">
        <f>IF(Table1[[#This Row],[Ad Spend]]=0,0,Table1[[#This Row],[Revenue]]/Table1[[#This Row],[Ad Spend]])</f>
        <v>5.5437082405345217</v>
      </c>
      <c r="N1239">
        <f>YEAR(Table1[[#This Row],[Date]])</f>
        <v>2024</v>
      </c>
      <c r="O1239" t="str">
        <f>TEXT(Table1[[#This Row],[Date]],"mmm")</f>
        <v>Jun</v>
      </c>
      <c r="P1239">
        <f>MONTH(Table1[[#This Row],[Date]])</f>
        <v>6</v>
      </c>
    </row>
    <row r="1240" spans="1:16" x14ac:dyDescent="0.25">
      <c r="A1240" t="s">
        <v>1259</v>
      </c>
      <c r="B1240" t="s">
        <v>9</v>
      </c>
      <c r="C1240" t="s">
        <v>10</v>
      </c>
      <c r="D1240" s="1">
        <v>45383</v>
      </c>
      <c r="E1240">
        <v>125780</v>
      </c>
      <c r="F1240">
        <v>3528</v>
      </c>
      <c r="G1240">
        <v>287</v>
      </c>
      <c r="H1240" s="4">
        <v>1428.93</v>
      </c>
      <c r="I1240" s="4">
        <v>30900.080000000002</v>
      </c>
      <c r="J1240" s="7">
        <f>Table1[[#This Row],[Clicks]]/Table1[[#This Row],[Impressions]]</f>
        <v>2.8048974399745588E-2</v>
      </c>
      <c r="K1240" s="7">
        <f>IFERROR(Table1[[#This Row],[Conversions]]/Table1[[#This Row],[Clicks]],0)</f>
        <v>8.1349206349206352E-2</v>
      </c>
      <c r="L1240" s="6">
        <f>IF(Table1[[#This Row],[Conversions]]=0,0,Table1[[#This Row],[Ad Spend]]/Table1[[#This Row],[Conversions]])</f>
        <v>4.9788501742160278</v>
      </c>
      <c r="M1240" s="8">
        <f>IF(Table1[[#This Row],[Ad Spend]]=0,0,Table1[[#This Row],[Revenue]]/Table1[[#This Row],[Ad Spend]])</f>
        <v>21.624628218317202</v>
      </c>
      <c r="N1240">
        <f>YEAR(Table1[[#This Row],[Date]])</f>
        <v>2024</v>
      </c>
      <c r="O1240" t="str">
        <f>TEXT(Table1[[#This Row],[Date]],"mmm")</f>
        <v>Apr</v>
      </c>
      <c r="P1240">
        <f>MONTH(Table1[[#This Row],[Date]])</f>
        <v>4</v>
      </c>
    </row>
    <row r="1241" spans="1:16" x14ac:dyDescent="0.25">
      <c r="A1241" t="s">
        <v>1260</v>
      </c>
      <c r="B1241" t="s">
        <v>16</v>
      </c>
      <c r="C1241" t="s">
        <v>10</v>
      </c>
      <c r="D1241" s="1">
        <v>45583</v>
      </c>
      <c r="E1241">
        <v>132994</v>
      </c>
      <c r="F1241">
        <v>1698</v>
      </c>
      <c r="G1241">
        <v>223</v>
      </c>
      <c r="H1241" s="4">
        <v>2124.5100000000002</v>
      </c>
      <c r="I1241" s="4">
        <v>23571.119999999999</v>
      </c>
      <c r="J1241" s="7">
        <f>Table1[[#This Row],[Clicks]]/Table1[[#This Row],[Impressions]]</f>
        <v>1.27674932703731E-2</v>
      </c>
      <c r="K1241" s="7">
        <f>IFERROR(Table1[[#This Row],[Conversions]]/Table1[[#This Row],[Clicks]],0)</f>
        <v>0.13133097762073026</v>
      </c>
      <c r="L1241" s="6">
        <f>IF(Table1[[#This Row],[Conversions]]=0,0,Table1[[#This Row],[Ad Spend]]/Table1[[#This Row],[Conversions]])</f>
        <v>9.5269506726457411</v>
      </c>
      <c r="M1241" s="8">
        <f>IF(Table1[[#This Row],[Ad Spend]]=0,0,Table1[[#This Row],[Revenue]]/Table1[[#This Row],[Ad Spend]])</f>
        <v>11.094850106612817</v>
      </c>
      <c r="N1241">
        <f>YEAR(Table1[[#This Row],[Date]])</f>
        <v>2024</v>
      </c>
      <c r="O1241" t="str">
        <f>TEXT(Table1[[#This Row],[Date]],"mmm")</f>
        <v>Oct</v>
      </c>
      <c r="P1241">
        <f>MONTH(Table1[[#This Row],[Date]])</f>
        <v>10</v>
      </c>
    </row>
    <row r="1242" spans="1:16" x14ac:dyDescent="0.25">
      <c r="A1242" t="s">
        <v>1261</v>
      </c>
      <c r="B1242" t="s">
        <v>16</v>
      </c>
      <c r="C1242" t="s">
        <v>17</v>
      </c>
      <c r="D1242" s="1">
        <v>45479</v>
      </c>
      <c r="E1242">
        <v>139343</v>
      </c>
      <c r="F1242">
        <v>9633</v>
      </c>
      <c r="G1242">
        <v>1384</v>
      </c>
      <c r="H1242" s="4">
        <v>1993.68</v>
      </c>
      <c r="I1242" s="4">
        <v>122096.6</v>
      </c>
      <c r="J1242" s="7">
        <f>Table1[[#This Row],[Clicks]]/Table1[[#This Row],[Impressions]]</f>
        <v>6.9131567427140217E-2</v>
      </c>
      <c r="K1242" s="7">
        <f>IFERROR(Table1[[#This Row],[Conversions]]/Table1[[#This Row],[Clicks]],0)</f>
        <v>0.14367279144607079</v>
      </c>
      <c r="L1242" s="6">
        <f>IF(Table1[[#This Row],[Conversions]]=0,0,Table1[[#This Row],[Ad Spend]]/Table1[[#This Row],[Conversions]])</f>
        <v>1.440520231213873</v>
      </c>
      <c r="M1242" s="8">
        <f>IF(Table1[[#This Row],[Ad Spend]]=0,0,Table1[[#This Row],[Revenue]]/Table1[[#This Row],[Ad Spend]])</f>
        <v>61.241824164359379</v>
      </c>
      <c r="N1242">
        <f>YEAR(Table1[[#This Row],[Date]])</f>
        <v>2024</v>
      </c>
      <c r="O1242" t="str">
        <f>TEXT(Table1[[#This Row],[Date]],"mmm")</f>
        <v>Jul</v>
      </c>
      <c r="P1242">
        <f>MONTH(Table1[[#This Row],[Date]])</f>
        <v>7</v>
      </c>
    </row>
    <row r="1243" spans="1:16" x14ac:dyDescent="0.25">
      <c r="A1243" t="s">
        <v>1262</v>
      </c>
      <c r="B1243" t="s">
        <v>41</v>
      </c>
      <c r="C1243" t="s">
        <v>19</v>
      </c>
      <c r="D1243" s="1">
        <v>45641</v>
      </c>
      <c r="E1243">
        <v>16187</v>
      </c>
      <c r="F1243">
        <v>865</v>
      </c>
      <c r="G1243">
        <v>89</v>
      </c>
      <c r="H1243" s="4">
        <v>3757</v>
      </c>
      <c r="I1243" s="4">
        <v>3958.87</v>
      </c>
      <c r="J1243" s="7">
        <f>Table1[[#This Row],[Clicks]]/Table1[[#This Row],[Impressions]]</f>
        <v>5.3437944029159204E-2</v>
      </c>
      <c r="K1243" s="7">
        <f>IFERROR(Table1[[#This Row],[Conversions]]/Table1[[#This Row],[Clicks]],0)</f>
        <v>0.10289017341040463</v>
      </c>
      <c r="L1243" s="6">
        <f>IF(Table1[[#This Row],[Conversions]]=0,0,Table1[[#This Row],[Ad Spend]]/Table1[[#This Row],[Conversions]])</f>
        <v>42.213483146067418</v>
      </c>
      <c r="M1243" s="8">
        <f>IF(Table1[[#This Row],[Ad Spend]]=0,0,Table1[[#This Row],[Revenue]]/Table1[[#This Row],[Ad Spend]])</f>
        <v>1.0537317008251263</v>
      </c>
      <c r="N1243">
        <f>YEAR(Table1[[#This Row],[Date]])</f>
        <v>2024</v>
      </c>
      <c r="O1243" t="str">
        <f>TEXT(Table1[[#This Row],[Date]],"mmm")</f>
        <v>Dec</v>
      </c>
      <c r="P1243">
        <f>MONTH(Table1[[#This Row],[Date]])</f>
        <v>12</v>
      </c>
    </row>
    <row r="1244" spans="1:16" x14ac:dyDescent="0.25">
      <c r="A1244" t="s">
        <v>1263</v>
      </c>
      <c r="B1244" t="s">
        <v>31</v>
      </c>
      <c r="C1244" t="s">
        <v>37</v>
      </c>
      <c r="D1244" s="1">
        <v>45345</v>
      </c>
      <c r="E1244">
        <v>81194</v>
      </c>
      <c r="F1244">
        <v>2947</v>
      </c>
      <c r="G1244">
        <v>277</v>
      </c>
      <c r="H1244" s="4">
        <v>4298.38</v>
      </c>
      <c r="I1244" s="4">
        <v>11718.52</v>
      </c>
      <c r="J1244" s="7">
        <f>Table1[[#This Row],[Clicks]]/Table1[[#This Row],[Impressions]]</f>
        <v>3.6295785402862282E-2</v>
      </c>
      <c r="K1244" s="7">
        <f>IFERROR(Table1[[#This Row],[Conversions]]/Table1[[#This Row],[Clicks]],0)</f>
        <v>9.3993892093654566E-2</v>
      </c>
      <c r="L1244" s="6">
        <f>IF(Table1[[#This Row],[Conversions]]=0,0,Table1[[#This Row],[Ad Spend]]/Table1[[#This Row],[Conversions]])</f>
        <v>15.517617328519856</v>
      </c>
      <c r="M1244" s="8">
        <f>IF(Table1[[#This Row],[Ad Spend]]=0,0,Table1[[#This Row],[Revenue]]/Table1[[#This Row],[Ad Spend]])</f>
        <v>2.726264313532075</v>
      </c>
      <c r="N1244">
        <f>YEAR(Table1[[#This Row],[Date]])</f>
        <v>2024</v>
      </c>
      <c r="O1244" t="str">
        <f>TEXT(Table1[[#This Row],[Date]],"mmm")</f>
        <v>Feb</v>
      </c>
      <c r="P1244">
        <f>MONTH(Table1[[#This Row],[Date]])</f>
        <v>2</v>
      </c>
    </row>
    <row r="1245" spans="1:16" x14ac:dyDescent="0.25">
      <c r="A1245" t="s">
        <v>1264</v>
      </c>
      <c r="B1245" t="s">
        <v>41</v>
      </c>
      <c r="C1245" t="s">
        <v>10</v>
      </c>
      <c r="D1245" s="1">
        <v>45470</v>
      </c>
      <c r="E1245">
        <v>127127</v>
      </c>
      <c r="F1245">
        <v>5440</v>
      </c>
      <c r="G1245">
        <v>487</v>
      </c>
      <c r="H1245" s="4">
        <v>4127.79</v>
      </c>
      <c r="I1245" s="4">
        <v>15054.1</v>
      </c>
      <c r="J1245" s="7">
        <f>Table1[[#This Row],[Clicks]]/Table1[[#This Row],[Impressions]]</f>
        <v>4.2791853815475865E-2</v>
      </c>
      <c r="K1245" s="7">
        <f>IFERROR(Table1[[#This Row],[Conversions]]/Table1[[#This Row],[Clicks]],0)</f>
        <v>8.9522058823529413E-2</v>
      </c>
      <c r="L1245" s="6">
        <f>IF(Table1[[#This Row],[Conversions]]=0,0,Table1[[#This Row],[Ad Spend]]/Table1[[#This Row],[Conversions]])</f>
        <v>8.4759548254620114</v>
      </c>
      <c r="M1245" s="8">
        <f>IF(Table1[[#This Row],[Ad Spend]]=0,0,Table1[[#This Row],[Revenue]]/Table1[[#This Row],[Ad Spend]])</f>
        <v>3.6470120815254652</v>
      </c>
      <c r="N1245">
        <f>YEAR(Table1[[#This Row],[Date]])</f>
        <v>2024</v>
      </c>
      <c r="O1245" t="str">
        <f>TEXT(Table1[[#This Row],[Date]],"mmm")</f>
        <v>Jun</v>
      </c>
      <c r="P1245">
        <f>MONTH(Table1[[#This Row],[Date]])</f>
        <v>6</v>
      </c>
    </row>
    <row r="1246" spans="1:16" x14ac:dyDescent="0.25">
      <c r="A1246" t="s">
        <v>1265</v>
      </c>
      <c r="B1246" t="s">
        <v>16</v>
      </c>
      <c r="C1246" t="s">
        <v>10</v>
      </c>
      <c r="D1246" s="1">
        <v>45495</v>
      </c>
      <c r="E1246">
        <v>118538</v>
      </c>
      <c r="F1246">
        <v>2840</v>
      </c>
      <c r="G1246">
        <v>178</v>
      </c>
      <c r="H1246" s="4">
        <v>1722.97</v>
      </c>
      <c r="I1246" s="4">
        <v>21296.6</v>
      </c>
      <c r="J1246" s="7">
        <f>Table1[[#This Row],[Clicks]]/Table1[[#This Row],[Impressions]]</f>
        <v>2.3958561811402251E-2</v>
      </c>
      <c r="K1246" s="7">
        <f>IFERROR(Table1[[#This Row],[Conversions]]/Table1[[#This Row],[Clicks]],0)</f>
        <v>6.2676056338028169E-2</v>
      </c>
      <c r="L1246" s="6">
        <f>IF(Table1[[#This Row],[Conversions]]=0,0,Table1[[#This Row],[Ad Spend]]/Table1[[#This Row],[Conversions]])</f>
        <v>9.6796067415730338</v>
      </c>
      <c r="M1246" s="8">
        <f>IF(Table1[[#This Row],[Ad Spend]]=0,0,Table1[[#This Row],[Revenue]]/Table1[[#This Row],[Ad Spend]])</f>
        <v>12.36040093559377</v>
      </c>
      <c r="N1246">
        <f>YEAR(Table1[[#This Row],[Date]])</f>
        <v>2024</v>
      </c>
      <c r="O1246" t="str">
        <f>TEXT(Table1[[#This Row],[Date]],"mmm")</f>
        <v>Jul</v>
      </c>
      <c r="P1246">
        <f>MONTH(Table1[[#This Row],[Date]])</f>
        <v>7</v>
      </c>
    </row>
    <row r="1247" spans="1:16" x14ac:dyDescent="0.25">
      <c r="A1247" t="s">
        <v>1266</v>
      </c>
      <c r="B1247" t="s">
        <v>41</v>
      </c>
      <c r="C1247" t="s">
        <v>37</v>
      </c>
      <c r="D1247" s="1">
        <v>45651</v>
      </c>
      <c r="E1247">
        <v>129838</v>
      </c>
      <c r="F1247">
        <v>2337</v>
      </c>
      <c r="G1247">
        <v>184</v>
      </c>
      <c r="H1247" s="4">
        <v>2816.39</v>
      </c>
      <c r="I1247" s="4">
        <v>21133.02</v>
      </c>
      <c r="J1247" s="7">
        <f>Table1[[#This Row],[Clicks]]/Table1[[#This Row],[Impressions]]</f>
        <v>1.799935303994208E-2</v>
      </c>
      <c r="K1247" s="7">
        <f>IFERROR(Table1[[#This Row],[Conversions]]/Table1[[#This Row],[Clicks]],0)</f>
        <v>7.8733418913136496E-2</v>
      </c>
      <c r="L1247" s="6">
        <f>IF(Table1[[#This Row],[Conversions]]=0,0,Table1[[#This Row],[Ad Spend]]/Table1[[#This Row],[Conversions]])</f>
        <v>15.306467391304347</v>
      </c>
      <c r="M1247" s="8">
        <f>IF(Table1[[#This Row],[Ad Spend]]=0,0,Table1[[#This Row],[Revenue]]/Table1[[#This Row],[Ad Spend]])</f>
        <v>7.5035843757434169</v>
      </c>
      <c r="N1247">
        <f>YEAR(Table1[[#This Row],[Date]])</f>
        <v>2024</v>
      </c>
      <c r="O1247" t="str">
        <f>TEXT(Table1[[#This Row],[Date]],"mmm")</f>
        <v>Dec</v>
      </c>
      <c r="P1247">
        <f>MONTH(Table1[[#This Row],[Date]])</f>
        <v>12</v>
      </c>
    </row>
    <row r="1248" spans="1:16" x14ac:dyDescent="0.25">
      <c r="A1248" t="s">
        <v>1267</v>
      </c>
      <c r="B1248" t="s">
        <v>16</v>
      </c>
      <c r="C1248" t="s">
        <v>37</v>
      </c>
      <c r="D1248" s="1">
        <v>45455</v>
      </c>
      <c r="E1248">
        <v>13211</v>
      </c>
      <c r="F1248">
        <v>1045</v>
      </c>
      <c r="G1248">
        <v>126</v>
      </c>
      <c r="H1248" s="4">
        <v>499.52</v>
      </c>
      <c r="I1248" s="4">
        <v>12707.52</v>
      </c>
      <c r="J1248" s="7">
        <f>Table1[[#This Row],[Clicks]]/Table1[[#This Row],[Impressions]]</f>
        <v>7.9100749375520404E-2</v>
      </c>
      <c r="K1248" s="7">
        <f>IFERROR(Table1[[#This Row],[Conversions]]/Table1[[#This Row],[Clicks]],0)</f>
        <v>0.12057416267942583</v>
      </c>
      <c r="L1248" s="6">
        <f>IF(Table1[[#This Row],[Conversions]]=0,0,Table1[[#This Row],[Ad Spend]]/Table1[[#This Row],[Conversions]])</f>
        <v>3.9644444444444442</v>
      </c>
      <c r="M1248" s="8">
        <f>IF(Table1[[#This Row],[Ad Spend]]=0,0,Table1[[#This Row],[Revenue]]/Table1[[#This Row],[Ad Spend]])</f>
        <v>25.439461883408075</v>
      </c>
      <c r="N1248">
        <f>YEAR(Table1[[#This Row],[Date]])</f>
        <v>2024</v>
      </c>
      <c r="O1248" t="str">
        <f>TEXT(Table1[[#This Row],[Date]],"mmm")</f>
        <v>Jun</v>
      </c>
      <c r="P1248">
        <f>MONTH(Table1[[#This Row],[Date]])</f>
        <v>6</v>
      </c>
    </row>
    <row r="1249" spans="1:16" x14ac:dyDescent="0.25">
      <c r="A1249" t="s">
        <v>1268</v>
      </c>
      <c r="B1249" t="s">
        <v>21</v>
      </c>
      <c r="C1249" t="s">
        <v>17</v>
      </c>
      <c r="D1249" s="1">
        <v>45401</v>
      </c>
      <c r="E1249">
        <v>19176</v>
      </c>
      <c r="F1249">
        <v>475</v>
      </c>
      <c r="G1249">
        <v>10</v>
      </c>
      <c r="H1249" s="4">
        <v>3841.36</v>
      </c>
      <c r="I1249" s="4">
        <v>622.91999999999996</v>
      </c>
      <c r="J1249" s="7">
        <f>Table1[[#This Row],[Clicks]]/Table1[[#This Row],[Impressions]]</f>
        <v>2.4770546516478933E-2</v>
      </c>
      <c r="K1249" s="7">
        <f>IFERROR(Table1[[#This Row],[Conversions]]/Table1[[#This Row],[Clicks]],0)</f>
        <v>2.1052631578947368E-2</v>
      </c>
      <c r="L1249" s="6">
        <f>IF(Table1[[#This Row],[Conversions]]=0,0,Table1[[#This Row],[Ad Spend]]/Table1[[#This Row],[Conversions]])</f>
        <v>384.13600000000002</v>
      </c>
      <c r="M1249" s="8">
        <f>IF(Table1[[#This Row],[Ad Spend]]=0,0,Table1[[#This Row],[Revenue]]/Table1[[#This Row],[Ad Spend]])</f>
        <v>0.16216131786658891</v>
      </c>
      <c r="N1249">
        <f>YEAR(Table1[[#This Row],[Date]])</f>
        <v>2024</v>
      </c>
      <c r="O1249" t="str">
        <f>TEXT(Table1[[#This Row],[Date]],"mmm")</f>
        <v>Apr</v>
      </c>
      <c r="P1249">
        <f>MONTH(Table1[[#This Row],[Date]])</f>
        <v>4</v>
      </c>
    </row>
    <row r="1250" spans="1:16" x14ac:dyDescent="0.25">
      <c r="A1250" t="s">
        <v>1269</v>
      </c>
      <c r="B1250" t="s">
        <v>34</v>
      </c>
      <c r="C1250" t="s">
        <v>37</v>
      </c>
      <c r="D1250" s="1">
        <v>45334</v>
      </c>
      <c r="E1250">
        <v>42155</v>
      </c>
      <c r="F1250">
        <v>625</v>
      </c>
      <c r="G1250">
        <v>45</v>
      </c>
      <c r="H1250" s="4">
        <v>1632.02</v>
      </c>
      <c r="I1250" s="4">
        <v>4104.93</v>
      </c>
      <c r="J1250" s="7">
        <f>Table1[[#This Row],[Clicks]]/Table1[[#This Row],[Impressions]]</f>
        <v>1.4826236508124778E-2</v>
      </c>
      <c r="K1250" s="7">
        <f>IFERROR(Table1[[#This Row],[Conversions]]/Table1[[#This Row],[Clicks]],0)</f>
        <v>7.1999999999999995E-2</v>
      </c>
      <c r="L1250" s="6">
        <f>IF(Table1[[#This Row],[Conversions]]=0,0,Table1[[#This Row],[Ad Spend]]/Table1[[#This Row],[Conversions]])</f>
        <v>36.267111111111113</v>
      </c>
      <c r="M1250" s="8">
        <f>IF(Table1[[#This Row],[Ad Spend]]=0,0,Table1[[#This Row],[Revenue]]/Table1[[#This Row],[Ad Spend]])</f>
        <v>2.5152449112143236</v>
      </c>
      <c r="N1250">
        <f>YEAR(Table1[[#This Row],[Date]])</f>
        <v>2024</v>
      </c>
      <c r="O1250" t="str">
        <f>TEXT(Table1[[#This Row],[Date]],"mmm")</f>
        <v>Feb</v>
      </c>
      <c r="P1250">
        <f>MONTH(Table1[[#This Row],[Date]])</f>
        <v>2</v>
      </c>
    </row>
    <row r="1251" spans="1:16" x14ac:dyDescent="0.25">
      <c r="A1251" t="s">
        <v>1270</v>
      </c>
      <c r="B1251" t="s">
        <v>21</v>
      </c>
      <c r="C1251" t="s">
        <v>12</v>
      </c>
      <c r="D1251" s="1">
        <v>45401</v>
      </c>
      <c r="E1251">
        <v>73012</v>
      </c>
      <c r="F1251">
        <v>1670</v>
      </c>
      <c r="G1251">
        <v>45</v>
      </c>
      <c r="H1251" s="4">
        <v>4495.79</v>
      </c>
      <c r="I1251" s="4">
        <v>2828.4</v>
      </c>
      <c r="J1251" s="7">
        <f>Table1[[#This Row],[Clicks]]/Table1[[#This Row],[Impressions]]</f>
        <v>2.2872952391387716E-2</v>
      </c>
      <c r="K1251" s="7">
        <f>IFERROR(Table1[[#This Row],[Conversions]]/Table1[[#This Row],[Clicks]],0)</f>
        <v>2.6946107784431138E-2</v>
      </c>
      <c r="L1251" s="6">
        <f>IF(Table1[[#This Row],[Conversions]]=0,0,Table1[[#This Row],[Ad Spend]]/Table1[[#This Row],[Conversions]])</f>
        <v>99.906444444444446</v>
      </c>
      <c r="M1251" s="8">
        <f>IF(Table1[[#This Row],[Ad Spend]]=0,0,Table1[[#This Row],[Revenue]]/Table1[[#This Row],[Ad Spend]])</f>
        <v>0.62912191183307054</v>
      </c>
      <c r="N1251">
        <f>YEAR(Table1[[#This Row],[Date]])</f>
        <v>2024</v>
      </c>
      <c r="O1251" t="str">
        <f>TEXT(Table1[[#This Row],[Date]],"mmm")</f>
        <v>Apr</v>
      </c>
      <c r="P1251">
        <f>MONTH(Table1[[#This Row],[Date]])</f>
        <v>4</v>
      </c>
    </row>
    <row r="1252" spans="1:16" x14ac:dyDescent="0.25">
      <c r="A1252" t="s">
        <v>1271</v>
      </c>
      <c r="B1252" t="s">
        <v>34</v>
      </c>
      <c r="C1252" t="s">
        <v>37</v>
      </c>
      <c r="D1252" s="1">
        <v>45393</v>
      </c>
      <c r="E1252">
        <v>96560</v>
      </c>
      <c r="F1252">
        <v>7332</v>
      </c>
      <c r="G1252">
        <v>605</v>
      </c>
      <c r="H1252" s="4">
        <v>2770.43</v>
      </c>
      <c r="I1252" s="4">
        <v>59523.37</v>
      </c>
      <c r="J1252" s="7">
        <f>Table1[[#This Row],[Clicks]]/Table1[[#This Row],[Impressions]]</f>
        <v>7.5932062966031486E-2</v>
      </c>
      <c r="K1252" s="7">
        <f>IFERROR(Table1[[#This Row],[Conversions]]/Table1[[#This Row],[Clicks]],0)</f>
        <v>8.2515002727768683E-2</v>
      </c>
      <c r="L1252" s="6">
        <f>IF(Table1[[#This Row],[Conversions]]=0,0,Table1[[#This Row],[Ad Spend]]/Table1[[#This Row],[Conversions]])</f>
        <v>4.5792231404958672</v>
      </c>
      <c r="M1252" s="8">
        <f>IF(Table1[[#This Row],[Ad Spend]]=0,0,Table1[[#This Row],[Revenue]]/Table1[[#This Row],[Ad Spend]])</f>
        <v>21.485245972646847</v>
      </c>
      <c r="N1252">
        <f>YEAR(Table1[[#This Row],[Date]])</f>
        <v>2024</v>
      </c>
      <c r="O1252" t="str">
        <f>TEXT(Table1[[#This Row],[Date]],"mmm")</f>
        <v>Apr</v>
      </c>
      <c r="P1252">
        <f>MONTH(Table1[[#This Row],[Date]])</f>
        <v>4</v>
      </c>
    </row>
    <row r="1253" spans="1:16" x14ac:dyDescent="0.25">
      <c r="A1253" t="s">
        <v>1272</v>
      </c>
      <c r="B1253" t="s">
        <v>21</v>
      </c>
      <c r="C1253" t="s">
        <v>19</v>
      </c>
      <c r="D1253" s="1">
        <v>45646</v>
      </c>
      <c r="E1253">
        <v>107010</v>
      </c>
      <c r="F1253">
        <v>7235</v>
      </c>
      <c r="G1253">
        <v>672</v>
      </c>
      <c r="H1253" s="4">
        <v>4490.1400000000003</v>
      </c>
      <c r="I1253" s="4">
        <v>26783.23</v>
      </c>
      <c r="J1253" s="7">
        <f>Table1[[#This Row],[Clicks]]/Table1[[#This Row],[Impressions]]</f>
        <v>6.7610503691243815E-2</v>
      </c>
      <c r="K1253" s="7">
        <f>IFERROR(Table1[[#This Row],[Conversions]]/Table1[[#This Row],[Clicks]],0)</f>
        <v>9.2881824464409124E-2</v>
      </c>
      <c r="L1253" s="6">
        <f>IF(Table1[[#This Row],[Conversions]]=0,0,Table1[[#This Row],[Ad Spend]]/Table1[[#This Row],[Conversions]])</f>
        <v>6.6817559523809527</v>
      </c>
      <c r="M1253" s="8">
        <f>IF(Table1[[#This Row],[Ad Spend]]=0,0,Table1[[#This Row],[Revenue]]/Table1[[#This Row],[Ad Spend]])</f>
        <v>5.9648986445856913</v>
      </c>
      <c r="N1253">
        <f>YEAR(Table1[[#This Row],[Date]])</f>
        <v>2024</v>
      </c>
      <c r="O1253" t="str">
        <f>TEXT(Table1[[#This Row],[Date]],"mmm")</f>
        <v>Dec</v>
      </c>
      <c r="P1253">
        <f>MONTH(Table1[[#This Row],[Date]])</f>
        <v>12</v>
      </c>
    </row>
    <row r="1254" spans="1:16" x14ac:dyDescent="0.25">
      <c r="A1254" t="s">
        <v>1273</v>
      </c>
      <c r="B1254" t="s">
        <v>16</v>
      </c>
      <c r="C1254" t="s">
        <v>19</v>
      </c>
      <c r="D1254" s="1">
        <v>45632</v>
      </c>
      <c r="E1254">
        <v>87972</v>
      </c>
      <c r="F1254">
        <v>967</v>
      </c>
      <c r="G1254">
        <v>132</v>
      </c>
      <c r="H1254" s="4">
        <v>4682.33</v>
      </c>
      <c r="I1254" s="4">
        <v>9232.68</v>
      </c>
      <c r="J1254" s="7">
        <f>Table1[[#This Row],[Clicks]]/Table1[[#This Row],[Impressions]]</f>
        <v>1.0992133860773882E-2</v>
      </c>
      <c r="K1254" s="7">
        <f>IFERROR(Table1[[#This Row],[Conversions]]/Table1[[#This Row],[Clicks]],0)</f>
        <v>0.13650465356773525</v>
      </c>
      <c r="L1254" s="6">
        <f>IF(Table1[[#This Row],[Conversions]]=0,0,Table1[[#This Row],[Ad Spend]]/Table1[[#This Row],[Conversions]])</f>
        <v>35.472196969696967</v>
      </c>
      <c r="M1254" s="8">
        <f>IF(Table1[[#This Row],[Ad Spend]]=0,0,Table1[[#This Row],[Revenue]]/Table1[[#This Row],[Ad Spend]])</f>
        <v>1.9718131784816535</v>
      </c>
      <c r="N1254">
        <f>YEAR(Table1[[#This Row],[Date]])</f>
        <v>2024</v>
      </c>
      <c r="O1254" t="str">
        <f>TEXT(Table1[[#This Row],[Date]],"mmm")</f>
        <v>Dec</v>
      </c>
      <c r="P1254">
        <f>MONTH(Table1[[#This Row],[Date]])</f>
        <v>12</v>
      </c>
    </row>
    <row r="1255" spans="1:16" x14ac:dyDescent="0.25">
      <c r="A1255" t="s">
        <v>1274</v>
      </c>
      <c r="B1255" t="s">
        <v>47</v>
      </c>
      <c r="C1255" t="s">
        <v>10</v>
      </c>
      <c r="D1255" s="1">
        <v>45697</v>
      </c>
      <c r="E1255">
        <v>111531</v>
      </c>
      <c r="F1255">
        <v>3167</v>
      </c>
      <c r="G1255">
        <v>360</v>
      </c>
      <c r="H1255" s="4">
        <v>4943.55</v>
      </c>
      <c r="I1255" s="4">
        <v>41159.65</v>
      </c>
      <c r="J1255" s="7">
        <f>Table1[[#This Row],[Clicks]]/Table1[[#This Row],[Impressions]]</f>
        <v>2.8395692677372211E-2</v>
      </c>
      <c r="K1255" s="7">
        <f>IFERROR(Table1[[#This Row],[Conversions]]/Table1[[#This Row],[Clicks]],0)</f>
        <v>0.11367224502683929</v>
      </c>
      <c r="L1255" s="6">
        <f>IF(Table1[[#This Row],[Conversions]]=0,0,Table1[[#This Row],[Ad Spend]]/Table1[[#This Row],[Conversions]])</f>
        <v>13.732083333333334</v>
      </c>
      <c r="M1255" s="8">
        <f>IF(Table1[[#This Row],[Ad Spend]]=0,0,Table1[[#This Row],[Revenue]]/Table1[[#This Row],[Ad Spend]])</f>
        <v>8.3259297468418438</v>
      </c>
      <c r="N1255">
        <f>YEAR(Table1[[#This Row],[Date]])</f>
        <v>2025</v>
      </c>
      <c r="O1255" t="str">
        <f>TEXT(Table1[[#This Row],[Date]],"mmm")</f>
        <v>Feb</v>
      </c>
      <c r="P1255">
        <f>MONTH(Table1[[#This Row],[Date]])</f>
        <v>2</v>
      </c>
    </row>
    <row r="1256" spans="1:16" x14ac:dyDescent="0.25">
      <c r="A1256" t="s">
        <v>1275</v>
      </c>
      <c r="B1256" t="s">
        <v>16</v>
      </c>
      <c r="C1256" t="s">
        <v>17</v>
      </c>
      <c r="D1256" s="1">
        <v>45619</v>
      </c>
      <c r="E1256">
        <v>30544</v>
      </c>
      <c r="F1256">
        <v>383</v>
      </c>
      <c r="G1256">
        <v>44</v>
      </c>
      <c r="H1256" s="4">
        <v>1100.75</v>
      </c>
      <c r="I1256" s="4">
        <v>3944.36</v>
      </c>
      <c r="J1256" s="7">
        <f>Table1[[#This Row],[Clicks]]/Table1[[#This Row],[Impressions]]</f>
        <v>1.2539287585123101E-2</v>
      </c>
      <c r="K1256" s="7">
        <f>IFERROR(Table1[[#This Row],[Conversions]]/Table1[[#This Row],[Clicks]],0)</f>
        <v>0.11488250652741515</v>
      </c>
      <c r="L1256" s="6">
        <f>IF(Table1[[#This Row],[Conversions]]=0,0,Table1[[#This Row],[Ad Spend]]/Table1[[#This Row],[Conversions]])</f>
        <v>25.017045454545453</v>
      </c>
      <c r="M1256" s="8">
        <f>IF(Table1[[#This Row],[Ad Spend]]=0,0,Table1[[#This Row],[Revenue]]/Table1[[#This Row],[Ad Spend]])</f>
        <v>3.5833386327503978</v>
      </c>
      <c r="N1256">
        <f>YEAR(Table1[[#This Row],[Date]])</f>
        <v>2024</v>
      </c>
      <c r="O1256" t="str">
        <f>TEXT(Table1[[#This Row],[Date]],"mmm")</f>
        <v>Nov</v>
      </c>
      <c r="P1256">
        <f>MONTH(Table1[[#This Row],[Date]])</f>
        <v>11</v>
      </c>
    </row>
    <row r="1257" spans="1:16" x14ac:dyDescent="0.25">
      <c r="A1257" t="s">
        <v>1276</v>
      </c>
      <c r="B1257" t="s">
        <v>16</v>
      </c>
      <c r="C1257" t="s">
        <v>12</v>
      </c>
      <c r="D1257" s="1">
        <v>45485</v>
      </c>
      <c r="E1257">
        <v>61659</v>
      </c>
      <c r="F1257">
        <v>2118</v>
      </c>
      <c r="G1257">
        <v>304</v>
      </c>
      <c r="H1257" s="4">
        <v>4864.37</v>
      </c>
      <c r="I1257" s="4">
        <v>23615.83</v>
      </c>
      <c r="J1257" s="7">
        <f>Table1[[#This Row],[Clicks]]/Table1[[#This Row],[Impressions]]</f>
        <v>3.435021651340437E-2</v>
      </c>
      <c r="K1257" s="7">
        <f>IFERROR(Table1[[#This Row],[Conversions]]/Table1[[#This Row],[Clicks]],0)</f>
        <v>0.14353163361661944</v>
      </c>
      <c r="L1257" s="6">
        <f>IF(Table1[[#This Row],[Conversions]]=0,0,Table1[[#This Row],[Ad Spend]]/Table1[[#This Row],[Conversions]])</f>
        <v>16.001217105263159</v>
      </c>
      <c r="M1257" s="8">
        <f>IF(Table1[[#This Row],[Ad Spend]]=0,0,Table1[[#This Row],[Revenue]]/Table1[[#This Row],[Ad Spend]])</f>
        <v>4.8548589025917028</v>
      </c>
      <c r="N1257">
        <f>YEAR(Table1[[#This Row],[Date]])</f>
        <v>2024</v>
      </c>
      <c r="O1257" t="str">
        <f>TEXT(Table1[[#This Row],[Date]],"mmm")</f>
        <v>Jul</v>
      </c>
      <c r="P1257">
        <f>MONTH(Table1[[#This Row],[Date]])</f>
        <v>7</v>
      </c>
    </row>
    <row r="1258" spans="1:16" x14ac:dyDescent="0.25">
      <c r="A1258" t="s">
        <v>1277</v>
      </c>
      <c r="B1258" t="s">
        <v>31</v>
      </c>
      <c r="C1258" t="s">
        <v>19</v>
      </c>
      <c r="D1258" s="1">
        <v>45708</v>
      </c>
      <c r="E1258">
        <v>100366</v>
      </c>
      <c r="F1258">
        <v>1117</v>
      </c>
      <c r="G1258">
        <v>152</v>
      </c>
      <c r="H1258" s="4">
        <v>2610.0100000000002</v>
      </c>
      <c r="I1258" s="4">
        <v>16229.92</v>
      </c>
      <c r="J1258" s="7">
        <f>Table1[[#This Row],[Clicks]]/Table1[[#This Row],[Impressions]]</f>
        <v>1.1129266883207461E-2</v>
      </c>
      <c r="K1258" s="7">
        <f>IFERROR(Table1[[#This Row],[Conversions]]/Table1[[#This Row],[Clicks]],0)</f>
        <v>0.13607878245299909</v>
      </c>
      <c r="L1258" s="6">
        <f>IF(Table1[[#This Row],[Conversions]]=0,0,Table1[[#This Row],[Ad Spend]]/Table1[[#This Row],[Conversions]])</f>
        <v>17.171118421052633</v>
      </c>
      <c r="M1258" s="8">
        <f>IF(Table1[[#This Row],[Ad Spend]]=0,0,Table1[[#This Row],[Revenue]]/Table1[[#This Row],[Ad Spend]])</f>
        <v>6.2183363282133017</v>
      </c>
      <c r="N1258">
        <f>YEAR(Table1[[#This Row],[Date]])</f>
        <v>2025</v>
      </c>
      <c r="O1258" t="str">
        <f>TEXT(Table1[[#This Row],[Date]],"mmm")</f>
        <v>Feb</v>
      </c>
      <c r="P1258">
        <f>MONTH(Table1[[#This Row],[Date]])</f>
        <v>2</v>
      </c>
    </row>
    <row r="1259" spans="1:16" x14ac:dyDescent="0.25">
      <c r="A1259" t="s">
        <v>1278</v>
      </c>
      <c r="B1259" t="s">
        <v>41</v>
      </c>
      <c r="C1259" t="s">
        <v>17</v>
      </c>
      <c r="D1259" s="1">
        <v>45503</v>
      </c>
      <c r="E1259">
        <v>112580</v>
      </c>
      <c r="F1259">
        <v>3897</v>
      </c>
      <c r="G1259">
        <v>497</v>
      </c>
      <c r="H1259" s="4">
        <v>2244.08</v>
      </c>
      <c r="I1259" s="4">
        <v>58351.29</v>
      </c>
      <c r="J1259" s="7">
        <f>Table1[[#This Row],[Clicks]]/Table1[[#This Row],[Impressions]]</f>
        <v>3.4615384615384617E-2</v>
      </c>
      <c r="K1259" s="7">
        <f>IFERROR(Table1[[#This Row],[Conversions]]/Table1[[#This Row],[Clicks]],0)</f>
        <v>0.12753400051321528</v>
      </c>
      <c r="L1259" s="6">
        <f>IF(Table1[[#This Row],[Conversions]]=0,0,Table1[[#This Row],[Ad Spend]]/Table1[[#This Row],[Conversions]])</f>
        <v>4.5152515090543259</v>
      </c>
      <c r="M1259" s="8">
        <f>IF(Table1[[#This Row],[Ad Spend]]=0,0,Table1[[#This Row],[Revenue]]/Table1[[#This Row],[Ad Spend]])</f>
        <v>26.002321664111797</v>
      </c>
      <c r="N1259">
        <f>YEAR(Table1[[#This Row],[Date]])</f>
        <v>2024</v>
      </c>
      <c r="O1259" t="str">
        <f>TEXT(Table1[[#This Row],[Date]],"mmm")</f>
        <v>Jul</v>
      </c>
      <c r="P1259">
        <f>MONTH(Table1[[#This Row],[Date]])</f>
        <v>7</v>
      </c>
    </row>
    <row r="1260" spans="1:16" x14ac:dyDescent="0.25">
      <c r="A1260" t="s">
        <v>1279</v>
      </c>
      <c r="B1260" t="s">
        <v>47</v>
      </c>
      <c r="C1260" t="s">
        <v>10</v>
      </c>
      <c r="D1260" s="1">
        <v>45382</v>
      </c>
      <c r="E1260">
        <v>125277</v>
      </c>
      <c r="F1260">
        <v>5009</v>
      </c>
      <c r="G1260">
        <v>215</v>
      </c>
      <c r="H1260" s="4">
        <v>3055.48</v>
      </c>
      <c r="I1260" s="4">
        <v>15969.4</v>
      </c>
      <c r="J1260" s="7">
        <f>Table1[[#This Row],[Clicks]]/Table1[[#This Row],[Impressions]]</f>
        <v>3.9983396792707362E-2</v>
      </c>
      <c r="K1260" s="7">
        <f>IFERROR(Table1[[#This Row],[Conversions]]/Table1[[#This Row],[Clicks]],0)</f>
        <v>4.2922739069674587E-2</v>
      </c>
      <c r="L1260" s="6">
        <f>IF(Table1[[#This Row],[Conversions]]=0,0,Table1[[#This Row],[Ad Spend]]/Table1[[#This Row],[Conversions]])</f>
        <v>14.21153488372093</v>
      </c>
      <c r="M1260" s="8">
        <f>IF(Table1[[#This Row],[Ad Spend]]=0,0,Table1[[#This Row],[Revenue]]/Table1[[#This Row],[Ad Spend]])</f>
        <v>5.2264783274640969</v>
      </c>
      <c r="N1260">
        <f>YEAR(Table1[[#This Row],[Date]])</f>
        <v>2024</v>
      </c>
      <c r="O1260" t="str">
        <f>TEXT(Table1[[#This Row],[Date]],"mmm")</f>
        <v>Mar</v>
      </c>
      <c r="P1260">
        <f>MONTH(Table1[[#This Row],[Date]])</f>
        <v>3</v>
      </c>
    </row>
    <row r="1261" spans="1:16" x14ac:dyDescent="0.25">
      <c r="A1261" t="s">
        <v>1280</v>
      </c>
      <c r="B1261" t="s">
        <v>21</v>
      </c>
      <c r="C1261" t="s">
        <v>19</v>
      </c>
      <c r="D1261" s="1">
        <v>45629</v>
      </c>
      <c r="E1261">
        <v>119686</v>
      </c>
      <c r="F1261">
        <v>6509</v>
      </c>
      <c r="G1261">
        <v>724</v>
      </c>
      <c r="H1261" s="4">
        <v>4701.93</v>
      </c>
      <c r="I1261" s="4">
        <v>80065.91</v>
      </c>
      <c r="J1261" s="7">
        <f>Table1[[#This Row],[Clicks]]/Table1[[#This Row],[Impressions]]</f>
        <v>5.4383971391808568E-2</v>
      </c>
      <c r="K1261" s="7">
        <f>IFERROR(Table1[[#This Row],[Conversions]]/Table1[[#This Row],[Clicks]],0)</f>
        <v>0.11123060377938239</v>
      </c>
      <c r="L1261" s="6">
        <f>IF(Table1[[#This Row],[Conversions]]=0,0,Table1[[#This Row],[Ad Spend]]/Table1[[#This Row],[Conversions]])</f>
        <v>6.4943784530386743</v>
      </c>
      <c r="M1261" s="8">
        <f>IF(Table1[[#This Row],[Ad Spend]]=0,0,Table1[[#This Row],[Revenue]]/Table1[[#This Row],[Ad Spend]])</f>
        <v>17.028307524782377</v>
      </c>
      <c r="N1261">
        <f>YEAR(Table1[[#This Row],[Date]])</f>
        <v>2024</v>
      </c>
      <c r="O1261" t="str">
        <f>TEXT(Table1[[#This Row],[Date]],"mmm")</f>
        <v>Dec</v>
      </c>
      <c r="P1261">
        <f>MONTH(Table1[[#This Row],[Date]])</f>
        <v>12</v>
      </c>
    </row>
    <row r="1262" spans="1:16" x14ac:dyDescent="0.25">
      <c r="A1262" t="s">
        <v>1281</v>
      </c>
      <c r="B1262" t="s">
        <v>9</v>
      </c>
      <c r="C1262" t="s">
        <v>10</v>
      </c>
      <c r="D1262" s="1">
        <v>45704</v>
      </c>
      <c r="E1262">
        <v>32213</v>
      </c>
      <c r="F1262">
        <v>524</v>
      </c>
      <c r="G1262">
        <v>11</v>
      </c>
      <c r="H1262" s="4">
        <v>4675.9799999999996</v>
      </c>
      <c r="I1262" s="4">
        <v>334.04</v>
      </c>
      <c r="J1262" s="7">
        <f>Table1[[#This Row],[Clicks]]/Table1[[#This Row],[Impressions]]</f>
        <v>1.6266724614286156E-2</v>
      </c>
      <c r="K1262" s="7">
        <f>IFERROR(Table1[[#This Row],[Conversions]]/Table1[[#This Row],[Clicks]],0)</f>
        <v>2.0992366412213741E-2</v>
      </c>
      <c r="L1262" s="6">
        <f>IF(Table1[[#This Row],[Conversions]]=0,0,Table1[[#This Row],[Ad Spend]]/Table1[[#This Row],[Conversions]])</f>
        <v>425.08909090909088</v>
      </c>
      <c r="M1262" s="8">
        <f>IF(Table1[[#This Row],[Ad Spend]]=0,0,Table1[[#This Row],[Revenue]]/Table1[[#This Row],[Ad Spend]])</f>
        <v>7.1437431297824205E-2</v>
      </c>
      <c r="N1262">
        <f>YEAR(Table1[[#This Row],[Date]])</f>
        <v>2025</v>
      </c>
      <c r="O1262" t="str">
        <f>TEXT(Table1[[#This Row],[Date]],"mmm")</f>
        <v>Feb</v>
      </c>
      <c r="P1262">
        <f>MONTH(Table1[[#This Row],[Date]])</f>
        <v>2</v>
      </c>
    </row>
    <row r="1263" spans="1:16" x14ac:dyDescent="0.25">
      <c r="A1263" t="s">
        <v>1282</v>
      </c>
      <c r="B1263" t="s">
        <v>9</v>
      </c>
      <c r="C1263" t="s">
        <v>17</v>
      </c>
      <c r="D1263" s="1">
        <v>45549</v>
      </c>
      <c r="E1263">
        <v>13555</v>
      </c>
      <c r="F1263">
        <v>769</v>
      </c>
      <c r="G1263">
        <v>100</v>
      </c>
      <c r="H1263" s="4">
        <v>1216.98</v>
      </c>
      <c r="I1263" s="4">
        <v>9768.7999999999993</v>
      </c>
      <c r="J1263" s="7">
        <f>Table1[[#This Row],[Clicks]]/Table1[[#This Row],[Impressions]]</f>
        <v>5.6731833271855402E-2</v>
      </c>
      <c r="K1263" s="7">
        <f>IFERROR(Table1[[#This Row],[Conversions]]/Table1[[#This Row],[Clicks]],0)</f>
        <v>0.13003901170351106</v>
      </c>
      <c r="L1263" s="6">
        <f>IF(Table1[[#This Row],[Conversions]]=0,0,Table1[[#This Row],[Ad Spend]]/Table1[[#This Row],[Conversions]])</f>
        <v>12.1698</v>
      </c>
      <c r="M1263" s="8">
        <f>IF(Table1[[#This Row],[Ad Spend]]=0,0,Table1[[#This Row],[Revenue]]/Table1[[#This Row],[Ad Spend]])</f>
        <v>8.0270834360466061</v>
      </c>
      <c r="N1263">
        <f>YEAR(Table1[[#This Row],[Date]])</f>
        <v>2024</v>
      </c>
      <c r="O1263" t="str">
        <f>TEXT(Table1[[#This Row],[Date]],"mmm")</f>
        <v>Sept</v>
      </c>
      <c r="P1263">
        <f>MONTH(Table1[[#This Row],[Date]])</f>
        <v>9</v>
      </c>
    </row>
    <row r="1264" spans="1:16" x14ac:dyDescent="0.25">
      <c r="A1264" t="s">
        <v>1283</v>
      </c>
      <c r="B1264" t="s">
        <v>21</v>
      </c>
      <c r="C1264" t="s">
        <v>10</v>
      </c>
      <c r="D1264" s="1">
        <v>45392</v>
      </c>
      <c r="E1264">
        <v>128096</v>
      </c>
      <c r="F1264">
        <v>9804</v>
      </c>
      <c r="G1264">
        <v>642</v>
      </c>
      <c r="H1264" s="4">
        <v>4010.01</v>
      </c>
      <c r="I1264" s="4">
        <v>42625.41</v>
      </c>
      <c r="J1264" s="7">
        <f>Table1[[#This Row],[Clicks]]/Table1[[#This Row],[Impressions]]</f>
        <v>7.6536347739195598E-2</v>
      </c>
      <c r="K1264" s="7">
        <f>IFERROR(Table1[[#This Row],[Conversions]]/Table1[[#This Row],[Clicks]],0)</f>
        <v>6.5483476132190938E-2</v>
      </c>
      <c r="L1264" s="6">
        <f>IF(Table1[[#This Row],[Conversions]]=0,0,Table1[[#This Row],[Ad Spend]]/Table1[[#This Row],[Conversions]])</f>
        <v>6.2461214953271034</v>
      </c>
      <c r="M1264" s="8">
        <f>IF(Table1[[#This Row],[Ad Spend]]=0,0,Table1[[#This Row],[Revenue]]/Table1[[#This Row],[Ad Spend]])</f>
        <v>10.629751546754248</v>
      </c>
      <c r="N1264">
        <f>YEAR(Table1[[#This Row],[Date]])</f>
        <v>2024</v>
      </c>
      <c r="O1264" t="str">
        <f>TEXT(Table1[[#This Row],[Date]],"mmm")</f>
        <v>Apr</v>
      </c>
      <c r="P1264">
        <f>MONTH(Table1[[#This Row],[Date]])</f>
        <v>4</v>
      </c>
    </row>
    <row r="1265" spans="1:16" x14ac:dyDescent="0.25">
      <c r="A1265" t="s">
        <v>1284</v>
      </c>
      <c r="B1265" t="s">
        <v>21</v>
      </c>
      <c r="C1265" t="s">
        <v>10</v>
      </c>
      <c r="D1265" s="1">
        <v>45483</v>
      </c>
      <c r="E1265">
        <v>63703</v>
      </c>
      <c r="F1265">
        <v>2900</v>
      </c>
      <c r="G1265">
        <v>158</v>
      </c>
      <c r="H1265" s="4">
        <v>3361.67</v>
      </c>
      <c r="I1265" s="4">
        <v>8016.87</v>
      </c>
      <c r="J1265" s="7">
        <f>Table1[[#This Row],[Clicks]]/Table1[[#This Row],[Impressions]]</f>
        <v>4.5523758692683235E-2</v>
      </c>
      <c r="K1265" s="7">
        <f>IFERROR(Table1[[#This Row],[Conversions]]/Table1[[#This Row],[Clicks]],0)</f>
        <v>5.4482758620689659E-2</v>
      </c>
      <c r="L1265" s="6">
        <f>IF(Table1[[#This Row],[Conversions]]=0,0,Table1[[#This Row],[Ad Spend]]/Table1[[#This Row],[Conversions]])</f>
        <v>21.276392405063291</v>
      </c>
      <c r="M1265" s="8">
        <f>IF(Table1[[#This Row],[Ad Spend]]=0,0,Table1[[#This Row],[Revenue]]/Table1[[#This Row],[Ad Spend]])</f>
        <v>2.3847879179098483</v>
      </c>
      <c r="N1265">
        <f>YEAR(Table1[[#This Row],[Date]])</f>
        <v>2024</v>
      </c>
      <c r="O1265" t="str">
        <f>TEXT(Table1[[#This Row],[Date]],"mmm")</f>
        <v>Jul</v>
      </c>
      <c r="P1265">
        <f>MONTH(Table1[[#This Row],[Date]])</f>
        <v>7</v>
      </c>
    </row>
    <row r="1266" spans="1:16" x14ac:dyDescent="0.25">
      <c r="A1266" t="s">
        <v>1285</v>
      </c>
      <c r="B1266" t="s">
        <v>21</v>
      </c>
      <c r="C1266" t="s">
        <v>37</v>
      </c>
      <c r="D1266" s="1">
        <v>45294</v>
      </c>
      <c r="E1266">
        <v>113673</v>
      </c>
      <c r="F1266">
        <v>1396</v>
      </c>
      <c r="G1266">
        <v>32</v>
      </c>
      <c r="H1266" s="4">
        <v>3994.45</v>
      </c>
      <c r="I1266" s="4">
        <v>3330.46</v>
      </c>
      <c r="J1266" s="7">
        <f>Table1[[#This Row],[Clicks]]/Table1[[#This Row],[Impressions]]</f>
        <v>1.2280840656972191E-2</v>
      </c>
      <c r="K1266" s="7">
        <f>IFERROR(Table1[[#This Row],[Conversions]]/Table1[[#This Row],[Clicks]],0)</f>
        <v>2.2922636103151862E-2</v>
      </c>
      <c r="L1266" s="6">
        <f>IF(Table1[[#This Row],[Conversions]]=0,0,Table1[[#This Row],[Ad Spend]]/Table1[[#This Row],[Conversions]])</f>
        <v>124.82656249999999</v>
      </c>
      <c r="M1266" s="8">
        <f>IF(Table1[[#This Row],[Ad Spend]]=0,0,Table1[[#This Row],[Revenue]]/Table1[[#This Row],[Ad Spend]])</f>
        <v>0.83377185845360446</v>
      </c>
      <c r="N1266">
        <f>YEAR(Table1[[#This Row],[Date]])</f>
        <v>2024</v>
      </c>
      <c r="O1266" t="str">
        <f>TEXT(Table1[[#This Row],[Date]],"mmm")</f>
        <v>Jan</v>
      </c>
      <c r="P1266">
        <f>MONTH(Table1[[#This Row],[Date]])</f>
        <v>1</v>
      </c>
    </row>
    <row r="1267" spans="1:16" x14ac:dyDescent="0.25">
      <c r="A1267" t="s">
        <v>1286</v>
      </c>
      <c r="B1267" t="s">
        <v>47</v>
      </c>
      <c r="C1267" t="s">
        <v>19</v>
      </c>
      <c r="D1267" s="1">
        <v>45379</v>
      </c>
      <c r="E1267">
        <v>117727</v>
      </c>
      <c r="F1267">
        <v>3170</v>
      </c>
      <c r="G1267">
        <v>464</v>
      </c>
      <c r="H1267" s="4">
        <v>1124.77</v>
      </c>
      <c r="I1267" s="4">
        <v>39181.75</v>
      </c>
      <c r="J1267" s="7">
        <f>Table1[[#This Row],[Clicks]]/Table1[[#This Row],[Impressions]]</f>
        <v>2.6926703305104181E-2</v>
      </c>
      <c r="K1267" s="7">
        <f>IFERROR(Table1[[#This Row],[Conversions]]/Table1[[#This Row],[Clicks]],0)</f>
        <v>0.14637223974763408</v>
      </c>
      <c r="L1267" s="6">
        <f>IF(Table1[[#This Row],[Conversions]]=0,0,Table1[[#This Row],[Ad Spend]]/Table1[[#This Row],[Conversions]])</f>
        <v>2.4240732758620691</v>
      </c>
      <c r="M1267" s="8">
        <f>IF(Table1[[#This Row],[Ad Spend]]=0,0,Table1[[#This Row],[Revenue]]/Table1[[#This Row],[Ad Spend]])</f>
        <v>34.835344114796804</v>
      </c>
      <c r="N1267">
        <f>YEAR(Table1[[#This Row],[Date]])</f>
        <v>2024</v>
      </c>
      <c r="O1267" t="str">
        <f>TEXT(Table1[[#This Row],[Date]],"mmm")</f>
        <v>Mar</v>
      </c>
      <c r="P1267">
        <f>MONTH(Table1[[#This Row],[Date]])</f>
        <v>3</v>
      </c>
    </row>
    <row r="1268" spans="1:16" x14ac:dyDescent="0.25">
      <c r="A1268" t="s">
        <v>1287</v>
      </c>
      <c r="B1268" t="s">
        <v>31</v>
      </c>
      <c r="C1268" t="s">
        <v>12</v>
      </c>
      <c r="D1268" s="1">
        <v>45511</v>
      </c>
      <c r="E1268">
        <v>38782</v>
      </c>
      <c r="F1268">
        <v>2938</v>
      </c>
      <c r="G1268">
        <v>207</v>
      </c>
      <c r="H1268" s="4">
        <v>3694.94</v>
      </c>
      <c r="I1268" s="4">
        <v>12484.56</v>
      </c>
      <c r="J1268" s="7">
        <f>Table1[[#This Row],[Clicks]]/Table1[[#This Row],[Impressions]]</f>
        <v>7.5756794389149604E-2</v>
      </c>
      <c r="K1268" s="7">
        <f>IFERROR(Table1[[#This Row],[Conversions]]/Table1[[#This Row],[Clicks]],0)</f>
        <v>7.045609257998639E-2</v>
      </c>
      <c r="L1268" s="6">
        <f>IF(Table1[[#This Row],[Conversions]]=0,0,Table1[[#This Row],[Ad Spend]]/Table1[[#This Row],[Conversions]])</f>
        <v>17.849951690821257</v>
      </c>
      <c r="M1268" s="8">
        <f>IF(Table1[[#This Row],[Ad Spend]]=0,0,Table1[[#This Row],[Revenue]]/Table1[[#This Row],[Ad Spend]])</f>
        <v>3.3788261785035751</v>
      </c>
      <c r="N1268">
        <f>YEAR(Table1[[#This Row],[Date]])</f>
        <v>2024</v>
      </c>
      <c r="O1268" t="str">
        <f>TEXT(Table1[[#This Row],[Date]],"mmm")</f>
        <v>Aug</v>
      </c>
      <c r="P1268">
        <f>MONTH(Table1[[#This Row],[Date]])</f>
        <v>8</v>
      </c>
    </row>
    <row r="1269" spans="1:16" x14ac:dyDescent="0.25">
      <c r="A1269" t="s">
        <v>1288</v>
      </c>
      <c r="B1269" t="s">
        <v>47</v>
      </c>
      <c r="C1269" t="s">
        <v>12</v>
      </c>
      <c r="D1269" s="1">
        <v>45373</v>
      </c>
      <c r="E1269">
        <v>119662</v>
      </c>
      <c r="F1269">
        <v>3131</v>
      </c>
      <c r="G1269">
        <v>351</v>
      </c>
      <c r="H1269" s="4">
        <v>806.39</v>
      </c>
      <c r="I1269" s="4">
        <v>11174.88</v>
      </c>
      <c r="J1269" s="7">
        <f>Table1[[#This Row],[Clicks]]/Table1[[#This Row],[Impressions]]</f>
        <v>2.6165365780281124E-2</v>
      </c>
      <c r="K1269" s="7">
        <f>IFERROR(Table1[[#This Row],[Conversions]]/Table1[[#This Row],[Clicks]],0)</f>
        <v>0.11210475886298307</v>
      </c>
      <c r="L1269" s="6">
        <f>IF(Table1[[#This Row],[Conversions]]=0,0,Table1[[#This Row],[Ad Spend]]/Table1[[#This Row],[Conversions]])</f>
        <v>2.2974074074074076</v>
      </c>
      <c r="M1269" s="8">
        <f>IF(Table1[[#This Row],[Ad Spend]]=0,0,Table1[[#This Row],[Revenue]]/Table1[[#This Row],[Ad Spend]])</f>
        <v>13.857909944319745</v>
      </c>
      <c r="N1269">
        <f>YEAR(Table1[[#This Row],[Date]])</f>
        <v>2024</v>
      </c>
      <c r="O1269" t="str">
        <f>TEXT(Table1[[#This Row],[Date]],"mmm")</f>
        <v>Mar</v>
      </c>
      <c r="P1269">
        <f>MONTH(Table1[[#This Row],[Date]])</f>
        <v>3</v>
      </c>
    </row>
    <row r="1270" spans="1:16" x14ac:dyDescent="0.25">
      <c r="A1270" t="s">
        <v>1289</v>
      </c>
      <c r="B1270" t="s">
        <v>21</v>
      </c>
      <c r="C1270" t="s">
        <v>19</v>
      </c>
      <c r="D1270" s="1">
        <v>45575</v>
      </c>
      <c r="E1270">
        <v>46694</v>
      </c>
      <c r="F1270">
        <v>3567</v>
      </c>
      <c r="G1270">
        <v>165</v>
      </c>
      <c r="H1270" s="4">
        <v>647.66999999999996</v>
      </c>
      <c r="I1270" s="4">
        <v>10517.45</v>
      </c>
      <c r="J1270" s="7">
        <f>Table1[[#This Row],[Clicks]]/Table1[[#This Row],[Impressions]]</f>
        <v>7.6390971002698413E-2</v>
      </c>
      <c r="K1270" s="7">
        <f>IFERROR(Table1[[#This Row],[Conversions]]/Table1[[#This Row],[Clicks]],0)</f>
        <v>4.6257359125315388E-2</v>
      </c>
      <c r="L1270" s="6">
        <f>IF(Table1[[#This Row],[Conversions]]=0,0,Table1[[#This Row],[Ad Spend]]/Table1[[#This Row],[Conversions]])</f>
        <v>3.925272727272727</v>
      </c>
      <c r="M1270" s="8">
        <f>IF(Table1[[#This Row],[Ad Spend]]=0,0,Table1[[#This Row],[Revenue]]/Table1[[#This Row],[Ad Spend]])</f>
        <v>16.238902527521734</v>
      </c>
      <c r="N1270">
        <f>YEAR(Table1[[#This Row],[Date]])</f>
        <v>2024</v>
      </c>
      <c r="O1270" t="str">
        <f>TEXT(Table1[[#This Row],[Date]],"mmm")</f>
        <v>Oct</v>
      </c>
      <c r="P1270">
        <f>MONTH(Table1[[#This Row],[Date]])</f>
        <v>10</v>
      </c>
    </row>
    <row r="1271" spans="1:16" x14ac:dyDescent="0.25">
      <c r="A1271" t="s">
        <v>1290</v>
      </c>
      <c r="B1271" t="s">
        <v>16</v>
      </c>
      <c r="C1271" t="s">
        <v>10</v>
      </c>
      <c r="D1271" s="1">
        <v>45608</v>
      </c>
      <c r="E1271">
        <v>147520</v>
      </c>
      <c r="F1271">
        <v>10981</v>
      </c>
      <c r="G1271">
        <v>332</v>
      </c>
      <c r="H1271" s="4">
        <v>2035.54</v>
      </c>
      <c r="I1271" s="4">
        <v>31285.68</v>
      </c>
      <c r="J1271" s="7">
        <f>Table1[[#This Row],[Clicks]]/Table1[[#This Row],[Impressions]]</f>
        <v>7.4437364425162689E-2</v>
      </c>
      <c r="K1271" s="7">
        <f>IFERROR(Table1[[#This Row],[Conversions]]/Table1[[#This Row],[Clicks]],0)</f>
        <v>3.0234040615608779E-2</v>
      </c>
      <c r="L1271" s="6">
        <f>IF(Table1[[#This Row],[Conversions]]=0,0,Table1[[#This Row],[Ad Spend]]/Table1[[#This Row],[Conversions]])</f>
        <v>6.1311445783132532</v>
      </c>
      <c r="M1271" s="8">
        <f>IF(Table1[[#This Row],[Ad Spend]]=0,0,Table1[[#This Row],[Revenue]]/Table1[[#This Row],[Ad Spend]])</f>
        <v>15.369720074280044</v>
      </c>
      <c r="N1271">
        <f>YEAR(Table1[[#This Row],[Date]])</f>
        <v>2024</v>
      </c>
      <c r="O1271" t="str">
        <f>TEXT(Table1[[#This Row],[Date]],"mmm")</f>
        <v>Nov</v>
      </c>
      <c r="P1271">
        <f>MONTH(Table1[[#This Row],[Date]])</f>
        <v>11</v>
      </c>
    </row>
    <row r="1272" spans="1:16" x14ac:dyDescent="0.25">
      <c r="A1272" t="s">
        <v>1291</v>
      </c>
      <c r="B1272" t="s">
        <v>16</v>
      </c>
      <c r="C1272" t="s">
        <v>17</v>
      </c>
      <c r="D1272" s="1">
        <v>45616</v>
      </c>
      <c r="E1272">
        <v>98879</v>
      </c>
      <c r="F1272">
        <v>2280</v>
      </c>
      <c r="G1272">
        <v>239</v>
      </c>
      <c r="H1272" s="4">
        <v>1264.43</v>
      </c>
      <c r="I1272" s="4">
        <v>9412.51</v>
      </c>
      <c r="J1272" s="7">
        <f>Table1[[#This Row],[Clicks]]/Table1[[#This Row],[Impressions]]</f>
        <v>2.3058485623843283E-2</v>
      </c>
      <c r="K1272" s="7">
        <f>IFERROR(Table1[[#This Row],[Conversions]]/Table1[[#This Row],[Clicks]],0)</f>
        <v>0.10482456140350878</v>
      </c>
      <c r="L1272" s="6">
        <f>IF(Table1[[#This Row],[Conversions]]=0,0,Table1[[#This Row],[Ad Spend]]/Table1[[#This Row],[Conversions]])</f>
        <v>5.2905020920502093</v>
      </c>
      <c r="M1272" s="8">
        <f>IF(Table1[[#This Row],[Ad Spend]]=0,0,Table1[[#This Row],[Revenue]]/Table1[[#This Row],[Ad Spend]])</f>
        <v>7.444073614197702</v>
      </c>
      <c r="N1272">
        <f>YEAR(Table1[[#This Row],[Date]])</f>
        <v>2024</v>
      </c>
      <c r="O1272" t="str">
        <f>TEXT(Table1[[#This Row],[Date]],"mmm")</f>
        <v>Nov</v>
      </c>
      <c r="P1272">
        <f>MONTH(Table1[[#This Row],[Date]])</f>
        <v>11</v>
      </c>
    </row>
    <row r="1273" spans="1:16" x14ac:dyDescent="0.25">
      <c r="A1273" t="s">
        <v>1292</v>
      </c>
      <c r="B1273" t="s">
        <v>14</v>
      </c>
      <c r="C1273" t="s">
        <v>17</v>
      </c>
      <c r="D1273" s="1">
        <v>45686</v>
      </c>
      <c r="E1273">
        <v>73283</v>
      </c>
      <c r="F1273">
        <v>4114</v>
      </c>
      <c r="G1273">
        <v>229</v>
      </c>
      <c r="H1273" s="4">
        <v>4687.88</v>
      </c>
      <c r="I1273" s="4">
        <v>18948.330000000002</v>
      </c>
      <c r="J1273" s="7">
        <f>Table1[[#This Row],[Clicks]]/Table1[[#This Row],[Impressions]]</f>
        <v>5.6138531446583789E-2</v>
      </c>
      <c r="K1273" s="7">
        <f>IFERROR(Table1[[#This Row],[Conversions]]/Table1[[#This Row],[Clicks]],0)</f>
        <v>5.5663587749149243E-2</v>
      </c>
      <c r="L1273" s="6">
        <f>IF(Table1[[#This Row],[Conversions]]=0,0,Table1[[#This Row],[Ad Spend]]/Table1[[#This Row],[Conversions]])</f>
        <v>20.471091703056768</v>
      </c>
      <c r="M1273" s="8">
        <f>IF(Table1[[#This Row],[Ad Spend]]=0,0,Table1[[#This Row],[Revenue]]/Table1[[#This Row],[Ad Spend]])</f>
        <v>4.0419827299333599</v>
      </c>
      <c r="N1273">
        <f>YEAR(Table1[[#This Row],[Date]])</f>
        <v>2025</v>
      </c>
      <c r="O1273" t="str">
        <f>TEXT(Table1[[#This Row],[Date]],"mmm")</f>
        <v>Jan</v>
      </c>
      <c r="P1273">
        <f>MONTH(Table1[[#This Row],[Date]])</f>
        <v>1</v>
      </c>
    </row>
    <row r="1274" spans="1:16" x14ac:dyDescent="0.25">
      <c r="A1274" t="s">
        <v>1293</v>
      </c>
      <c r="B1274" t="s">
        <v>9</v>
      </c>
      <c r="C1274" t="s">
        <v>10</v>
      </c>
      <c r="D1274" s="1">
        <v>45527</v>
      </c>
      <c r="E1274">
        <v>37160</v>
      </c>
      <c r="F1274">
        <v>650</v>
      </c>
      <c r="G1274">
        <v>36</v>
      </c>
      <c r="H1274" s="4">
        <v>4494.1000000000004</v>
      </c>
      <c r="I1274" s="4">
        <v>1054</v>
      </c>
      <c r="J1274" s="7">
        <f>Table1[[#This Row],[Clicks]]/Table1[[#This Row],[Impressions]]</f>
        <v>1.7491926803013993E-2</v>
      </c>
      <c r="K1274" s="7">
        <f>IFERROR(Table1[[#This Row],[Conversions]]/Table1[[#This Row],[Clicks]],0)</f>
        <v>5.5384615384615386E-2</v>
      </c>
      <c r="L1274" s="6">
        <f>IF(Table1[[#This Row],[Conversions]]=0,0,Table1[[#This Row],[Ad Spend]]/Table1[[#This Row],[Conversions]])</f>
        <v>124.83611111111112</v>
      </c>
      <c r="M1274" s="8">
        <f>IF(Table1[[#This Row],[Ad Spend]]=0,0,Table1[[#This Row],[Revenue]]/Table1[[#This Row],[Ad Spend]])</f>
        <v>0.23452971673972539</v>
      </c>
      <c r="N1274">
        <f>YEAR(Table1[[#This Row],[Date]])</f>
        <v>2024</v>
      </c>
      <c r="O1274" t="str">
        <f>TEXT(Table1[[#This Row],[Date]],"mmm")</f>
        <v>Aug</v>
      </c>
      <c r="P1274">
        <f>MONTH(Table1[[#This Row],[Date]])</f>
        <v>8</v>
      </c>
    </row>
    <row r="1275" spans="1:16" x14ac:dyDescent="0.25">
      <c r="A1275" t="s">
        <v>1294</v>
      </c>
      <c r="B1275" t="s">
        <v>41</v>
      </c>
      <c r="C1275" t="s">
        <v>19</v>
      </c>
      <c r="D1275" s="1">
        <v>45398</v>
      </c>
      <c r="E1275">
        <v>107445</v>
      </c>
      <c r="F1275">
        <v>1831</v>
      </c>
      <c r="G1275">
        <v>225</v>
      </c>
      <c r="H1275" s="4">
        <v>2185.98</v>
      </c>
      <c r="I1275" s="4">
        <v>15446.64</v>
      </c>
      <c r="J1275" s="7">
        <f>Table1[[#This Row],[Clicks]]/Table1[[#This Row],[Impressions]]</f>
        <v>1.7041276932384011E-2</v>
      </c>
      <c r="K1275" s="7">
        <f>IFERROR(Table1[[#This Row],[Conversions]]/Table1[[#This Row],[Clicks]],0)</f>
        <v>0.12288367012561442</v>
      </c>
      <c r="L1275" s="6">
        <f>IF(Table1[[#This Row],[Conversions]]=0,0,Table1[[#This Row],[Ad Spend]]/Table1[[#This Row],[Conversions]])</f>
        <v>9.715466666666666</v>
      </c>
      <c r="M1275" s="8">
        <f>IF(Table1[[#This Row],[Ad Spend]]=0,0,Table1[[#This Row],[Revenue]]/Table1[[#This Row],[Ad Spend]])</f>
        <v>7.0662311640545656</v>
      </c>
      <c r="N1275">
        <f>YEAR(Table1[[#This Row],[Date]])</f>
        <v>2024</v>
      </c>
      <c r="O1275" t="str">
        <f>TEXT(Table1[[#This Row],[Date]],"mmm")</f>
        <v>Apr</v>
      </c>
      <c r="P1275">
        <f>MONTH(Table1[[#This Row],[Date]])</f>
        <v>4</v>
      </c>
    </row>
    <row r="1276" spans="1:16" x14ac:dyDescent="0.25">
      <c r="A1276" t="s">
        <v>1295</v>
      </c>
      <c r="B1276" t="s">
        <v>9</v>
      </c>
      <c r="C1276" t="s">
        <v>37</v>
      </c>
      <c r="D1276" s="1">
        <v>45643</v>
      </c>
      <c r="E1276">
        <v>115076</v>
      </c>
      <c r="F1276">
        <v>4173</v>
      </c>
      <c r="G1276">
        <v>253</v>
      </c>
      <c r="H1276" s="4">
        <v>4559.8500000000004</v>
      </c>
      <c r="I1276" s="4">
        <v>25516.29</v>
      </c>
      <c r="J1276" s="7">
        <f>Table1[[#This Row],[Clicks]]/Table1[[#This Row],[Impressions]]</f>
        <v>3.6262991414369637E-2</v>
      </c>
      <c r="K1276" s="7">
        <f>IFERROR(Table1[[#This Row],[Conversions]]/Table1[[#This Row],[Clicks]],0)</f>
        <v>6.0627845674574646E-2</v>
      </c>
      <c r="L1276" s="6">
        <f>IF(Table1[[#This Row],[Conversions]]=0,0,Table1[[#This Row],[Ad Spend]]/Table1[[#This Row],[Conversions]])</f>
        <v>18.023122529644269</v>
      </c>
      <c r="M1276" s="8">
        <f>IF(Table1[[#This Row],[Ad Spend]]=0,0,Table1[[#This Row],[Revenue]]/Table1[[#This Row],[Ad Spend]])</f>
        <v>5.5958617059771703</v>
      </c>
      <c r="N1276">
        <f>YEAR(Table1[[#This Row],[Date]])</f>
        <v>2024</v>
      </c>
      <c r="O1276" t="str">
        <f>TEXT(Table1[[#This Row],[Date]],"mmm")</f>
        <v>Dec</v>
      </c>
      <c r="P1276">
        <f>MONTH(Table1[[#This Row],[Date]])</f>
        <v>12</v>
      </c>
    </row>
    <row r="1277" spans="1:16" x14ac:dyDescent="0.25">
      <c r="A1277" t="s">
        <v>1296</v>
      </c>
      <c r="B1277" t="s">
        <v>16</v>
      </c>
      <c r="C1277" t="s">
        <v>19</v>
      </c>
      <c r="D1277" s="1">
        <v>45297</v>
      </c>
      <c r="E1277">
        <v>51839</v>
      </c>
      <c r="F1277">
        <v>2912</v>
      </c>
      <c r="G1277">
        <v>297</v>
      </c>
      <c r="H1277" s="4">
        <v>4303.08</v>
      </c>
      <c r="I1277" s="4">
        <v>9421.0499999999993</v>
      </c>
      <c r="J1277" s="7">
        <f>Table1[[#This Row],[Clicks]]/Table1[[#This Row],[Impressions]]</f>
        <v>5.6173923108084646E-2</v>
      </c>
      <c r="K1277" s="7">
        <f>IFERROR(Table1[[#This Row],[Conversions]]/Table1[[#This Row],[Clicks]],0)</f>
        <v>0.10199175824175824</v>
      </c>
      <c r="L1277" s="6">
        <f>IF(Table1[[#This Row],[Conversions]]=0,0,Table1[[#This Row],[Ad Spend]]/Table1[[#This Row],[Conversions]])</f>
        <v>14.488484848484848</v>
      </c>
      <c r="M1277" s="8">
        <f>IF(Table1[[#This Row],[Ad Spend]]=0,0,Table1[[#This Row],[Revenue]]/Table1[[#This Row],[Ad Spend]])</f>
        <v>2.189373657938035</v>
      </c>
      <c r="N1277">
        <f>YEAR(Table1[[#This Row],[Date]])</f>
        <v>2024</v>
      </c>
      <c r="O1277" t="str">
        <f>TEXT(Table1[[#This Row],[Date]],"mmm")</f>
        <v>Jan</v>
      </c>
      <c r="P1277">
        <f>MONTH(Table1[[#This Row],[Date]])</f>
        <v>1</v>
      </c>
    </row>
    <row r="1278" spans="1:16" x14ac:dyDescent="0.25">
      <c r="A1278" t="s">
        <v>1297</v>
      </c>
      <c r="B1278" t="s">
        <v>47</v>
      </c>
      <c r="C1278" t="s">
        <v>19</v>
      </c>
      <c r="D1278" s="1">
        <v>45539</v>
      </c>
      <c r="E1278">
        <v>148257</v>
      </c>
      <c r="F1278">
        <v>1534</v>
      </c>
      <c r="G1278">
        <v>134</v>
      </c>
      <c r="H1278" s="4">
        <v>1421.6</v>
      </c>
      <c r="I1278" s="4">
        <v>4309.3500000000004</v>
      </c>
      <c r="J1278" s="7">
        <f>Table1[[#This Row],[Clicks]]/Table1[[#This Row],[Impressions]]</f>
        <v>1.0346897616975928E-2</v>
      </c>
      <c r="K1278" s="7">
        <f>IFERROR(Table1[[#This Row],[Conversions]]/Table1[[#This Row],[Clicks]],0)</f>
        <v>8.7353324641460228E-2</v>
      </c>
      <c r="L1278" s="6">
        <f>IF(Table1[[#This Row],[Conversions]]=0,0,Table1[[#This Row],[Ad Spend]]/Table1[[#This Row],[Conversions]])</f>
        <v>10.608955223880596</v>
      </c>
      <c r="M1278" s="8">
        <f>IF(Table1[[#This Row],[Ad Spend]]=0,0,Table1[[#This Row],[Revenue]]/Table1[[#This Row],[Ad Spend]])</f>
        <v>3.0313379290939793</v>
      </c>
      <c r="N1278">
        <f>YEAR(Table1[[#This Row],[Date]])</f>
        <v>2024</v>
      </c>
      <c r="O1278" t="str">
        <f>TEXT(Table1[[#This Row],[Date]],"mmm")</f>
        <v>Sept</v>
      </c>
      <c r="P1278">
        <f>MONTH(Table1[[#This Row],[Date]])</f>
        <v>9</v>
      </c>
    </row>
    <row r="1279" spans="1:16" x14ac:dyDescent="0.25">
      <c r="A1279" t="s">
        <v>1298</v>
      </c>
      <c r="B1279" t="s">
        <v>31</v>
      </c>
      <c r="C1279" t="s">
        <v>12</v>
      </c>
      <c r="D1279" s="1">
        <v>45303</v>
      </c>
      <c r="E1279">
        <v>140789</v>
      </c>
      <c r="F1279">
        <v>6451</v>
      </c>
      <c r="G1279">
        <v>256</v>
      </c>
      <c r="H1279" s="4">
        <v>4361</v>
      </c>
      <c r="I1279" s="4">
        <v>8058.58</v>
      </c>
      <c r="J1279" s="7">
        <f>Table1[[#This Row],[Clicks]]/Table1[[#This Row],[Impressions]]</f>
        <v>4.5820341077783065E-2</v>
      </c>
      <c r="K1279" s="7">
        <f>IFERROR(Table1[[#This Row],[Conversions]]/Table1[[#This Row],[Clicks]],0)</f>
        <v>3.9683769958146022E-2</v>
      </c>
      <c r="L1279" s="6">
        <f>IF(Table1[[#This Row],[Conversions]]=0,0,Table1[[#This Row],[Ad Spend]]/Table1[[#This Row],[Conversions]])</f>
        <v>17.03515625</v>
      </c>
      <c r="M1279" s="8">
        <f>IF(Table1[[#This Row],[Ad Spend]]=0,0,Table1[[#This Row],[Revenue]]/Table1[[#This Row],[Ad Spend]])</f>
        <v>1.8478743407475349</v>
      </c>
      <c r="N1279">
        <f>YEAR(Table1[[#This Row],[Date]])</f>
        <v>2024</v>
      </c>
      <c r="O1279" t="str">
        <f>TEXT(Table1[[#This Row],[Date]],"mmm")</f>
        <v>Jan</v>
      </c>
      <c r="P1279">
        <f>MONTH(Table1[[#This Row],[Date]])</f>
        <v>1</v>
      </c>
    </row>
    <row r="1280" spans="1:16" x14ac:dyDescent="0.25">
      <c r="A1280" t="s">
        <v>1299</v>
      </c>
      <c r="B1280" t="s">
        <v>14</v>
      </c>
      <c r="C1280" t="s">
        <v>10</v>
      </c>
      <c r="D1280" s="1">
        <v>45459</v>
      </c>
      <c r="E1280">
        <v>41323</v>
      </c>
      <c r="F1280">
        <v>1048</v>
      </c>
      <c r="G1280">
        <v>120</v>
      </c>
      <c r="H1280" s="4">
        <v>4711.2700000000004</v>
      </c>
      <c r="I1280" s="4">
        <v>5611.09</v>
      </c>
      <c r="J1280" s="7">
        <f>Table1[[#This Row],[Clicks]]/Table1[[#This Row],[Impressions]]</f>
        <v>2.5361179004428528E-2</v>
      </c>
      <c r="K1280" s="7">
        <f>IFERROR(Table1[[#This Row],[Conversions]]/Table1[[#This Row],[Clicks]],0)</f>
        <v>0.11450381679389313</v>
      </c>
      <c r="L1280" s="6">
        <f>IF(Table1[[#This Row],[Conversions]]=0,0,Table1[[#This Row],[Ad Spend]]/Table1[[#This Row],[Conversions]])</f>
        <v>39.260583333333336</v>
      </c>
      <c r="M1280" s="8">
        <f>IF(Table1[[#This Row],[Ad Spend]]=0,0,Table1[[#This Row],[Revenue]]/Table1[[#This Row],[Ad Spend]])</f>
        <v>1.1909930867897616</v>
      </c>
      <c r="N1280">
        <f>YEAR(Table1[[#This Row],[Date]])</f>
        <v>2024</v>
      </c>
      <c r="O1280" t="str">
        <f>TEXT(Table1[[#This Row],[Date]],"mmm")</f>
        <v>Jun</v>
      </c>
      <c r="P1280">
        <f>MONTH(Table1[[#This Row],[Date]])</f>
        <v>6</v>
      </c>
    </row>
    <row r="1281" spans="1:16" x14ac:dyDescent="0.25">
      <c r="A1281" t="s">
        <v>1300</v>
      </c>
      <c r="B1281" t="s">
        <v>41</v>
      </c>
      <c r="C1281" t="s">
        <v>37</v>
      </c>
      <c r="D1281" s="1">
        <v>45339</v>
      </c>
      <c r="E1281">
        <v>96371</v>
      </c>
      <c r="F1281">
        <v>5740</v>
      </c>
      <c r="G1281">
        <v>601</v>
      </c>
      <c r="H1281" s="4">
        <v>2441.81</v>
      </c>
      <c r="I1281" s="4">
        <v>60641.61</v>
      </c>
      <c r="J1281" s="7">
        <f>Table1[[#This Row],[Clicks]]/Table1[[#This Row],[Impressions]]</f>
        <v>5.9561486339251436E-2</v>
      </c>
      <c r="K1281" s="7">
        <f>IFERROR(Table1[[#This Row],[Conversions]]/Table1[[#This Row],[Clicks]],0)</f>
        <v>0.10470383275261325</v>
      </c>
      <c r="L1281" s="6">
        <f>IF(Table1[[#This Row],[Conversions]]=0,0,Table1[[#This Row],[Ad Spend]]/Table1[[#This Row],[Conversions]])</f>
        <v>4.0629118136439271</v>
      </c>
      <c r="M1281" s="8">
        <f>IF(Table1[[#This Row],[Ad Spend]]=0,0,Table1[[#This Row],[Revenue]]/Table1[[#This Row],[Ad Spend]])</f>
        <v>24.834696393249271</v>
      </c>
      <c r="N1281">
        <f>YEAR(Table1[[#This Row],[Date]])</f>
        <v>2024</v>
      </c>
      <c r="O1281" t="str">
        <f>TEXT(Table1[[#This Row],[Date]],"mmm")</f>
        <v>Feb</v>
      </c>
      <c r="P1281">
        <f>MONTH(Table1[[#This Row],[Date]])</f>
        <v>2</v>
      </c>
    </row>
    <row r="1282" spans="1:16" x14ac:dyDescent="0.25">
      <c r="A1282" t="s">
        <v>1301</v>
      </c>
      <c r="B1282" t="s">
        <v>21</v>
      </c>
      <c r="C1282" t="s">
        <v>12</v>
      </c>
      <c r="D1282" s="1">
        <v>45496</v>
      </c>
      <c r="E1282">
        <v>55608</v>
      </c>
      <c r="F1282">
        <v>1529</v>
      </c>
      <c r="G1282">
        <v>69</v>
      </c>
      <c r="H1282" s="4">
        <v>4260.97</v>
      </c>
      <c r="I1282" s="4">
        <v>6330.03</v>
      </c>
      <c r="J1282" s="7">
        <f>Table1[[#This Row],[Clicks]]/Table1[[#This Row],[Impressions]]</f>
        <v>2.7496043734714429E-2</v>
      </c>
      <c r="K1282" s="7">
        <f>IFERROR(Table1[[#This Row],[Conversions]]/Table1[[#This Row],[Clicks]],0)</f>
        <v>4.5127534336167431E-2</v>
      </c>
      <c r="L1282" s="6">
        <f>IF(Table1[[#This Row],[Conversions]]=0,0,Table1[[#This Row],[Ad Spend]]/Table1[[#This Row],[Conversions]])</f>
        <v>61.753188405797104</v>
      </c>
      <c r="M1282" s="8">
        <f>IF(Table1[[#This Row],[Ad Spend]]=0,0,Table1[[#This Row],[Revenue]]/Table1[[#This Row],[Ad Spend]])</f>
        <v>1.4855842683708169</v>
      </c>
      <c r="N1282">
        <f>YEAR(Table1[[#This Row],[Date]])</f>
        <v>2024</v>
      </c>
      <c r="O1282" t="str">
        <f>TEXT(Table1[[#This Row],[Date]],"mmm")</f>
        <v>Jul</v>
      </c>
      <c r="P1282">
        <f>MONTH(Table1[[#This Row],[Date]])</f>
        <v>7</v>
      </c>
    </row>
    <row r="1283" spans="1:16" x14ac:dyDescent="0.25">
      <c r="A1283" t="s">
        <v>1302</v>
      </c>
      <c r="B1283" t="s">
        <v>21</v>
      </c>
      <c r="C1283" t="s">
        <v>10</v>
      </c>
      <c r="D1283" s="1">
        <v>45590</v>
      </c>
      <c r="E1283">
        <v>86680</v>
      </c>
      <c r="F1283">
        <v>1871</v>
      </c>
      <c r="G1283">
        <v>87</v>
      </c>
      <c r="H1283" s="4">
        <v>3665.89</v>
      </c>
      <c r="I1283" s="4">
        <v>5511.2</v>
      </c>
      <c r="J1283" s="7">
        <f>Table1[[#This Row],[Clicks]]/Table1[[#This Row],[Impressions]]</f>
        <v>2.1585140747577294E-2</v>
      </c>
      <c r="K1283" s="7">
        <f>IFERROR(Table1[[#This Row],[Conversions]]/Table1[[#This Row],[Clicks]],0)</f>
        <v>4.6499198289684664E-2</v>
      </c>
      <c r="L1283" s="6">
        <f>IF(Table1[[#This Row],[Conversions]]=0,0,Table1[[#This Row],[Ad Spend]]/Table1[[#This Row],[Conversions]])</f>
        <v>42.136666666666663</v>
      </c>
      <c r="M1283" s="8">
        <f>IF(Table1[[#This Row],[Ad Spend]]=0,0,Table1[[#This Row],[Revenue]]/Table1[[#This Row],[Ad Spend]])</f>
        <v>1.5033729871872861</v>
      </c>
      <c r="N1283">
        <f>YEAR(Table1[[#This Row],[Date]])</f>
        <v>2024</v>
      </c>
      <c r="O1283" t="str">
        <f>TEXT(Table1[[#This Row],[Date]],"mmm")</f>
        <v>Oct</v>
      </c>
      <c r="P1283">
        <f>MONTH(Table1[[#This Row],[Date]])</f>
        <v>10</v>
      </c>
    </row>
    <row r="1284" spans="1:16" x14ac:dyDescent="0.25">
      <c r="A1284" t="s">
        <v>1303</v>
      </c>
      <c r="B1284" t="s">
        <v>41</v>
      </c>
      <c r="C1284" t="s">
        <v>17</v>
      </c>
      <c r="D1284" s="1">
        <v>45597</v>
      </c>
      <c r="E1284">
        <v>76217</v>
      </c>
      <c r="F1284">
        <v>5115</v>
      </c>
      <c r="G1284">
        <v>516</v>
      </c>
      <c r="H1284" s="4">
        <v>3115.02</v>
      </c>
      <c r="I1284" s="4">
        <v>32472.55</v>
      </c>
      <c r="J1284" s="7">
        <f>Table1[[#This Row],[Clicks]]/Table1[[#This Row],[Impressions]]</f>
        <v>6.7111011978954832E-2</v>
      </c>
      <c r="K1284" s="7">
        <f>IFERROR(Table1[[#This Row],[Conversions]]/Table1[[#This Row],[Clicks]],0)</f>
        <v>0.10087976539589442</v>
      </c>
      <c r="L1284" s="6">
        <f>IF(Table1[[#This Row],[Conversions]]=0,0,Table1[[#This Row],[Ad Spend]]/Table1[[#This Row],[Conversions]])</f>
        <v>6.0368604651162787</v>
      </c>
      <c r="M1284" s="8">
        <f>IF(Table1[[#This Row],[Ad Spend]]=0,0,Table1[[#This Row],[Revenue]]/Table1[[#This Row],[Ad Spend]])</f>
        <v>10.42450770781568</v>
      </c>
      <c r="N1284">
        <f>YEAR(Table1[[#This Row],[Date]])</f>
        <v>2024</v>
      </c>
      <c r="O1284" t="str">
        <f>TEXT(Table1[[#This Row],[Date]],"mmm")</f>
        <v>Nov</v>
      </c>
      <c r="P1284">
        <f>MONTH(Table1[[#This Row],[Date]])</f>
        <v>11</v>
      </c>
    </row>
    <row r="1285" spans="1:16" x14ac:dyDescent="0.25">
      <c r="A1285" t="s">
        <v>1304</v>
      </c>
      <c r="B1285" t="s">
        <v>47</v>
      </c>
      <c r="C1285" t="s">
        <v>19</v>
      </c>
      <c r="D1285" s="1">
        <v>45615</v>
      </c>
      <c r="E1285">
        <v>21847</v>
      </c>
      <c r="F1285">
        <v>905</v>
      </c>
      <c r="G1285">
        <v>122</v>
      </c>
      <c r="H1285" s="4">
        <v>4798.87</v>
      </c>
      <c r="I1285" s="4">
        <v>5527.38</v>
      </c>
      <c r="J1285" s="7">
        <f>Table1[[#This Row],[Clicks]]/Table1[[#This Row],[Impressions]]</f>
        <v>4.1424451869821945E-2</v>
      </c>
      <c r="K1285" s="7">
        <f>IFERROR(Table1[[#This Row],[Conversions]]/Table1[[#This Row],[Clicks]],0)</f>
        <v>0.13480662983425415</v>
      </c>
      <c r="L1285" s="6">
        <f>IF(Table1[[#This Row],[Conversions]]=0,0,Table1[[#This Row],[Ad Spend]]/Table1[[#This Row],[Conversions]])</f>
        <v>39.335000000000001</v>
      </c>
      <c r="M1285" s="8">
        <f>IF(Table1[[#This Row],[Ad Spend]]=0,0,Table1[[#This Row],[Revenue]]/Table1[[#This Row],[Ad Spend]])</f>
        <v>1.1518086549541873</v>
      </c>
      <c r="N1285">
        <f>YEAR(Table1[[#This Row],[Date]])</f>
        <v>2024</v>
      </c>
      <c r="O1285" t="str">
        <f>TEXT(Table1[[#This Row],[Date]],"mmm")</f>
        <v>Nov</v>
      </c>
      <c r="P1285">
        <f>MONTH(Table1[[#This Row],[Date]])</f>
        <v>11</v>
      </c>
    </row>
    <row r="1286" spans="1:16" x14ac:dyDescent="0.25">
      <c r="A1286" t="s">
        <v>1305</v>
      </c>
      <c r="B1286" t="s">
        <v>21</v>
      </c>
      <c r="C1286" t="s">
        <v>19</v>
      </c>
      <c r="D1286" s="1">
        <v>45601</v>
      </c>
      <c r="E1286">
        <v>144066</v>
      </c>
      <c r="F1286">
        <v>4993</v>
      </c>
      <c r="G1286">
        <v>119</v>
      </c>
      <c r="H1286" s="4">
        <v>1063.54</v>
      </c>
      <c r="I1286" s="4">
        <v>6219.91</v>
      </c>
      <c r="J1286" s="7">
        <f>Table1[[#This Row],[Clicks]]/Table1[[#This Row],[Impressions]]</f>
        <v>3.4657726319881163E-2</v>
      </c>
      <c r="K1286" s="7">
        <f>IFERROR(Table1[[#This Row],[Conversions]]/Table1[[#This Row],[Clicks]],0)</f>
        <v>2.3833366713398758E-2</v>
      </c>
      <c r="L1286" s="6">
        <f>IF(Table1[[#This Row],[Conversions]]=0,0,Table1[[#This Row],[Ad Spend]]/Table1[[#This Row],[Conversions]])</f>
        <v>8.9373109243697471</v>
      </c>
      <c r="M1286" s="8">
        <f>IF(Table1[[#This Row],[Ad Spend]]=0,0,Table1[[#This Row],[Revenue]]/Table1[[#This Row],[Ad Spend]])</f>
        <v>5.8483084792297424</v>
      </c>
      <c r="N1286">
        <f>YEAR(Table1[[#This Row],[Date]])</f>
        <v>2024</v>
      </c>
      <c r="O1286" t="str">
        <f>TEXT(Table1[[#This Row],[Date]],"mmm")</f>
        <v>Nov</v>
      </c>
      <c r="P1286">
        <f>MONTH(Table1[[#This Row],[Date]])</f>
        <v>11</v>
      </c>
    </row>
    <row r="1287" spans="1:16" x14ac:dyDescent="0.25">
      <c r="A1287" t="s">
        <v>1306</v>
      </c>
      <c r="B1287" t="s">
        <v>16</v>
      </c>
      <c r="C1287" t="s">
        <v>19</v>
      </c>
      <c r="D1287" s="1">
        <v>45417</v>
      </c>
      <c r="E1287">
        <v>24042</v>
      </c>
      <c r="F1287">
        <v>602</v>
      </c>
      <c r="G1287">
        <v>41</v>
      </c>
      <c r="H1287" s="4">
        <v>896.19</v>
      </c>
      <c r="I1287" s="4">
        <v>2109.2600000000002</v>
      </c>
      <c r="J1287" s="7">
        <f>Table1[[#This Row],[Clicks]]/Table1[[#This Row],[Impressions]]</f>
        <v>2.5039514183512187E-2</v>
      </c>
      <c r="K1287" s="7">
        <f>IFERROR(Table1[[#This Row],[Conversions]]/Table1[[#This Row],[Clicks]],0)</f>
        <v>6.8106312292358806E-2</v>
      </c>
      <c r="L1287" s="6">
        <f>IF(Table1[[#This Row],[Conversions]]=0,0,Table1[[#This Row],[Ad Spend]]/Table1[[#This Row],[Conversions]])</f>
        <v>21.85829268292683</v>
      </c>
      <c r="M1287" s="8">
        <f>IF(Table1[[#This Row],[Ad Spend]]=0,0,Table1[[#This Row],[Revenue]]/Table1[[#This Row],[Ad Spend]])</f>
        <v>2.353585735167766</v>
      </c>
      <c r="N1287">
        <f>YEAR(Table1[[#This Row],[Date]])</f>
        <v>2024</v>
      </c>
      <c r="O1287" t="str">
        <f>TEXT(Table1[[#This Row],[Date]],"mmm")</f>
        <v>May</v>
      </c>
      <c r="P1287">
        <f>MONTH(Table1[[#This Row],[Date]])</f>
        <v>5</v>
      </c>
    </row>
    <row r="1288" spans="1:16" x14ac:dyDescent="0.25">
      <c r="A1288" t="s">
        <v>1307</v>
      </c>
      <c r="B1288" t="s">
        <v>31</v>
      </c>
      <c r="C1288" t="s">
        <v>19</v>
      </c>
      <c r="D1288" s="1">
        <v>45644</v>
      </c>
      <c r="E1288">
        <v>7857</v>
      </c>
      <c r="F1288">
        <v>472</v>
      </c>
      <c r="G1288">
        <v>22</v>
      </c>
      <c r="H1288" s="4">
        <v>2923.85</v>
      </c>
      <c r="I1288" s="4">
        <v>1147.43</v>
      </c>
      <c r="J1288" s="7">
        <f>Table1[[#This Row],[Clicks]]/Table1[[#This Row],[Impressions]]</f>
        <v>6.0073819523991344E-2</v>
      </c>
      <c r="K1288" s="7">
        <f>IFERROR(Table1[[#This Row],[Conversions]]/Table1[[#This Row],[Clicks]],0)</f>
        <v>4.6610169491525424E-2</v>
      </c>
      <c r="L1288" s="6">
        <f>IF(Table1[[#This Row],[Conversions]]=0,0,Table1[[#This Row],[Ad Spend]]/Table1[[#This Row],[Conversions]])</f>
        <v>132.90227272727273</v>
      </c>
      <c r="M1288" s="8">
        <f>IF(Table1[[#This Row],[Ad Spend]]=0,0,Table1[[#This Row],[Revenue]]/Table1[[#This Row],[Ad Spend]])</f>
        <v>0.39243805256767622</v>
      </c>
      <c r="N1288">
        <f>YEAR(Table1[[#This Row],[Date]])</f>
        <v>2024</v>
      </c>
      <c r="O1288" t="str">
        <f>TEXT(Table1[[#This Row],[Date]],"mmm")</f>
        <v>Dec</v>
      </c>
      <c r="P1288">
        <f>MONTH(Table1[[#This Row],[Date]])</f>
        <v>12</v>
      </c>
    </row>
    <row r="1289" spans="1:16" x14ac:dyDescent="0.25">
      <c r="A1289" t="s">
        <v>1308</v>
      </c>
      <c r="B1289" t="s">
        <v>14</v>
      </c>
      <c r="C1289" t="s">
        <v>12</v>
      </c>
      <c r="D1289" s="1">
        <v>45325</v>
      </c>
      <c r="E1289">
        <v>106080</v>
      </c>
      <c r="F1289">
        <v>3166</v>
      </c>
      <c r="G1289">
        <v>150</v>
      </c>
      <c r="H1289" s="4">
        <v>1243.82</v>
      </c>
      <c r="I1289" s="4">
        <v>11414.38</v>
      </c>
      <c r="J1289" s="7">
        <f>Table1[[#This Row],[Clicks]]/Table1[[#This Row],[Impressions]]</f>
        <v>2.9845399698340876E-2</v>
      </c>
      <c r="K1289" s="7">
        <f>IFERROR(Table1[[#This Row],[Conversions]]/Table1[[#This Row],[Clicks]],0)</f>
        <v>4.7378395451674035E-2</v>
      </c>
      <c r="L1289" s="6">
        <f>IF(Table1[[#This Row],[Conversions]]=0,0,Table1[[#This Row],[Ad Spend]]/Table1[[#This Row],[Conversions]])</f>
        <v>8.2921333333333322</v>
      </c>
      <c r="M1289" s="8">
        <f>IF(Table1[[#This Row],[Ad Spend]]=0,0,Table1[[#This Row],[Revenue]]/Table1[[#This Row],[Ad Spend]])</f>
        <v>9.1768744673666607</v>
      </c>
      <c r="N1289">
        <f>YEAR(Table1[[#This Row],[Date]])</f>
        <v>2024</v>
      </c>
      <c r="O1289" t="str">
        <f>TEXT(Table1[[#This Row],[Date]],"mmm")</f>
        <v>Feb</v>
      </c>
      <c r="P1289">
        <f>MONTH(Table1[[#This Row],[Date]])</f>
        <v>2</v>
      </c>
    </row>
    <row r="1290" spans="1:16" x14ac:dyDescent="0.25">
      <c r="A1290" t="s">
        <v>1309</v>
      </c>
      <c r="B1290" t="s">
        <v>9</v>
      </c>
      <c r="C1290" t="s">
        <v>12</v>
      </c>
      <c r="D1290" s="1">
        <v>45622</v>
      </c>
      <c r="E1290">
        <v>115559</v>
      </c>
      <c r="F1290">
        <v>6673</v>
      </c>
      <c r="G1290">
        <v>510</v>
      </c>
      <c r="H1290" s="4">
        <v>4104.29</v>
      </c>
      <c r="I1290" s="4">
        <v>20305.669999999998</v>
      </c>
      <c r="J1290" s="7">
        <f>Table1[[#This Row],[Clicks]]/Table1[[#This Row],[Impressions]]</f>
        <v>5.7745394127675043E-2</v>
      </c>
      <c r="K1290" s="7">
        <f>IFERROR(Table1[[#This Row],[Conversions]]/Table1[[#This Row],[Clicks]],0)</f>
        <v>7.6427393975723068E-2</v>
      </c>
      <c r="L1290" s="6">
        <f>IF(Table1[[#This Row],[Conversions]]=0,0,Table1[[#This Row],[Ad Spend]]/Table1[[#This Row],[Conversions]])</f>
        <v>8.0476274509803929</v>
      </c>
      <c r="M1290" s="8">
        <f>IF(Table1[[#This Row],[Ad Spend]]=0,0,Table1[[#This Row],[Revenue]]/Table1[[#This Row],[Ad Spend]])</f>
        <v>4.9474257423330217</v>
      </c>
      <c r="N1290">
        <f>YEAR(Table1[[#This Row],[Date]])</f>
        <v>2024</v>
      </c>
      <c r="O1290" t="str">
        <f>TEXT(Table1[[#This Row],[Date]],"mmm")</f>
        <v>Nov</v>
      </c>
      <c r="P1290">
        <f>MONTH(Table1[[#This Row],[Date]])</f>
        <v>11</v>
      </c>
    </row>
    <row r="1291" spans="1:16" x14ac:dyDescent="0.25">
      <c r="A1291" t="s">
        <v>1310</v>
      </c>
      <c r="B1291" t="s">
        <v>31</v>
      </c>
      <c r="C1291" t="s">
        <v>17</v>
      </c>
      <c r="D1291" s="1">
        <v>45547</v>
      </c>
      <c r="E1291">
        <v>17266</v>
      </c>
      <c r="F1291">
        <v>1369</v>
      </c>
      <c r="G1291">
        <v>102</v>
      </c>
      <c r="H1291" s="4">
        <v>795.64</v>
      </c>
      <c r="I1291" s="4">
        <v>3785.63</v>
      </c>
      <c r="J1291" s="7">
        <f>Table1[[#This Row],[Clicks]]/Table1[[#This Row],[Impressions]]</f>
        <v>7.9288775628402641E-2</v>
      </c>
      <c r="K1291" s="7">
        <f>IFERROR(Table1[[#This Row],[Conversions]]/Table1[[#This Row],[Clicks]],0)</f>
        <v>7.4506939371804234E-2</v>
      </c>
      <c r="L1291" s="6">
        <f>IF(Table1[[#This Row],[Conversions]]=0,0,Table1[[#This Row],[Ad Spend]]/Table1[[#This Row],[Conversions]])</f>
        <v>7.8003921568627446</v>
      </c>
      <c r="M1291" s="8">
        <f>IF(Table1[[#This Row],[Ad Spend]]=0,0,Table1[[#This Row],[Revenue]]/Table1[[#This Row],[Ad Spend]])</f>
        <v>4.757968427932231</v>
      </c>
      <c r="N1291">
        <f>YEAR(Table1[[#This Row],[Date]])</f>
        <v>2024</v>
      </c>
      <c r="O1291" t="str">
        <f>TEXT(Table1[[#This Row],[Date]],"mmm")</f>
        <v>Sept</v>
      </c>
      <c r="P1291">
        <f>MONTH(Table1[[#This Row],[Date]])</f>
        <v>9</v>
      </c>
    </row>
    <row r="1292" spans="1:16" x14ac:dyDescent="0.25">
      <c r="A1292" t="s">
        <v>1311</v>
      </c>
      <c r="B1292" t="s">
        <v>47</v>
      </c>
      <c r="C1292" t="s">
        <v>12</v>
      </c>
      <c r="D1292" s="1">
        <v>45488</v>
      </c>
      <c r="E1292">
        <v>66976</v>
      </c>
      <c r="F1292">
        <v>3372</v>
      </c>
      <c r="G1292">
        <v>192</v>
      </c>
      <c r="H1292" s="4">
        <v>3289.6</v>
      </c>
      <c r="I1292" s="4">
        <v>20277.18</v>
      </c>
      <c r="J1292" s="7">
        <f>Table1[[#This Row],[Clicks]]/Table1[[#This Row],[Impressions]]</f>
        <v>5.0346392737697088E-2</v>
      </c>
      <c r="K1292" s="7">
        <f>IFERROR(Table1[[#This Row],[Conversions]]/Table1[[#This Row],[Clicks]],0)</f>
        <v>5.6939501779359428E-2</v>
      </c>
      <c r="L1292" s="6">
        <f>IF(Table1[[#This Row],[Conversions]]=0,0,Table1[[#This Row],[Ad Spend]]/Table1[[#This Row],[Conversions]])</f>
        <v>17.133333333333333</v>
      </c>
      <c r="M1292" s="8">
        <f>IF(Table1[[#This Row],[Ad Spend]]=0,0,Table1[[#This Row],[Revenue]]/Table1[[#This Row],[Ad Spend]])</f>
        <v>6.1640260214007787</v>
      </c>
      <c r="N1292">
        <f>YEAR(Table1[[#This Row],[Date]])</f>
        <v>2024</v>
      </c>
      <c r="O1292" t="str">
        <f>TEXT(Table1[[#This Row],[Date]],"mmm")</f>
        <v>Jul</v>
      </c>
      <c r="P1292">
        <f>MONTH(Table1[[#This Row],[Date]])</f>
        <v>7</v>
      </c>
    </row>
    <row r="1293" spans="1:16" x14ac:dyDescent="0.25">
      <c r="A1293" t="s">
        <v>1312</v>
      </c>
      <c r="B1293" t="s">
        <v>31</v>
      </c>
      <c r="C1293" t="s">
        <v>17</v>
      </c>
      <c r="D1293" s="1">
        <v>45437</v>
      </c>
      <c r="E1293">
        <v>39356</v>
      </c>
      <c r="F1293">
        <v>2712</v>
      </c>
      <c r="G1293">
        <v>196</v>
      </c>
      <c r="H1293" s="4">
        <v>4499.9799999999996</v>
      </c>
      <c r="I1293" s="4">
        <v>21913.48</v>
      </c>
      <c r="J1293" s="7">
        <f>Table1[[#This Row],[Clicks]]/Table1[[#This Row],[Impressions]]</f>
        <v>6.8909442016465094E-2</v>
      </c>
      <c r="K1293" s="7">
        <f>IFERROR(Table1[[#This Row],[Conversions]]/Table1[[#This Row],[Clicks]],0)</f>
        <v>7.2271386430678472E-2</v>
      </c>
      <c r="L1293" s="6">
        <f>IF(Table1[[#This Row],[Conversions]]=0,0,Table1[[#This Row],[Ad Spend]]/Table1[[#This Row],[Conversions]])</f>
        <v>22.95908163265306</v>
      </c>
      <c r="M1293" s="8">
        <f>IF(Table1[[#This Row],[Ad Spend]]=0,0,Table1[[#This Row],[Revenue]]/Table1[[#This Row],[Ad Spend]])</f>
        <v>4.8696838652616234</v>
      </c>
      <c r="N1293">
        <f>YEAR(Table1[[#This Row],[Date]])</f>
        <v>2024</v>
      </c>
      <c r="O1293" t="str">
        <f>TEXT(Table1[[#This Row],[Date]],"mmm")</f>
        <v>May</v>
      </c>
      <c r="P1293">
        <f>MONTH(Table1[[#This Row],[Date]])</f>
        <v>5</v>
      </c>
    </row>
    <row r="1294" spans="1:16" x14ac:dyDescent="0.25">
      <c r="A1294" t="s">
        <v>1313</v>
      </c>
      <c r="B1294" t="s">
        <v>31</v>
      </c>
      <c r="C1294" t="s">
        <v>19</v>
      </c>
      <c r="D1294" s="1">
        <v>45622</v>
      </c>
      <c r="E1294">
        <v>9265</v>
      </c>
      <c r="F1294">
        <v>137</v>
      </c>
      <c r="G1294">
        <v>4</v>
      </c>
      <c r="H1294" s="4">
        <v>4052.06</v>
      </c>
      <c r="I1294" s="4">
        <v>369.3</v>
      </c>
      <c r="J1294" s="7">
        <f>Table1[[#This Row],[Clicks]]/Table1[[#This Row],[Impressions]]</f>
        <v>1.4786832164058284E-2</v>
      </c>
      <c r="K1294" s="7">
        <f>IFERROR(Table1[[#This Row],[Conversions]]/Table1[[#This Row],[Clicks]],0)</f>
        <v>2.9197080291970802E-2</v>
      </c>
      <c r="L1294" s="6">
        <f>IF(Table1[[#This Row],[Conversions]]=0,0,Table1[[#This Row],[Ad Spend]]/Table1[[#This Row],[Conversions]])</f>
        <v>1013.015</v>
      </c>
      <c r="M1294" s="8">
        <f>IF(Table1[[#This Row],[Ad Spend]]=0,0,Table1[[#This Row],[Revenue]]/Table1[[#This Row],[Ad Spend]])</f>
        <v>9.1138828151606843E-2</v>
      </c>
      <c r="N1294">
        <f>YEAR(Table1[[#This Row],[Date]])</f>
        <v>2024</v>
      </c>
      <c r="O1294" t="str">
        <f>TEXT(Table1[[#This Row],[Date]],"mmm")</f>
        <v>Nov</v>
      </c>
      <c r="P1294">
        <f>MONTH(Table1[[#This Row],[Date]])</f>
        <v>11</v>
      </c>
    </row>
    <row r="1295" spans="1:16" x14ac:dyDescent="0.25">
      <c r="A1295" t="s">
        <v>1314</v>
      </c>
      <c r="B1295" t="s">
        <v>34</v>
      </c>
      <c r="C1295" t="s">
        <v>19</v>
      </c>
      <c r="D1295" s="1">
        <v>45677</v>
      </c>
      <c r="E1295">
        <v>95655</v>
      </c>
      <c r="F1295">
        <v>3637</v>
      </c>
      <c r="G1295">
        <v>335</v>
      </c>
      <c r="H1295" s="4">
        <v>1703.24</v>
      </c>
      <c r="I1295" s="4">
        <v>27212.74</v>
      </c>
      <c r="J1295" s="7">
        <f>Table1[[#This Row],[Clicks]]/Table1[[#This Row],[Impressions]]</f>
        <v>3.802205843918248E-2</v>
      </c>
      <c r="K1295" s="7">
        <f>IFERROR(Table1[[#This Row],[Conversions]]/Table1[[#This Row],[Clicks]],0)</f>
        <v>9.2108880945834484E-2</v>
      </c>
      <c r="L1295" s="6">
        <f>IF(Table1[[#This Row],[Conversions]]=0,0,Table1[[#This Row],[Ad Spend]]/Table1[[#This Row],[Conversions]])</f>
        <v>5.0842985074626865</v>
      </c>
      <c r="M1295" s="8">
        <f>IF(Table1[[#This Row],[Ad Spend]]=0,0,Table1[[#This Row],[Revenue]]/Table1[[#This Row],[Ad Spend]])</f>
        <v>15.977043751908129</v>
      </c>
      <c r="N1295">
        <f>YEAR(Table1[[#This Row],[Date]])</f>
        <v>2025</v>
      </c>
      <c r="O1295" t="str">
        <f>TEXT(Table1[[#This Row],[Date]],"mmm")</f>
        <v>Jan</v>
      </c>
      <c r="P1295">
        <f>MONTH(Table1[[#This Row],[Date]])</f>
        <v>1</v>
      </c>
    </row>
    <row r="1296" spans="1:16" x14ac:dyDescent="0.25">
      <c r="A1296" t="s">
        <v>1315</v>
      </c>
      <c r="B1296" t="s">
        <v>21</v>
      </c>
      <c r="C1296" t="s">
        <v>19</v>
      </c>
      <c r="D1296" s="1">
        <v>45648</v>
      </c>
      <c r="E1296">
        <v>124165</v>
      </c>
      <c r="F1296">
        <v>5529</v>
      </c>
      <c r="G1296">
        <v>571</v>
      </c>
      <c r="H1296" s="4">
        <v>4570.26</v>
      </c>
      <c r="I1296" s="4">
        <v>59559.62</v>
      </c>
      <c r="J1296" s="7">
        <f>Table1[[#This Row],[Clicks]]/Table1[[#This Row],[Impressions]]</f>
        <v>4.452945677123183E-2</v>
      </c>
      <c r="K1296" s="7">
        <f>IFERROR(Table1[[#This Row],[Conversions]]/Table1[[#This Row],[Clicks]],0)</f>
        <v>0.10327364803761982</v>
      </c>
      <c r="L1296" s="6">
        <f>IF(Table1[[#This Row],[Conversions]]=0,0,Table1[[#This Row],[Ad Spend]]/Table1[[#This Row],[Conversions]])</f>
        <v>8.0039579684763584</v>
      </c>
      <c r="M1296" s="8">
        <f>IF(Table1[[#This Row],[Ad Spend]]=0,0,Table1[[#This Row],[Revenue]]/Table1[[#This Row],[Ad Spend]])</f>
        <v>13.031998179534643</v>
      </c>
      <c r="N1296">
        <f>YEAR(Table1[[#This Row],[Date]])</f>
        <v>2024</v>
      </c>
      <c r="O1296" t="str">
        <f>TEXT(Table1[[#This Row],[Date]],"mmm")</f>
        <v>Dec</v>
      </c>
      <c r="P1296">
        <f>MONTH(Table1[[#This Row],[Date]])</f>
        <v>12</v>
      </c>
    </row>
    <row r="1297" spans="1:16" x14ac:dyDescent="0.25">
      <c r="A1297" t="s">
        <v>1316</v>
      </c>
      <c r="B1297" t="s">
        <v>9</v>
      </c>
      <c r="C1297" t="s">
        <v>10</v>
      </c>
      <c r="D1297" s="1">
        <v>45406</v>
      </c>
      <c r="E1297">
        <v>17539</v>
      </c>
      <c r="F1297">
        <v>1188</v>
      </c>
      <c r="G1297">
        <v>45</v>
      </c>
      <c r="H1297" s="4">
        <v>4968.99</v>
      </c>
      <c r="I1297" s="4">
        <v>4776.25</v>
      </c>
      <c r="J1297" s="7">
        <f>Table1[[#This Row],[Clicks]]/Table1[[#This Row],[Impressions]]</f>
        <v>6.7734762529220588E-2</v>
      </c>
      <c r="K1297" s="7">
        <f>IFERROR(Table1[[#This Row],[Conversions]]/Table1[[#This Row],[Clicks]],0)</f>
        <v>3.787878787878788E-2</v>
      </c>
      <c r="L1297" s="6">
        <f>IF(Table1[[#This Row],[Conversions]]=0,0,Table1[[#This Row],[Ad Spend]]/Table1[[#This Row],[Conversions]])</f>
        <v>110.422</v>
      </c>
      <c r="M1297" s="8">
        <f>IF(Table1[[#This Row],[Ad Spend]]=0,0,Table1[[#This Row],[Revenue]]/Table1[[#This Row],[Ad Spend]])</f>
        <v>0.96121143330938486</v>
      </c>
      <c r="N1297">
        <f>YEAR(Table1[[#This Row],[Date]])</f>
        <v>2024</v>
      </c>
      <c r="O1297" t="str">
        <f>TEXT(Table1[[#This Row],[Date]],"mmm")</f>
        <v>Apr</v>
      </c>
      <c r="P1297">
        <f>MONTH(Table1[[#This Row],[Date]])</f>
        <v>4</v>
      </c>
    </row>
    <row r="1298" spans="1:16" x14ac:dyDescent="0.25">
      <c r="A1298" t="s">
        <v>1317</v>
      </c>
      <c r="B1298" t="s">
        <v>21</v>
      </c>
      <c r="C1298" t="s">
        <v>37</v>
      </c>
      <c r="D1298" s="1">
        <v>45379</v>
      </c>
      <c r="E1298">
        <v>28073</v>
      </c>
      <c r="F1298">
        <v>656</v>
      </c>
      <c r="G1298">
        <v>90</v>
      </c>
      <c r="H1298" s="4">
        <v>1970.62</v>
      </c>
      <c r="I1298" s="4">
        <v>9925.93</v>
      </c>
      <c r="J1298" s="7">
        <f>Table1[[#This Row],[Clicks]]/Table1[[#This Row],[Impressions]]</f>
        <v>2.336764863035657E-2</v>
      </c>
      <c r="K1298" s="7">
        <f>IFERROR(Table1[[#This Row],[Conversions]]/Table1[[#This Row],[Clicks]],0)</f>
        <v>0.13719512195121952</v>
      </c>
      <c r="L1298" s="6">
        <f>IF(Table1[[#This Row],[Conversions]]=0,0,Table1[[#This Row],[Ad Spend]]/Table1[[#This Row],[Conversions]])</f>
        <v>21.895777777777777</v>
      </c>
      <c r="M1298" s="8">
        <f>IF(Table1[[#This Row],[Ad Spend]]=0,0,Table1[[#This Row],[Revenue]]/Table1[[#This Row],[Ad Spend]])</f>
        <v>5.0369579117232144</v>
      </c>
      <c r="N1298">
        <f>YEAR(Table1[[#This Row],[Date]])</f>
        <v>2024</v>
      </c>
      <c r="O1298" t="str">
        <f>TEXT(Table1[[#This Row],[Date]],"mmm")</f>
        <v>Mar</v>
      </c>
      <c r="P1298">
        <f>MONTH(Table1[[#This Row],[Date]])</f>
        <v>3</v>
      </c>
    </row>
    <row r="1299" spans="1:16" x14ac:dyDescent="0.25">
      <c r="A1299" t="s">
        <v>1318</v>
      </c>
      <c r="B1299" t="s">
        <v>31</v>
      </c>
      <c r="C1299" t="s">
        <v>10</v>
      </c>
      <c r="D1299" s="1">
        <v>45424</v>
      </c>
      <c r="E1299">
        <v>16292</v>
      </c>
      <c r="F1299">
        <v>289</v>
      </c>
      <c r="G1299">
        <v>41</v>
      </c>
      <c r="H1299" s="4">
        <v>560.20000000000005</v>
      </c>
      <c r="I1299" s="4">
        <v>2170.25</v>
      </c>
      <c r="J1299" s="7">
        <f>Table1[[#This Row],[Clicks]]/Table1[[#This Row],[Impressions]]</f>
        <v>1.7738767493248219E-2</v>
      </c>
      <c r="K1299" s="7">
        <f>IFERROR(Table1[[#This Row],[Conversions]]/Table1[[#This Row],[Clicks]],0)</f>
        <v>0.14186851211072665</v>
      </c>
      <c r="L1299" s="6">
        <f>IF(Table1[[#This Row],[Conversions]]=0,0,Table1[[#This Row],[Ad Spend]]/Table1[[#This Row],[Conversions]])</f>
        <v>13.663414634146342</v>
      </c>
      <c r="M1299" s="8">
        <f>IF(Table1[[#This Row],[Ad Spend]]=0,0,Table1[[#This Row],[Revenue]]/Table1[[#This Row],[Ad Spend]])</f>
        <v>3.8740628347018919</v>
      </c>
      <c r="N1299">
        <f>YEAR(Table1[[#This Row],[Date]])</f>
        <v>2024</v>
      </c>
      <c r="O1299" t="str">
        <f>TEXT(Table1[[#This Row],[Date]],"mmm")</f>
        <v>May</v>
      </c>
      <c r="P1299">
        <f>MONTH(Table1[[#This Row],[Date]])</f>
        <v>5</v>
      </c>
    </row>
    <row r="1300" spans="1:16" x14ac:dyDescent="0.25">
      <c r="A1300" t="s">
        <v>1319</v>
      </c>
      <c r="B1300" t="s">
        <v>21</v>
      </c>
      <c r="C1300" t="s">
        <v>19</v>
      </c>
      <c r="D1300" s="1">
        <v>45649</v>
      </c>
      <c r="E1300">
        <v>49653</v>
      </c>
      <c r="F1300">
        <v>3711</v>
      </c>
      <c r="G1300">
        <v>355</v>
      </c>
      <c r="H1300" s="4">
        <v>775.53</v>
      </c>
      <c r="I1300" s="4">
        <v>18436.310000000001</v>
      </c>
      <c r="J1300" s="7">
        <f>Table1[[#This Row],[Clicks]]/Table1[[#This Row],[Impressions]]</f>
        <v>7.4738686484200345E-2</v>
      </c>
      <c r="K1300" s="7">
        <f>IFERROR(Table1[[#This Row],[Conversions]]/Table1[[#This Row],[Clicks]],0)</f>
        <v>9.5661546752896787E-2</v>
      </c>
      <c r="L1300" s="6">
        <f>IF(Table1[[#This Row],[Conversions]]=0,0,Table1[[#This Row],[Ad Spend]]/Table1[[#This Row],[Conversions]])</f>
        <v>2.1845915492957744</v>
      </c>
      <c r="M1300" s="8">
        <f>IF(Table1[[#This Row],[Ad Spend]]=0,0,Table1[[#This Row],[Revenue]]/Table1[[#This Row],[Ad Spend]])</f>
        <v>23.77252975384576</v>
      </c>
      <c r="N1300">
        <f>YEAR(Table1[[#This Row],[Date]])</f>
        <v>2024</v>
      </c>
      <c r="O1300" t="str">
        <f>TEXT(Table1[[#This Row],[Date]],"mmm")</f>
        <v>Dec</v>
      </c>
      <c r="P1300">
        <f>MONTH(Table1[[#This Row],[Date]])</f>
        <v>12</v>
      </c>
    </row>
    <row r="1301" spans="1:16" x14ac:dyDescent="0.25">
      <c r="A1301" t="s">
        <v>1320</v>
      </c>
      <c r="B1301" t="s">
        <v>16</v>
      </c>
      <c r="C1301" t="s">
        <v>12</v>
      </c>
      <c r="D1301" s="1">
        <v>45503</v>
      </c>
      <c r="E1301">
        <v>122120</v>
      </c>
      <c r="F1301">
        <v>6933</v>
      </c>
      <c r="G1301">
        <v>608</v>
      </c>
      <c r="H1301" s="4">
        <v>1354.51</v>
      </c>
      <c r="I1301" s="4">
        <v>41217.949999999997</v>
      </c>
      <c r="J1301" s="7">
        <f>Table1[[#This Row],[Clicks]]/Table1[[#This Row],[Impressions]]</f>
        <v>5.6772027513920735E-2</v>
      </c>
      <c r="K1301" s="7">
        <f>IFERROR(Table1[[#This Row],[Conversions]]/Table1[[#This Row],[Clicks]],0)</f>
        <v>8.7696523871339971E-2</v>
      </c>
      <c r="L1301" s="6">
        <f>IF(Table1[[#This Row],[Conversions]]=0,0,Table1[[#This Row],[Ad Spend]]/Table1[[#This Row],[Conversions]])</f>
        <v>2.2278125000000002</v>
      </c>
      <c r="M1301" s="8">
        <f>IF(Table1[[#This Row],[Ad Spend]]=0,0,Table1[[#This Row],[Revenue]]/Table1[[#This Row],[Ad Spend]])</f>
        <v>30.430155554407126</v>
      </c>
      <c r="N1301">
        <f>YEAR(Table1[[#This Row],[Date]])</f>
        <v>2024</v>
      </c>
      <c r="O1301" t="str">
        <f>TEXT(Table1[[#This Row],[Date]],"mmm")</f>
        <v>Jul</v>
      </c>
      <c r="P1301">
        <f>MONTH(Table1[[#This Row],[Date]])</f>
        <v>7</v>
      </c>
    </row>
    <row r="1302" spans="1:16" x14ac:dyDescent="0.25">
      <c r="A1302" t="s">
        <v>1321</v>
      </c>
      <c r="B1302" t="s">
        <v>41</v>
      </c>
      <c r="C1302" t="s">
        <v>19</v>
      </c>
      <c r="D1302" s="1">
        <v>45456</v>
      </c>
      <c r="E1302">
        <v>131538</v>
      </c>
      <c r="F1302">
        <v>3394</v>
      </c>
      <c r="G1302">
        <v>184</v>
      </c>
      <c r="H1302" s="4">
        <v>1621.92</v>
      </c>
      <c r="I1302" s="4">
        <v>5203.41</v>
      </c>
      <c r="J1302" s="7">
        <f>Table1[[#This Row],[Clicks]]/Table1[[#This Row],[Impressions]]</f>
        <v>2.5802429716127659E-2</v>
      </c>
      <c r="K1302" s="7">
        <f>IFERROR(Table1[[#This Row],[Conversions]]/Table1[[#This Row],[Clicks]],0)</f>
        <v>5.4213317619328225E-2</v>
      </c>
      <c r="L1302" s="6">
        <f>IF(Table1[[#This Row],[Conversions]]=0,0,Table1[[#This Row],[Ad Spend]]/Table1[[#This Row],[Conversions]])</f>
        <v>8.8147826086956531</v>
      </c>
      <c r="M1302" s="8">
        <f>IF(Table1[[#This Row],[Ad Spend]]=0,0,Table1[[#This Row],[Revenue]]/Table1[[#This Row],[Ad Spend]])</f>
        <v>3.2081791950281144</v>
      </c>
      <c r="N1302">
        <f>YEAR(Table1[[#This Row],[Date]])</f>
        <v>2024</v>
      </c>
      <c r="O1302" t="str">
        <f>TEXT(Table1[[#This Row],[Date]],"mmm")</f>
        <v>Jun</v>
      </c>
      <c r="P1302">
        <f>MONTH(Table1[[#This Row],[Date]])</f>
        <v>6</v>
      </c>
    </row>
    <row r="1303" spans="1:16" x14ac:dyDescent="0.25">
      <c r="A1303" t="s">
        <v>1322</v>
      </c>
      <c r="B1303" t="s">
        <v>14</v>
      </c>
      <c r="C1303" t="s">
        <v>37</v>
      </c>
      <c r="D1303" s="1">
        <v>45647</v>
      </c>
      <c r="E1303">
        <v>25451</v>
      </c>
      <c r="F1303">
        <v>388</v>
      </c>
      <c r="G1303">
        <v>32</v>
      </c>
      <c r="H1303" s="4">
        <v>1219.8800000000001</v>
      </c>
      <c r="I1303" s="4">
        <v>2785.6</v>
      </c>
      <c r="J1303" s="7">
        <f>Table1[[#This Row],[Clicks]]/Table1[[#This Row],[Impressions]]</f>
        <v>1.5244980550862441E-2</v>
      </c>
      <c r="K1303" s="7">
        <f>IFERROR(Table1[[#This Row],[Conversions]]/Table1[[#This Row],[Clicks]],0)</f>
        <v>8.247422680412371E-2</v>
      </c>
      <c r="L1303" s="6">
        <f>IF(Table1[[#This Row],[Conversions]]=0,0,Table1[[#This Row],[Ad Spend]]/Table1[[#This Row],[Conversions]])</f>
        <v>38.121250000000003</v>
      </c>
      <c r="M1303" s="8">
        <f>IF(Table1[[#This Row],[Ad Spend]]=0,0,Table1[[#This Row],[Revenue]]/Table1[[#This Row],[Ad Spend]])</f>
        <v>2.2835032954061054</v>
      </c>
      <c r="N1303">
        <f>YEAR(Table1[[#This Row],[Date]])</f>
        <v>2024</v>
      </c>
      <c r="O1303" t="str">
        <f>TEXT(Table1[[#This Row],[Date]],"mmm")</f>
        <v>Dec</v>
      </c>
      <c r="P1303">
        <f>MONTH(Table1[[#This Row],[Date]])</f>
        <v>12</v>
      </c>
    </row>
    <row r="1304" spans="1:16" x14ac:dyDescent="0.25">
      <c r="A1304" t="s">
        <v>1323</v>
      </c>
      <c r="B1304" t="s">
        <v>41</v>
      </c>
      <c r="C1304" t="s">
        <v>17</v>
      </c>
      <c r="D1304" s="1">
        <v>45388</v>
      </c>
      <c r="E1304">
        <v>132833</v>
      </c>
      <c r="F1304">
        <v>2300</v>
      </c>
      <c r="G1304">
        <v>108</v>
      </c>
      <c r="H1304" s="4">
        <v>3034.51</v>
      </c>
      <c r="I1304" s="4">
        <v>7858.56</v>
      </c>
      <c r="J1304" s="7">
        <f>Table1[[#This Row],[Clicks]]/Table1[[#This Row],[Impressions]]</f>
        <v>1.7314974441592076E-2</v>
      </c>
      <c r="K1304" s="7">
        <f>IFERROR(Table1[[#This Row],[Conversions]]/Table1[[#This Row],[Clicks]],0)</f>
        <v>4.6956521739130432E-2</v>
      </c>
      <c r="L1304" s="6">
        <f>IF(Table1[[#This Row],[Conversions]]=0,0,Table1[[#This Row],[Ad Spend]]/Table1[[#This Row],[Conversions]])</f>
        <v>28.097314814814816</v>
      </c>
      <c r="M1304" s="8">
        <f>IF(Table1[[#This Row],[Ad Spend]]=0,0,Table1[[#This Row],[Revenue]]/Table1[[#This Row],[Ad Spend]])</f>
        <v>2.5897294785649083</v>
      </c>
      <c r="N1304">
        <f>YEAR(Table1[[#This Row],[Date]])</f>
        <v>2024</v>
      </c>
      <c r="O1304" t="str">
        <f>TEXT(Table1[[#This Row],[Date]],"mmm")</f>
        <v>Apr</v>
      </c>
      <c r="P1304">
        <f>MONTH(Table1[[#This Row],[Date]])</f>
        <v>4</v>
      </c>
    </row>
    <row r="1305" spans="1:16" x14ac:dyDescent="0.25">
      <c r="A1305" t="s">
        <v>1324</v>
      </c>
      <c r="B1305" t="s">
        <v>47</v>
      </c>
      <c r="C1305" t="s">
        <v>19</v>
      </c>
      <c r="D1305" s="1">
        <v>45654</v>
      </c>
      <c r="E1305">
        <v>124019</v>
      </c>
      <c r="F1305">
        <v>6928</v>
      </c>
      <c r="G1305">
        <v>902</v>
      </c>
      <c r="H1305" s="4">
        <v>707.17</v>
      </c>
      <c r="I1305" s="4">
        <v>29771.46</v>
      </c>
      <c r="J1305" s="7">
        <f>Table1[[#This Row],[Clicks]]/Table1[[#This Row],[Impressions]]</f>
        <v>5.5862408179391865E-2</v>
      </c>
      <c r="K1305" s="7">
        <f>IFERROR(Table1[[#This Row],[Conversions]]/Table1[[#This Row],[Clicks]],0)</f>
        <v>0.13019630484988454</v>
      </c>
      <c r="L1305" s="6">
        <f>IF(Table1[[#This Row],[Conversions]]=0,0,Table1[[#This Row],[Ad Spend]]/Table1[[#This Row],[Conversions]])</f>
        <v>0.78400221729490016</v>
      </c>
      <c r="M1305" s="8">
        <f>IF(Table1[[#This Row],[Ad Spend]]=0,0,Table1[[#This Row],[Revenue]]/Table1[[#This Row],[Ad Spend]])</f>
        <v>42.099438607406988</v>
      </c>
      <c r="N1305">
        <f>YEAR(Table1[[#This Row],[Date]])</f>
        <v>2024</v>
      </c>
      <c r="O1305" t="str">
        <f>TEXT(Table1[[#This Row],[Date]],"mmm")</f>
        <v>Dec</v>
      </c>
      <c r="P1305">
        <f>MONTH(Table1[[#This Row],[Date]])</f>
        <v>12</v>
      </c>
    </row>
    <row r="1306" spans="1:16" x14ac:dyDescent="0.25">
      <c r="A1306" t="s">
        <v>1325</v>
      </c>
      <c r="B1306" t="s">
        <v>47</v>
      </c>
      <c r="C1306" t="s">
        <v>17</v>
      </c>
      <c r="D1306" s="1">
        <v>45523</v>
      </c>
      <c r="E1306">
        <v>139601</v>
      </c>
      <c r="F1306">
        <v>3379</v>
      </c>
      <c r="G1306">
        <v>243</v>
      </c>
      <c r="H1306" s="4">
        <v>529.47</v>
      </c>
      <c r="I1306" s="4">
        <v>15141.18</v>
      </c>
      <c r="J1306" s="7">
        <f>Table1[[#This Row],[Clicks]]/Table1[[#This Row],[Impressions]]</f>
        <v>2.4204697674085431E-2</v>
      </c>
      <c r="K1306" s="7">
        <f>IFERROR(Table1[[#This Row],[Conversions]]/Table1[[#This Row],[Clicks]],0)</f>
        <v>7.1914767682746378E-2</v>
      </c>
      <c r="L1306" s="6">
        <f>IF(Table1[[#This Row],[Conversions]]=0,0,Table1[[#This Row],[Ad Spend]]/Table1[[#This Row],[Conversions]])</f>
        <v>2.1788888888888889</v>
      </c>
      <c r="M1306" s="8">
        <f>IF(Table1[[#This Row],[Ad Spend]]=0,0,Table1[[#This Row],[Revenue]]/Table1[[#This Row],[Ad Spend]])</f>
        <v>28.596861011955351</v>
      </c>
      <c r="N1306">
        <f>YEAR(Table1[[#This Row],[Date]])</f>
        <v>2024</v>
      </c>
      <c r="O1306" t="str">
        <f>TEXT(Table1[[#This Row],[Date]],"mmm")</f>
        <v>Aug</v>
      </c>
      <c r="P1306">
        <f>MONTH(Table1[[#This Row],[Date]])</f>
        <v>8</v>
      </c>
    </row>
    <row r="1307" spans="1:16" x14ac:dyDescent="0.25">
      <c r="A1307" t="s">
        <v>1326</v>
      </c>
      <c r="B1307" t="s">
        <v>34</v>
      </c>
      <c r="C1307" t="s">
        <v>12</v>
      </c>
      <c r="D1307" s="1">
        <v>45623</v>
      </c>
      <c r="E1307">
        <v>31755</v>
      </c>
      <c r="F1307">
        <v>644</v>
      </c>
      <c r="G1307">
        <v>86</v>
      </c>
      <c r="H1307" s="4">
        <v>3776.12</v>
      </c>
      <c r="I1307" s="4">
        <v>3788.84</v>
      </c>
      <c r="J1307" s="7">
        <f>Table1[[#This Row],[Clicks]]/Table1[[#This Row],[Impressions]]</f>
        <v>2.0280270823492364E-2</v>
      </c>
      <c r="K1307" s="7">
        <f>IFERROR(Table1[[#This Row],[Conversions]]/Table1[[#This Row],[Clicks]],0)</f>
        <v>0.13354037267080746</v>
      </c>
      <c r="L1307" s="6">
        <f>IF(Table1[[#This Row],[Conversions]]=0,0,Table1[[#This Row],[Ad Spend]]/Table1[[#This Row],[Conversions]])</f>
        <v>43.908372093023253</v>
      </c>
      <c r="M1307" s="8">
        <f>IF(Table1[[#This Row],[Ad Spend]]=0,0,Table1[[#This Row],[Revenue]]/Table1[[#This Row],[Ad Spend]])</f>
        <v>1.0033685370168322</v>
      </c>
      <c r="N1307">
        <f>YEAR(Table1[[#This Row],[Date]])</f>
        <v>2024</v>
      </c>
      <c r="O1307" t="str">
        <f>TEXT(Table1[[#This Row],[Date]],"mmm")</f>
        <v>Nov</v>
      </c>
      <c r="P1307">
        <f>MONTH(Table1[[#This Row],[Date]])</f>
        <v>11</v>
      </c>
    </row>
    <row r="1308" spans="1:16" x14ac:dyDescent="0.25">
      <c r="A1308" t="s">
        <v>1327</v>
      </c>
      <c r="B1308" t="s">
        <v>41</v>
      </c>
      <c r="C1308" t="s">
        <v>37</v>
      </c>
      <c r="D1308" s="1">
        <v>45428</v>
      </c>
      <c r="E1308">
        <v>12493</v>
      </c>
      <c r="F1308">
        <v>541</v>
      </c>
      <c r="G1308">
        <v>48</v>
      </c>
      <c r="H1308" s="4">
        <v>1889.39</v>
      </c>
      <c r="I1308" s="4">
        <v>1527.97</v>
      </c>
      <c r="J1308" s="7">
        <f>Table1[[#This Row],[Clicks]]/Table1[[#This Row],[Impressions]]</f>
        <v>4.3304250380212919E-2</v>
      </c>
      <c r="K1308" s="7">
        <f>IFERROR(Table1[[#This Row],[Conversions]]/Table1[[#This Row],[Clicks]],0)</f>
        <v>8.8724584103512014E-2</v>
      </c>
      <c r="L1308" s="6">
        <f>IF(Table1[[#This Row],[Conversions]]=0,0,Table1[[#This Row],[Ad Spend]]/Table1[[#This Row],[Conversions]])</f>
        <v>39.362291666666671</v>
      </c>
      <c r="M1308" s="8">
        <f>IF(Table1[[#This Row],[Ad Spend]]=0,0,Table1[[#This Row],[Revenue]]/Table1[[#This Row],[Ad Spend]])</f>
        <v>0.80871074791334763</v>
      </c>
      <c r="N1308">
        <f>YEAR(Table1[[#This Row],[Date]])</f>
        <v>2024</v>
      </c>
      <c r="O1308" t="str">
        <f>TEXT(Table1[[#This Row],[Date]],"mmm")</f>
        <v>May</v>
      </c>
      <c r="P1308">
        <f>MONTH(Table1[[#This Row],[Date]])</f>
        <v>5</v>
      </c>
    </row>
    <row r="1309" spans="1:16" x14ac:dyDescent="0.25">
      <c r="A1309" t="s">
        <v>1328</v>
      </c>
      <c r="B1309" t="s">
        <v>9</v>
      </c>
      <c r="C1309" t="s">
        <v>19</v>
      </c>
      <c r="D1309" s="1">
        <v>45512</v>
      </c>
      <c r="E1309">
        <v>60591</v>
      </c>
      <c r="F1309">
        <v>1244</v>
      </c>
      <c r="G1309">
        <v>106</v>
      </c>
      <c r="H1309" s="4">
        <v>2638.05</v>
      </c>
      <c r="I1309" s="4">
        <v>2683.46</v>
      </c>
      <c r="J1309" s="7">
        <f>Table1[[#This Row],[Clicks]]/Table1[[#This Row],[Impressions]]</f>
        <v>2.0531101978841743E-2</v>
      </c>
      <c r="K1309" s="7">
        <f>IFERROR(Table1[[#This Row],[Conversions]]/Table1[[#This Row],[Clicks]],0)</f>
        <v>8.5209003215434079E-2</v>
      </c>
      <c r="L1309" s="6">
        <f>IF(Table1[[#This Row],[Conversions]]=0,0,Table1[[#This Row],[Ad Spend]]/Table1[[#This Row],[Conversions]])</f>
        <v>24.887264150943398</v>
      </c>
      <c r="M1309" s="8">
        <f>IF(Table1[[#This Row],[Ad Spend]]=0,0,Table1[[#This Row],[Revenue]]/Table1[[#This Row],[Ad Spend]])</f>
        <v>1.0172134720721744</v>
      </c>
      <c r="N1309">
        <f>YEAR(Table1[[#This Row],[Date]])</f>
        <v>2024</v>
      </c>
      <c r="O1309" t="str">
        <f>TEXT(Table1[[#This Row],[Date]],"mmm")</f>
        <v>Aug</v>
      </c>
      <c r="P1309">
        <f>MONTH(Table1[[#This Row],[Date]])</f>
        <v>8</v>
      </c>
    </row>
    <row r="1310" spans="1:16" x14ac:dyDescent="0.25">
      <c r="A1310" t="s">
        <v>1329</v>
      </c>
      <c r="B1310" t="s">
        <v>34</v>
      </c>
      <c r="C1310" t="s">
        <v>19</v>
      </c>
      <c r="D1310" s="1">
        <v>45342</v>
      </c>
      <c r="E1310">
        <v>17880</v>
      </c>
      <c r="F1310">
        <v>990</v>
      </c>
      <c r="G1310">
        <v>114</v>
      </c>
      <c r="H1310" s="4">
        <v>2228.42</v>
      </c>
      <c r="I1310" s="4">
        <v>5631.67</v>
      </c>
      <c r="J1310" s="7">
        <f>Table1[[#This Row],[Clicks]]/Table1[[#This Row],[Impressions]]</f>
        <v>5.5369127516778527E-2</v>
      </c>
      <c r="K1310" s="7">
        <f>IFERROR(Table1[[#This Row],[Conversions]]/Table1[[#This Row],[Clicks]],0)</f>
        <v>0.11515151515151516</v>
      </c>
      <c r="L1310" s="6">
        <f>IF(Table1[[#This Row],[Conversions]]=0,0,Table1[[#This Row],[Ad Spend]]/Table1[[#This Row],[Conversions]])</f>
        <v>19.547543859649124</v>
      </c>
      <c r="M1310" s="8">
        <f>IF(Table1[[#This Row],[Ad Spend]]=0,0,Table1[[#This Row],[Revenue]]/Table1[[#This Row],[Ad Spend]])</f>
        <v>2.5272031304691214</v>
      </c>
      <c r="N1310">
        <f>YEAR(Table1[[#This Row],[Date]])</f>
        <v>2024</v>
      </c>
      <c r="O1310" t="str">
        <f>TEXT(Table1[[#This Row],[Date]],"mmm")</f>
        <v>Feb</v>
      </c>
      <c r="P1310">
        <f>MONTH(Table1[[#This Row],[Date]])</f>
        <v>2</v>
      </c>
    </row>
    <row r="1311" spans="1:16" x14ac:dyDescent="0.25">
      <c r="A1311" t="s">
        <v>1330</v>
      </c>
      <c r="B1311" t="s">
        <v>21</v>
      </c>
      <c r="C1311" t="s">
        <v>37</v>
      </c>
      <c r="D1311" s="1">
        <v>45596</v>
      </c>
      <c r="E1311">
        <v>77332</v>
      </c>
      <c r="F1311">
        <v>3639</v>
      </c>
      <c r="G1311">
        <v>306</v>
      </c>
      <c r="H1311" s="4">
        <v>2281.11</v>
      </c>
      <c r="I1311" s="4">
        <v>26963.51</v>
      </c>
      <c r="J1311" s="7">
        <f>Table1[[#This Row],[Clicks]]/Table1[[#This Row],[Impressions]]</f>
        <v>4.7056845807686341E-2</v>
      </c>
      <c r="K1311" s="7">
        <f>IFERROR(Table1[[#This Row],[Conversions]]/Table1[[#This Row],[Clicks]],0)</f>
        <v>8.4089035449299257E-2</v>
      </c>
      <c r="L1311" s="6">
        <f>IF(Table1[[#This Row],[Conversions]]=0,0,Table1[[#This Row],[Ad Spend]]/Table1[[#This Row],[Conversions]])</f>
        <v>7.4546078431372553</v>
      </c>
      <c r="M1311" s="8">
        <f>IF(Table1[[#This Row],[Ad Spend]]=0,0,Table1[[#This Row],[Revenue]]/Table1[[#This Row],[Ad Spend]])</f>
        <v>11.820346234947021</v>
      </c>
      <c r="N1311">
        <f>YEAR(Table1[[#This Row],[Date]])</f>
        <v>2024</v>
      </c>
      <c r="O1311" t="str">
        <f>TEXT(Table1[[#This Row],[Date]],"mmm")</f>
        <v>Oct</v>
      </c>
      <c r="P1311">
        <f>MONTH(Table1[[#This Row],[Date]])</f>
        <v>10</v>
      </c>
    </row>
    <row r="1312" spans="1:16" x14ac:dyDescent="0.25">
      <c r="A1312" t="s">
        <v>1331</v>
      </c>
      <c r="B1312" t="s">
        <v>14</v>
      </c>
      <c r="C1312" t="s">
        <v>10</v>
      </c>
      <c r="D1312" s="1">
        <v>45404</v>
      </c>
      <c r="E1312">
        <v>35195</v>
      </c>
      <c r="F1312">
        <v>482</v>
      </c>
      <c r="G1312">
        <v>11</v>
      </c>
      <c r="H1312" s="4">
        <v>1477.66</v>
      </c>
      <c r="I1312" s="4">
        <v>292.43</v>
      </c>
      <c r="J1312" s="7">
        <f>Table1[[#This Row],[Clicks]]/Table1[[#This Row],[Impressions]]</f>
        <v>1.3695127148742719E-2</v>
      </c>
      <c r="K1312" s="7">
        <f>IFERROR(Table1[[#This Row],[Conversions]]/Table1[[#This Row],[Clicks]],0)</f>
        <v>2.2821576763485476E-2</v>
      </c>
      <c r="L1312" s="6">
        <f>IF(Table1[[#This Row],[Conversions]]=0,0,Table1[[#This Row],[Ad Spend]]/Table1[[#This Row],[Conversions]])</f>
        <v>134.33272727272728</v>
      </c>
      <c r="M1312" s="8">
        <f>IF(Table1[[#This Row],[Ad Spend]]=0,0,Table1[[#This Row],[Revenue]]/Table1[[#This Row],[Ad Spend]])</f>
        <v>0.19790073494579266</v>
      </c>
      <c r="N1312">
        <f>YEAR(Table1[[#This Row],[Date]])</f>
        <v>2024</v>
      </c>
      <c r="O1312" t="str">
        <f>TEXT(Table1[[#This Row],[Date]],"mmm")</f>
        <v>Apr</v>
      </c>
      <c r="P1312">
        <f>MONTH(Table1[[#This Row],[Date]])</f>
        <v>4</v>
      </c>
    </row>
    <row r="1313" spans="1:16" x14ac:dyDescent="0.25">
      <c r="A1313" t="s">
        <v>1332</v>
      </c>
      <c r="B1313" t="s">
        <v>9</v>
      </c>
      <c r="C1313" t="s">
        <v>19</v>
      </c>
      <c r="D1313" s="1">
        <v>45407</v>
      </c>
      <c r="E1313">
        <v>111052</v>
      </c>
      <c r="F1313">
        <v>4157</v>
      </c>
      <c r="G1313">
        <v>137</v>
      </c>
      <c r="H1313" s="4">
        <v>3722.84</v>
      </c>
      <c r="I1313" s="4">
        <v>14789.53</v>
      </c>
      <c r="J1313" s="7">
        <f>Table1[[#This Row],[Clicks]]/Table1[[#This Row],[Impressions]]</f>
        <v>3.7432914310413137E-2</v>
      </c>
      <c r="K1313" s="7">
        <f>IFERROR(Table1[[#This Row],[Conversions]]/Table1[[#This Row],[Clicks]],0)</f>
        <v>3.2956458984844839E-2</v>
      </c>
      <c r="L1313" s="6">
        <f>IF(Table1[[#This Row],[Conversions]]=0,0,Table1[[#This Row],[Ad Spend]]/Table1[[#This Row],[Conversions]])</f>
        <v>27.174014598540147</v>
      </c>
      <c r="M1313" s="8">
        <f>IF(Table1[[#This Row],[Ad Spend]]=0,0,Table1[[#This Row],[Revenue]]/Table1[[#This Row],[Ad Spend]])</f>
        <v>3.9726472263110959</v>
      </c>
      <c r="N1313">
        <f>YEAR(Table1[[#This Row],[Date]])</f>
        <v>2024</v>
      </c>
      <c r="O1313" t="str">
        <f>TEXT(Table1[[#This Row],[Date]],"mmm")</f>
        <v>Apr</v>
      </c>
      <c r="P1313">
        <f>MONTH(Table1[[#This Row],[Date]])</f>
        <v>4</v>
      </c>
    </row>
    <row r="1314" spans="1:16" x14ac:dyDescent="0.25">
      <c r="A1314" t="s">
        <v>1333</v>
      </c>
      <c r="B1314" t="s">
        <v>34</v>
      </c>
      <c r="C1314" t="s">
        <v>17</v>
      </c>
      <c r="D1314" s="1">
        <v>45397</v>
      </c>
      <c r="E1314">
        <v>49834</v>
      </c>
      <c r="F1314">
        <v>3239</v>
      </c>
      <c r="G1314">
        <v>211</v>
      </c>
      <c r="H1314" s="4">
        <v>1582.36</v>
      </c>
      <c r="I1314" s="4">
        <v>16802.21</v>
      </c>
      <c r="J1314" s="7">
        <f>Table1[[#This Row],[Clicks]]/Table1[[#This Row],[Impressions]]</f>
        <v>6.4995786009551706E-2</v>
      </c>
      <c r="K1314" s="7">
        <f>IFERROR(Table1[[#This Row],[Conversions]]/Table1[[#This Row],[Clicks]],0)</f>
        <v>6.5143562828033338E-2</v>
      </c>
      <c r="L1314" s="6">
        <f>IF(Table1[[#This Row],[Conversions]]=0,0,Table1[[#This Row],[Ad Spend]]/Table1[[#This Row],[Conversions]])</f>
        <v>7.4993364928909951</v>
      </c>
      <c r="M1314" s="8">
        <f>IF(Table1[[#This Row],[Ad Spend]]=0,0,Table1[[#This Row],[Revenue]]/Table1[[#This Row],[Ad Spend]])</f>
        <v>10.618449657473647</v>
      </c>
      <c r="N1314">
        <f>YEAR(Table1[[#This Row],[Date]])</f>
        <v>2024</v>
      </c>
      <c r="O1314" t="str">
        <f>TEXT(Table1[[#This Row],[Date]],"mmm")</f>
        <v>Apr</v>
      </c>
      <c r="P1314">
        <f>MONTH(Table1[[#This Row],[Date]])</f>
        <v>4</v>
      </c>
    </row>
    <row r="1315" spans="1:16" x14ac:dyDescent="0.25">
      <c r="A1315" t="s">
        <v>1334</v>
      </c>
      <c r="B1315" t="s">
        <v>31</v>
      </c>
      <c r="C1315" t="s">
        <v>10</v>
      </c>
      <c r="D1315" s="1">
        <v>45386</v>
      </c>
      <c r="E1315">
        <v>136921</v>
      </c>
      <c r="F1315">
        <v>10069</v>
      </c>
      <c r="G1315">
        <v>1015</v>
      </c>
      <c r="H1315" s="4">
        <v>3747.64</v>
      </c>
      <c r="I1315" s="4">
        <v>106835.24</v>
      </c>
      <c r="J1315" s="7">
        <f>Table1[[#This Row],[Clicks]]/Table1[[#This Row],[Impressions]]</f>
        <v>7.353875592494942E-2</v>
      </c>
      <c r="K1315" s="7">
        <f>IFERROR(Table1[[#This Row],[Conversions]]/Table1[[#This Row],[Clicks]],0)</f>
        <v>0.10080444929983116</v>
      </c>
      <c r="L1315" s="6">
        <f>IF(Table1[[#This Row],[Conversions]]=0,0,Table1[[#This Row],[Ad Spend]]/Table1[[#This Row],[Conversions]])</f>
        <v>3.6922561576354678</v>
      </c>
      <c r="M1315" s="8">
        <f>IF(Table1[[#This Row],[Ad Spend]]=0,0,Table1[[#This Row],[Revenue]]/Table1[[#This Row],[Ad Spend]])</f>
        <v>28.507337951350721</v>
      </c>
      <c r="N1315">
        <f>YEAR(Table1[[#This Row],[Date]])</f>
        <v>2024</v>
      </c>
      <c r="O1315" t="str">
        <f>TEXT(Table1[[#This Row],[Date]],"mmm")</f>
        <v>Apr</v>
      </c>
      <c r="P1315">
        <f>MONTH(Table1[[#This Row],[Date]])</f>
        <v>4</v>
      </c>
    </row>
    <row r="1316" spans="1:16" x14ac:dyDescent="0.25">
      <c r="A1316" t="s">
        <v>1335</v>
      </c>
      <c r="B1316" t="s">
        <v>14</v>
      </c>
      <c r="C1316" t="s">
        <v>37</v>
      </c>
      <c r="D1316" s="1">
        <v>45453</v>
      </c>
      <c r="E1316">
        <v>23207</v>
      </c>
      <c r="F1316">
        <v>502</v>
      </c>
      <c r="G1316">
        <v>31</v>
      </c>
      <c r="H1316" s="4">
        <v>2385.04</v>
      </c>
      <c r="I1316" s="4">
        <v>3602.95</v>
      </c>
      <c r="J1316" s="7">
        <f>Table1[[#This Row],[Clicks]]/Table1[[#This Row],[Impressions]]</f>
        <v>2.1631404317662774E-2</v>
      </c>
      <c r="K1316" s="7">
        <f>IFERROR(Table1[[#This Row],[Conversions]]/Table1[[#This Row],[Clicks]],0)</f>
        <v>6.1752988047808766E-2</v>
      </c>
      <c r="L1316" s="6">
        <f>IF(Table1[[#This Row],[Conversions]]=0,0,Table1[[#This Row],[Ad Spend]]/Table1[[#This Row],[Conversions]])</f>
        <v>76.936774193548388</v>
      </c>
      <c r="M1316" s="8">
        <f>IF(Table1[[#This Row],[Ad Spend]]=0,0,Table1[[#This Row],[Revenue]]/Table1[[#This Row],[Ad Spend]])</f>
        <v>1.5106455237648004</v>
      </c>
      <c r="N1316">
        <f>YEAR(Table1[[#This Row],[Date]])</f>
        <v>2024</v>
      </c>
      <c r="O1316" t="str">
        <f>TEXT(Table1[[#This Row],[Date]],"mmm")</f>
        <v>Jun</v>
      </c>
      <c r="P1316">
        <f>MONTH(Table1[[#This Row],[Date]])</f>
        <v>6</v>
      </c>
    </row>
    <row r="1317" spans="1:16" x14ac:dyDescent="0.25">
      <c r="A1317" t="s">
        <v>1336</v>
      </c>
      <c r="B1317" t="s">
        <v>41</v>
      </c>
      <c r="C1317" t="s">
        <v>17</v>
      </c>
      <c r="D1317" s="1">
        <v>45463</v>
      </c>
      <c r="E1317">
        <v>10459</v>
      </c>
      <c r="F1317">
        <v>234</v>
      </c>
      <c r="G1317">
        <v>12</v>
      </c>
      <c r="H1317" s="4">
        <v>569.49</v>
      </c>
      <c r="I1317" s="4">
        <v>1055.04</v>
      </c>
      <c r="J1317" s="7">
        <f>Table1[[#This Row],[Clicks]]/Table1[[#This Row],[Impressions]]</f>
        <v>2.2373075819868055E-2</v>
      </c>
      <c r="K1317" s="7">
        <f>IFERROR(Table1[[#This Row],[Conversions]]/Table1[[#This Row],[Clicks]],0)</f>
        <v>5.128205128205128E-2</v>
      </c>
      <c r="L1317" s="6">
        <f>IF(Table1[[#This Row],[Conversions]]=0,0,Table1[[#This Row],[Ad Spend]]/Table1[[#This Row],[Conversions]])</f>
        <v>47.457500000000003</v>
      </c>
      <c r="M1317" s="8">
        <f>IF(Table1[[#This Row],[Ad Spend]]=0,0,Table1[[#This Row],[Revenue]]/Table1[[#This Row],[Ad Spend]])</f>
        <v>1.8526049623347205</v>
      </c>
      <c r="N1317">
        <f>YEAR(Table1[[#This Row],[Date]])</f>
        <v>2024</v>
      </c>
      <c r="O1317" t="str">
        <f>TEXT(Table1[[#This Row],[Date]],"mmm")</f>
        <v>Jun</v>
      </c>
      <c r="P1317">
        <f>MONTH(Table1[[#This Row],[Date]])</f>
        <v>6</v>
      </c>
    </row>
    <row r="1318" spans="1:16" x14ac:dyDescent="0.25">
      <c r="A1318" t="s">
        <v>1337</v>
      </c>
      <c r="B1318" t="s">
        <v>31</v>
      </c>
      <c r="C1318" t="s">
        <v>12</v>
      </c>
      <c r="D1318" s="1">
        <v>45472</v>
      </c>
      <c r="E1318">
        <v>129211</v>
      </c>
      <c r="F1318">
        <v>6566</v>
      </c>
      <c r="G1318">
        <v>548</v>
      </c>
      <c r="H1318" s="4">
        <v>1388.05</v>
      </c>
      <c r="I1318" s="4">
        <v>16954.349999999999</v>
      </c>
      <c r="J1318" s="7">
        <f>Table1[[#This Row],[Clicks]]/Table1[[#This Row],[Impressions]]</f>
        <v>5.0816106987795158E-2</v>
      </c>
      <c r="K1318" s="7">
        <f>IFERROR(Table1[[#This Row],[Conversions]]/Table1[[#This Row],[Clicks]],0)</f>
        <v>8.3460249771550407E-2</v>
      </c>
      <c r="L1318" s="6">
        <f>IF(Table1[[#This Row],[Conversions]]=0,0,Table1[[#This Row],[Ad Spend]]/Table1[[#This Row],[Conversions]])</f>
        <v>2.5329379562043797</v>
      </c>
      <c r="M1318" s="8">
        <f>IF(Table1[[#This Row],[Ad Spend]]=0,0,Table1[[#This Row],[Revenue]]/Table1[[#This Row],[Ad Spend]])</f>
        <v>12.21450956377652</v>
      </c>
      <c r="N1318">
        <f>YEAR(Table1[[#This Row],[Date]])</f>
        <v>2024</v>
      </c>
      <c r="O1318" t="str">
        <f>TEXT(Table1[[#This Row],[Date]],"mmm")</f>
        <v>Jun</v>
      </c>
      <c r="P1318">
        <f>MONTH(Table1[[#This Row],[Date]])</f>
        <v>6</v>
      </c>
    </row>
    <row r="1319" spans="1:16" x14ac:dyDescent="0.25">
      <c r="A1319" t="s">
        <v>1338</v>
      </c>
      <c r="B1319" t="s">
        <v>31</v>
      </c>
      <c r="C1319" t="s">
        <v>12</v>
      </c>
      <c r="D1319" s="1">
        <v>45640</v>
      </c>
      <c r="E1319">
        <v>81194</v>
      </c>
      <c r="F1319">
        <v>5559</v>
      </c>
      <c r="G1319">
        <v>490</v>
      </c>
      <c r="H1319" s="4">
        <v>1003.06</v>
      </c>
      <c r="I1319" s="4">
        <v>16982.57</v>
      </c>
      <c r="J1319" s="7">
        <f>Table1[[#This Row],[Clicks]]/Table1[[#This Row],[Impressions]]</f>
        <v>6.8465650171194922E-2</v>
      </c>
      <c r="K1319" s="7">
        <f>IFERROR(Table1[[#This Row],[Conversions]]/Table1[[#This Row],[Clicks]],0)</f>
        <v>8.8145349883072502E-2</v>
      </c>
      <c r="L1319" s="6">
        <f>IF(Table1[[#This Row],[Conversions]]=0,0,Table1[[#This Row],[Ad Spend]]/Table1[[#This Row],[Conversions]])</f>
        <v>2.0470612244897959</v>
      </c>
      <c r="M1319" s="8">
        <f>IF(Table1[[#This Row],[Ad Spend]]=0,0,Table1[[#This Row],[Revenue]]/Table1[[#This Row],[Ad Spend]])</f>
        <v>16.930761868681834</v>
      </c>
      <c r="N1319">
        <f>YEAR(Table1[[#This Row],[Date]])</f>
        <v>2024</v>
      </c>
      <c r="O1319" t="str">
        <f>TEXT(Table1[[#This Row],[Date]],"mmm")</f>
        <v>Dec</v>
      </c>
      <c r="P1319">
        <f>MONTH(Table1[[#This Row],[Date]])</f>
        <v>12</v>
      </c>
    </row>
    <row r="1320" spans="1:16" x14ac:dyDescent="0.25">
      <c r="A1320" t="s">
        <v>1339</v>
      </c>
      <c r="B1320" t="s">
        <v>9</v>
      </c>
      <c r="C1320" t="s">
        <v>10</v>
      </c>
      <c r="D1320" s="1">
        <v>45447</v>
      </c>
      <c r="E1320">
        <v>92995</v>
      </c>
      <c r="F1320">
        <v>3876</v>
      </c>
      <c r="G1320">
        <v>447</v>
      </c>
      <c r="H1320" s="4">
        <v>4951.01</v>
      </c>
      <c r="I1320" s="4">
        <v>20443.080000000002</v>
      </c>
      <c r="J1320" s="7">
        <f>Table1[[#This Row],[Clicks]]/Table1[[#This Row],[Impressions]]</f>
        <v>4.1679660196784776E-2</v>
      </c>
      <c r="K1320" s="7">
        <f>IFERROR(Table1[[#This Row],[Conversions]]/Table1[[#This Row],[Clicks]],0)</f>
        <v>0.1153250773993808</v>
      </c>
      <c r="L1320" s="6">
        <f>IF(Table1[[#This Row],[Conversions]]=0,0,Table1[[#This Row],[Ad Spend]]/Table1[[#This Row],[Conversions]])</f>
        <v>11.076085011185683</v>
      </c>
      <c r="M1320" s="8">
        <f>IF(Table1[[#This Row],[Ad Spend]]=0,0,Table1[[#This Row],[Revenue]]/Table1[[#This Row],[Ad Spend]])</f>
        <v>4.1290726538625453</v>
      </c>
      <c r="N1320">
        <f>YEAR(Table1[[#This Row],[Date]])</f>
        <v>2024</v>
      </c>
      <c r="O1320" t="str">
        <f>TEXT(Table1[[#This Row],[Date]],"mmm")</f>
        <v>Jun</v>
      </c>
      <c r="P1320">
        <f>MONTH(Table1[[#This Row],[Date]])</f>
        <v>6</v>
      </c>
    </row>
    <row r="1321" spans="1:16" x14ac:dyDescent="0.25">
      <c r="A1321" t="s">
        <v>1340</v>
      </c>
      <c r="B1321" t="s">
        <v>41</v>
      </c>
      <c r="C1321" t="s">
        <v>19</v>
      </c>
      <c r="D1321" s="1">
        <v>45478</v>
      </c>
      <c r="E1321">
        <v>125258</v>
      </c>
      <c r="F1321">
        <v>1371</v>
      </c>
      <c r="G1321">
        <v>90</v>
      </c>
      <c r="H1321" s="4">
        <v>3608.75</v>
      </c>
      <c r="I1321" s="4">
        <v>9822.35</v>
      </c>
      <c r="J1321" s="7">
        <f>Table1[[#This Row],[Clicks]]/Table1[[#This Row],[Impressions]]</f>
        <v>1.0945408676491721E-2</v>
      </c>
      <c r="K1321" s="7">
        <f>IFERROR(Table1[[#This Row],[Conversions]]/Table1[[#This Row],[Clicks]],0)</f>
        <v>6.5645514223194742E-2</v>
      </c>
      <c r="L1321" s="6">
        <f>IF(Table1[[#This Row],[Conversions]]=0,0,Table1[[#This Row],[Ad Spend]]/Table1[[#This Row],[Conversions]])</f>
        <v>40.097222222222221</v>
      </c>
      <c r="M1321" s="8">
        <f>IF(Table1[[#This Row],[Ad Spend]]=0,0,Table1[[#This Row],[Revenue]]/Table1[[#This Row],[Ad Spend]])</f>
        <v>2.721815032906131</v>
      </c>
      <c r="N1321">
        <f>YEAR(Table1[[#This Row],[Date]])</f>
        <v>2024</v>
      </c>
      <c r="O1321" t="str">
        <f>TEXT(Table1[[#This Row],[Date]],"mmm")</f>
        <v>Jul</v>
      </c>
      <c r="P1321">
        <f>MONTH(Table1[[#This Row],[Date]])</f>
        <v>7</v>
      </c>
    </row>
    <row r="1322" spans="1:16" x14ac:dyDescent="0.25">
      <c r="A1322" t="s">
        <v>1341</v>
      </c>
      <c r="B1322" t="s">
        <v>41</v>
      </c>
      <c r="C1322" t="s">
        <v>10</v>
      </c>
      <c r="D1322" s="1">
        <v>45430</v>
      </c>
      <c r="E1322">
        <v>141133</v>
      </c>
      <c r="F1322">
        <v>8605</v>
      </c>
      <c r="G1322">
        <v>195</v>
      </c>
      <c r="H1322" s="4">
        <v>4897.46</v>
      </c>
      <c r="I1322" s="4">
        <v>20597.18</v>
      </c>
      <c r="J1322" s="7">
        <f>Table1[[#This Row],[Clicks]]/Table1[[#This Row],[Impressions]]</f>
        <v>6.0970857276469712E-2</v>
      </c>
      <c r="K1322" s="7">
        <f>IFERROR(Table1[[#This Row],[Conversions]]/Table1[[#This Row],[Clicks]],0)</f>
        <v>2.2661243463102849E-2</v>
      </c>
      <c r="L1322" s="6">
        <f>IF(Table1[[#This Row],[Conversions]]=0,0,Table1[[#This Row],[Ad Spend]]/Table1[[#This Row],[Conversions]])</f>
        <v>25.115179487179489</v>
      </c>
      <c r="M1322" s="8">
        <f>IF(Table1[[#This Row],[Ad Spend]]=0,0,Table1[[#This Row],[Revenue]]/Table1[[#This Row],[Ad Spend]])</f>
        <v>4.2056862128531929</v>
      </c>
      <c r="N1322">
        <f>YEAR(Table1[[#This Row],[Date]])</f>
        <v>2024</v>
      </c>
      <c r="O1322" t="str">
        <f>TEXT(Table1[[#This Row],[Date]],"mmm")</f>
        <v>May</v>
      </c>
      <c r="P1322">
        <f>MONTH(Table1[[#This Row],[Date]])</f>
        <v>5</v>
      </c>
    </row>
    <row r="1323" spans="1:16" x14ac:dyDescent="0.25">
      <c r="A1323" t="s">
        <v>1342</v>
      </c>
      <c r="B1323" t="s">
        <v>16</v>
      </c>
      <c r="C1323" t="s">
        <v>19</v>
      </c>
      <c r="D1323" s="1">
        <v>45546</v>
      </c>
      <c r="E1323">
        <v>13101</v>
      </c>
      <c r="F1323">
        <v>355</v>
      </c>
      <c r="G1323">
        <v>41</v>
      </c>
      <c r="H1323" s="4">
        <v>4871.79</v>
      </c>
      <c r="I1323" s="4">
        <v>2293.62</v>
      </c>
      <c r="J1323" s="7">
        <f>Table1[[#This Row],[Clicks]]/Table1[[#This Row],[Impressions]]</f>
        <v>2.7097168155102665E-2</v>
      </c>
      <c r="K1323" s="7">
        <f>IFERROR(Table1[[#This Row],[Conversions]]/Table1[[#This Row],[Clicks]],0)</f>
        <v>0.11549295774647887</v>
      </c>
      <c r="L1323" s="6">
        <f>IF(Table1[[#This Row],[Conversions]]=0,0,Table1[[#This Row],[Ad Spend]]/Table1[[#This Row],[Conversions]])</f>
        <v>118.82414634146342</v>
      </c>
      <c r="M1323" s="8">
        <f>IF(Table1[[#This Row],[Ad Spend]]=0,0,Table1[[#This Row],[Revenue]]/Table1[[#This Row],[Ad Spend]])</f>
        <v>0.47079615500668132</v>
      </c>
      <c r="N1323">
        <f>YEAR(Table1[[#This Row],[Date]])</f>
        <v>2024</v>
      </c>
      <c r="O1323" t="str">
        <f>TEXT(Table1[[#This Row],[Date]],"mmm")</f>
        <v>Sept</v>
      </c>
      <c r="P1323">
        <f>MONTH(Table1[[#This Row],[Date]])</f>
        <v>9</v>
      </c>
    </row>
    <row r="1324" spans="1:16" x14ac:dyDescent="0.25">
      <c r="A1324" t="s">
        <v>1343</v>
      </c>
      <c r="B1324" t="s">
        <v>9</v>
      </c>
      <c r="C1324" t="s">
        <v>37</v>
      </c>
      <c r="D1324" s="1">
        <v>45485</v>
      </c>
      <c r="E1324">
        <v>33293</v>
      </c>
      <c r="F1324">
        <v>2582</v>
      </c>
      <c r="G1324">
        <v>346</v>
      </c>
      <c r="H1324" s="4">
        <v>3458.25</v>
      </c>
      <c r="I1324" s="4">
        <v>38033.06</v>
      </c>
      <c r="J1324" s="7">
        <f>Table1[[#This Row],[Clicks]]/Table1[[#This Row],[Impressions]]</f>
        <v>7.755384014657736E-2</v>
      </c>
      <c r="K1324" s="7">
        <f>IFERROR(Table1[[#This Row],[Conversions]]/Table1[[#This Row],[Clicks]],0)</f>
        <v>0.13400464756003097</v>
      </c>
      <c r="L1324" s="6">
        <f>IF(Table1[[#This Row],[Conversions]]=0,0,Table1[[#This Row],[Ad Spend]]/Table1[[#This Row],[Conversions]])</f>
        <v>9.9949421965317917</v>
      </c>
      <c r="M1324" s="8">
        <f>IF(Table1[[#This Row],[Ad Spend]]=0,0,Table1[[#This Row],[Revenue]]/Table1[[#This Row],[Ad Spend]])</f>
        <v>10.997776331959805</v>
      </c>
      <c r="N1324">
        <f>YEAR(Table1[[#This Row],[Date]])</f>
        <v>2024</v>
      </c>
      <c r="O1324" t="str">
        <f>TEXT(Table1[[#This Row],[Date]],"mmm")</f>
        <v>Jul</v>
      </c>
      <c r="P1324">
        <f>MONTH(Table1[[#This Row],[Date]])</f>
        <v>7</v>
      </c>
    </row>
    <row r="1325" spans="1:16" x14ac:dyDescent="0.25">
      <c r="A1325" t="s">
        <v>1344</v>
      </c>
      <c r="B1325" t="s">
        <v>41</v>
      </c>
      <c r="C1325" t="s">
        <v>12</v>
      </c>
      <c r="D1325" s="1">
        <v>45381</v>
      </c>
      <c r="E1325">
        <v>74549</v>
      </c>
      <c r="F1325">
        <v>5495</v>
      </c>
      <c r="G1325">
        <v>359</v>
      </c>
      <c r="H1325" s="4">
        <v>1789.74</v>
      </c>
      <c r="I1325" s="4">
        <v>28330.41</v>
      </c>
      <c r="J1325" s="7">
        <f>Table1[[#This Row],[Clicks]]/Table1[[#This Row],[Impressions]]</f>
        <v>7.3709908918966047E-2</v>
      </c>
      <c r="K1325" s="7">
        <f>IFERROR(Table1[[#This Row],[Conversions]]/Table1[[#This Row],[Clicks]],0)</f>
        <v>6.5332120109190178E-2</v>
      </c>
      <c r="L1325" s="6">
        <f>IF(Table1[[#This Row],[Conversions]]=0,0,Table1[[#This Row],[Ad Spend]]/Table1[[#This Row],[Conversions]])</f>
        <v>4.985348189415042</v>
      </c>
      <c r="M1325" s="8">
        <f>IF(Table1[[#This Row],[Ad Spend]]=0,0,Table1[[#This Row],[Revenue]]/Table1[[#This Row],[Ad Spend]])</f>
        <v>15.829343927050857</v>
      </c>
      <c r="N1325">
        <f>YEAR(Table1[[#This Row],[Date]])</f>
        <v>2024</v>
      </c>
      <c r="O1325" t="str">
        <f>TEXT(Table1[[#This Row],[Date]],"mmm")</f>
        <v>Mar</v>
      </c>
      <c r="P1325">
        <f>MONTH(Table1[[#This Row],[Date]])</f>
        <v>3</v>
      </c>
    </row>
    <row r="1326" spans="1:16" x14ac:dyDescent="0.25">
      <c r="A1326" t="s">
        <v>1345</v>
      </c>
      <c r="B1326" t="s">
        <v>34</v>
      </c>
      <c r="C1326" t="s">
        <v>19</v>
      </c>
      <c r="D1326" s="1">
        <v>45389</v>
      </c>
      <c r="E1326">
        <v>15774</v>
      </c>
      <c r="F1326">
        <v>797</v>
      </c>
      <c r="G1326">
        <v>88</v>
      </c>
      <c r="H1326" s="4">
        <v>4204.0200000000004</v>
      </c>
      <c r="I1326" s="4">
        <v>2842.06</v>
      </c>
      <c r="J1326" s="7">
        <f>Table1[[#This Row],[Clicks]]/Table1[[#This Row],[Impressions]]</f>
        <v>5.0526182325345503E-2</v>
      </c>
      <c r="K1326" s="7">
        <f>IFERROR(Table1[[#This Row],[Conversions]]/Table1[[#This Row],[Clicks]],0)</f>
        <v>0.11041405269761606</v>
      </c>
      <c r="L1326" s="6">
        <f>IF(Table1[[#This Row],[Conversions]]=0,0,Table1[[#This Row],[Ad Spend]]/Table1[[#This Row],[Conversions]])</f>
        <v>47.772954545454553</v>
      </c>
      <c r="M1326" s="8">
        <f>IF(Table1[[#This Row],[Ad Spend]]=0,0,Table1[[#This Row],[Revenue]]/Table1[[#This Row],[Ad Spend]])</f>
        <v>0.67603389137064041</v>
      </c>
      <c r="N1326">
        <f>YEAR(Table1[[#This Row],[Date]])</f>
        <v>2024</v>
      </c>
      <c r="O1326" t="str">
        <f>TEXT(Table1[[#This Row],[Date]],"mmm")</f>
        <v>Apr</v>
      </c>
      <c r="P1326">
        <f>MONTH(Table1[[#This Row],[Date]])</f>
        <v>4</v>
      </c>
    </row>
    <row r="1327" spans="1:16" x14ac:dyDescent="0.25">
      <c r="A1327" t="s">
        <v>1346</v>
      </c>
      <c r="B1327" t="s">
        <v>41</v>
      </c>
      <c r="C1327" t="s">
        <v>12</v>
      </c>
      <c r="D1327" s="1">
        <v>45697</v>
      </c>
      <c r="E1327">
        <v>95963</v>
      </c>
      <c r="F1327">
        <v>2896</v>
      </c>
      <c r="G1327">
        <v>422</v>
      </c>
      <c r="H1327" s="4">
        <v>2594.85</v>
      </c>
      <c r="I1327" s="4">
        <v>37369.230000000003</v>
      </c>
      <c r="J1327" s="7">
        <f>Table1[[#This Row],[Clicks]]/Table1[[#This Row],[Impressions]]</f>
        <v>3.0178297885643426E-2</v>
      </c>
      <c r="K1327" s="7">
        <f>IFERROR(Table1[[#This Row],[Conversions]]/Table1[[#This Row],[Clicks]],0)</f>
        <v>0.1457182320441989</v>
      </c>
      <c r="L1327" s="6">
        <f>IF(Table1[[#This Row],[Conversions]]=0,0,Table1[[#This Row],[Ad Spend]]/Table1[[#This Row],[Conversions]])</f>
        <v>6.1489336492890994</v>
      </c>
      <c r="M1327" s="8">
        <f>IF(Table1[[#This Row],[Ad Spend]]=0,0,Table1[[#This Row],[Revenue]]/Table1[[#This Row],[Ad Spend]])</f>
        <v>14.401306433897915</v>
      </c>
      <c r="N1327">
        <f>YEAR(Table1[[#This Row],[Date]])</f>
        <v>2025</v>
      </c>
      <c r="O1327" t="str">
        <f>TEXT(Table1[[#This Row],[Date]],"mmm")</f>
        <v>Feb</v>
      </c>
      <c r="P1327">
        <f>MONTH(Table1[[#This Row],[Date]])</f>
        <v>2</v>
      </c>
    </row>
    <row r="1328" spans="1:16" x14ac:dyDescent="0.25">
      <c r="A1328" t="s">
        <v>1347</v>
      </c>
      <c r="B1328" t="s">
        <v>41</v>
      </c>
      <c r="C1328" t="s">
        <v>37</v>
      </c>
      <c r="D1328" s="1">
        <v>45559</v>
      </c>
      <c r="E1328">
        <v>80964</v>
      </c>
      <c r="F1328">
        <v>4344</v>
      </c>
      <c r="G1328">
        <v>462</v>
      </c>
      <c r="H1328" s="4">
        <v>1657.5</v>
      </c>
      <c r="I1328" s="4">
        <v>22557.61</v>
      </c>
      <c r="J1328" s="7">
        <f>Table1[[#This Row],[Clicks]]/Table1[[#This Row],[Impressions]]</f>
        <v>5.3653475618793536E-2</v>
      </c>
      <c r="K1328" s="7">
        <f>IFERROR(Table1[[#This Row],[Conversions]]/Table1[[#This Row],[Clicks]],0)</f>
        <v>0.106353591160221</v>
      </c>
      <c r="L1328" s="6">
        <f>IF(Table1[[#This Row],[Conversions]]=0,0,Table1[[#This Row],[Ad Spend]]/Table1[[#This Row],[Conversions]])</f>
        <v>3.5876623376623376</v>
      </c>
      <c r="M1328" s="8">
        <f>IF(Table1[[#This Row],[Ad Spend]]=0,0,Table1[[#This Row],[Revenue]]/Table1[[#This Row],[Ad Spend]])</f>
        <v>13.609417797888387</v>
      </c>
      <c r="N1328">
        <f>YEAR(Table1[[#This Row],[Date]])</f>
        <v>2024</v>
      </c>
      <c r="O1328" t="str">
        <f>TEXT(Table1[[#This Row],[Date]],"mmm")</f>
        <v>Sept</v>
      </c>
      <c r="P1328">
        <f>MONTH(Table1[[#This Row],[Date]])</f>
        <v>9</v>
      </c>
    </row>
    <row r="1329" spans="1:16" x14ac:dyDescent="0.25">
      <c r="A1329" t="s">
        <v>1348</v>
      </c>
      <c r="B1329" t="s">
        <v>34</v>
      </c>
      <c r="C1329" t="s">
        <v>10</v>
      </c>
      <c r="D1329" s="1">
        <v>45524</v>
      </c>
      <c r="E1329">
        <v>15735</v>
      </c>
      <c r="F1329">
        <v>396</v>
      </c>
      <c r="G1329">
        <v>50</v>
      </c>
      <c r="H1329" s="4">
        <v>792.49</v>
      </c>
      <c r="I1329" s="4">
        <v>3441.83</v>
      </c>
      <c r="J1329" s="7">
        <f>Table1[[#This Row],[Clicks]]/Table1[[#This Row],[Impressions]]</f>
        <v>2.5166825548141088E-2</v>
      </c>
      <c r="K1329" s="7">
        <f>IFERROR(Table1[[#This Row],[Conversions]]/Table1[[#This Row],[Clicks]],0)</f>
        <v>0.12626262626262627</v>
      </c>
      <c r="L1329" s="6">
        <f>IF(Table1[[#This Row],[Conversions]]=0,0,Table1[[#This Row],[Ad Spend]]/Table1[[#This Row],[Conversions]])</f>
        <v>15.8498</v>
      </c>
      <c r="M1329" s="8">
        <f>IF(Table1[[#This Row],[Ad Spend]]=0,0,Table1[[#This Row],[Revenue]]/Table1[[#This Row],[Ad Spend]])</f>
        <v>4.3430579565672751</v>
      </c>
      <c r="N1329">
        <f>YEAR(Table1[[#This Row],[Date]])</f>
        <v>2024</v>
      </c>
      <c r="O1329" t="str">
        <f>TEXT(Table1[[#This Row],[Date]],"mmm")</f>
        <v>Aug</v>
      </c>
      <c r="P1329">
        <f>MONTH(Table1[[#This Row],[Date]])</f>
        <v>8</v>
      </c>
    </row>
    <row r="1330" spans="1:16" x14ac:dyDescent="0.25">
      <c r="A1330" t="s">
        <v>1349</v>
      </c>
      <c r="B1330" t="s">
        <v>31</v>
      </c>
      <c r="C1330" t="s">
        <v>17</v>
      </c>
      <c r="D1330" s="1">
        <v>45472</v>
      </c>
      <c r="E1330">
        <v>5168</v>
      </c>
      <c r="F1330">
        <v>69</v>
      </c>
      <c r="G1330">
        <v>2</v>
      </c>
      <c r="H1330" s="4">
        <v>4417.87</v>
      </c>
      <c r="I1330" s="4">
        <v>197.05</v>
      </c>
      <c r="J1330" s="7">
        <f>Table1[[#This Row],[Clicks]]/Table1[[#This Row],[Impressions]]</f>
        <v>1.3351393188854489E-2</v>
      </c>
      <c r="K1330" s="7">
        <f>IFERROR(Table1[[#This Row],[Conversions]]/Table1[[#This Row],[Clicks]],0)</f>
        <v>2.8985507246376812E-2</v>
      </c>
      <c r="L1330" s="6">
        <f>IF(Table1[[#This Row],[Conversions]]=0,0,Table1[[#This Row],[Ad Spend]]/Table1[[#This Row],[Conversions]])</f>
        <v>2208.9349999999999</v>
      </c>
      <c r="M1330" s="8">
        <f>IF(Table1[[#This Row],[Ad Spend]]=0,0,Table1[[#This Row],[Revenue]]/Table1[[#This Row],[Ad Spend]])</f>
        <v>4.4602942141801369E-2</v>
      </c>
      <c r="N1330">
        <f>YEAR(Table1[[#This Row],[Date]])</f>
        <v>2024</v>
      </c>
      <c r="O1330" t="str">
        <f>TEXT(Table1[[#This Row],[Date]],"mmm")</f>
        <v>Jun</v>
      </c>
      <c r="P1330">
        <f>MONTH(Table1[[#This Row],[Date]])</f>
        <v>6</v>
      </c>
    </row>
    <row r="1331" spans="1:16" x14ac:dyDescent="0.25">
      <c r="A1331" t="s">
        <v>1350</v>
      </c>
      <c r="B1331" t="s">
        <v>16</v>
      </c>
      <c r="C1331" t="s">
        <v>10</v>
      </c>
      <c r="D1331" s="1">
        <v>45657</v>
      </c>
      <c r="E1331">
        <v>75954</v>
      </c>
      <c r="F1331">
        <v>1517</v>
      </c>
      <c r="G1331">
        <v>174</v>
      </c>
      <c r="H1331" s="4">
        <v>2273.84</v>
      </c>
      <c r="I1331" s="4">
        <v>19457.72</v>
      </c>
      <c r="J1331" s="7">
        <f>Table1[[#This Row],[Clicks]]/Table1[[#This Row],[Impressions]]</f>
        <v>1.9972615003818101E-2</v>
      </c>
      <c r="K1331" s="7">
        <f>IFERROR(Table1[[#This Row],[Conversions]]/Table1[[#This Row],[Clicks]],0)</f>
        <v>0.11470006591957811</v>
      </c>
      <c r="L1331" s="6">
        <f>IF(Table1[[#This Row],[Conversions]]=0,0,Table1[[#This Row],[Ad Spend]]/Table1[[#This Row],[Conversions]])</f>
        <v>13.068045977011495</v>
      </c>
      <c r="M1331" s="8">
        <f>IF(Table1[[#This Row],[Ad Spend]]=0,0,Table1[[#This Row],[Revenue]]/Table1[[#This Row],[Ad Spend]])</f>
        <v>8.5572071913591099</v>
      </c>
      <c r="N1331">
        <f>YEAR(Table1[[#This Row],[Date]])</f>
        <v>2024</v>
      </c>
      <c r="O1331" t="str">
        <f>TEXT(Table1[[#This Row],[Date]],"mmm")</f>
        <v>Dec</v>
      </c>
      <c r="P1331">
        <f>MONTH(Table1[[#This Row],[Date]])</f>
        <v>12</v>
      </c>
    </row>
    <row r="1332" spans="1:16" x14ac:dyDescent="0.25">
      <c r="A1332" t="s">
        <v>1351</v>
      </c>
      <c r="B1332" t="s">
        <v>34</v>
      </c>
      <c r="C1332" t="s">
        <v>37</v>
      </c>
      <c r="D1332" s="1">
        <v>45308</v>
      </c>
      <c r="E1332">
        <v>129040</v>
      </c>
      <c r="F1332">
        <v>9717</v>
      </c>
      <c r="G1332">
        <v>508</v>
      </c>
      <c r="H1332" s="4">
        <v>3456.8</v>
      </c>
      <c r="I1332" s="4">
        <v>29781.03</v>
      </c>
      <c r="J1332" s="7">
        <f>Table1[[#This Row],[Clicks]]/Table1[[#This Row],[Impressions]]</f>
        <v>7.5302231866088032E-2</v>
      </c>
      <c r="K1332" s="7">
        <f>IFERROR(Table1[[#This Row],[Conversions]]/Table1[[#This Row],[Clicks]],0)</f>
        <v>5.2279510136873521E-2</v>
      </c>
      <c r="L1332" s="6">
        <f>IF(Table1[[#This Row],[Conversions]]=0,0,Table1[[#This Row],[Ad Spend]]/Table1[[#This Row],[Conversions]])</f>
        <v>6.8047244094488191</v>
      </c>
      <c r="M1332" s="8">
        <f>IF(Table1[[#This Row],[Ad Spend]]=0,0,Table1[[#This Row],[Revenue]]/Table1[[#This Row],[Ad Spend]])</f>
        <v>8.6152019208516535</v>
      </c>
      <c r="N1332">
        <f>YEAR(Table1[[#This Row],[Date]])</f>
        <v>2024</v>
      </c>
      <c r="O1332" t="str">
        <f>TEXT(Table1[[#This Row],[Date]],"mmm")</f>
        <v>Jan</v>
      </c>
      <c r="P1332">
        <f>MONTH(Table1[[#This Row],[Date]])</f>
        <v>1</v>
      </c>
    </row>
    <row r="1333" spans="1:16" x14ac:dyDescent="0.25">
      <c r="A1333" t="s">
        <v>1352</v>
      </c>
      <c r="B1333" t="s">
        <v>21</v>
      </c>
      <c r="C1333" t="s">
        <v>10</v>
      </c>
      <c r="D1333" s="1">
        <v>45425</v>
      </c>
      <c r="E1333">
        <v>84173</v>
      </c>
      <c r="F1333">
        <v>4359</v>
      </c>
      <c r="G1333">
        <v>185</v>
      </c>
      <c r="H1333" s="4">
        <v>2291.92</v>
      </c>
      <c r="I1333" s="4">
        <v>19904.75</v>
      </c>
      <c r="J1333" s="7">
        <f>Table1[[#This Row],[Clicks]]/Table1[[#This Row],[Impressions]]</f>
        <v>5.1786202226367123E-2</v>
      </c>
      <c r="K1333" s="7">
        <f>IFERROR(Table1[[#This Row],[Conversions]]/Table1[[#This Row],[Clicks]],0)</f>
        <v>4.244092681807754E-2</v>
      </c>
      <c r="L1333" s="6">
        <f>IF(Table1[[#This Row],[Conversions]]=0,0,Table1[[#This Row],[Ad Spend]]/Table1[[#This Row],[Conversions]])</f>
        <v>12.388756756756758</v>
      </c>
      <c r="M1333" s="8">
        <f>IF(Table1[[#This Row],[Ad Spend]]=0,0,Table1[[#This Row],[Revenue]]/Table1[[#This Row],[Ad Spend]])</f>
        <v>8.6847490313798037</v>
      </c>
      <c r="N1333">
        <f>YEAR(Table1[[#This Row],[Date]])</f>
        <v>2024</v>
      </c>
      <c r="O1333" t="str">
        <f>TEXT(Table1[[#This Row],[Date]],"mmm")</f>
        <v>May</v>
      </c>
      <c r="P1333">
        <f>MONTH(Table1[[#This Row],[Date]])</f>
        <v>5</v>
      </c>
    </row>
    <row r="1334" spans="1:16" x14ac:dyDescent="0.25">
      <c r="A1334" t="s">
        <v>1353</v>
      </c>
      <c r="B1334" t="s">
        <v>16</v>
      </c>
      <c r="C1334" t="s">
        <v>37</v>
      </c>
      <c r="D1334" s="1">
        <v>45420</v>
      </c>
      <c r="E1334">
        <v>40570</v>
      </c>
      <c r="F1334">
        <v>1587</v>
      </c>
      <c r="G1334">
        <v>72</v>
      </c>
      <c r="H1334" s="4">
        <v>1663.98</v>
      </c>
      <c r="I1334" s="4">
        <v>3580.81</v>
      </c>
      <c r="J1334" s="7">
        <f>Table1[[#This Row],[Clicks]]/Table1[[#This Row],[Impressions]]</f>
        <v>3.9117574562484596E-2</v>
      </c>
      <c r="K1334" s="7">
        <f>IFERROR(Table1[[#This Row],[Conversions]]/Table1[[#This Row],[Clicks]],0)</f>
        <v>4.5368620037807186E-2</v>
      </c>
      <c r="L1334" s="6">
        <f>IF(Table1[[#This Row],[Conversions]]=0,0,Table1[[#This Row],[Ad Spend]]/Table1[[#This Row],[Conversions]])</f>
        <v>23.110833333333332</v>
      </c>
      <c r="M1334" s="8">
        <f>IF(Table1[[#This Row],[Ad Spend]]=0,0,Table1[[#This Row],[Revenue]]/Table1[[#This Row],[Ad Spend]])</f>
        <v>2.1519549513816272</v>
      </c>
      <c r="N1334">
        <f>YEAR(Table1[[#This Row],[Date]])</f>
        <v>2024</v>
      </c>
      <c r="O1334" t="str">
        <f>TEXT(Table1[[#This Row],[Date]],"mmm")</f>
        <v>May</v>
      </c>
      <c r="P1334">
        <f>MONTH(Table1[[#This Row],[Date]])</f>
        <v>5</v>
      </c>
    </row>
    <row r="1335" spans="1:16" x14ac:dyDescent="0.25">
      <c r="A1335" t="s">
        <v>1354</v>
      </c>
      <c r="B1335" t="s">
        <v>41</v>
      </c>
      <c r="C1335" t="s">
        <v>12</v>
      </c>
      <c r="D1335" s="1">
        <v>45385</v>
      </c>
      <c r="E1335">
        <v>103557</v>
      </c>
      <c r="F1335">
        <v>6707</v>
      </c>
      <c r="G1335">
        <v>861</v>
      </c>
      <c r="H1335" s="4">
        <v>661</v>
      </c>
      <c r="I1335" s="4">
        <v>62557.8</v>
      </c>
      <c r="J1335" s="7">
        <f>Table1[[#This Row],[Clicks]]/Table1[[#This Row],[Impressions]]</f>
        <v>6.4766263989879974E-2</v>
      </c>
      <c r="K1335" s="7">
        <f>IFERROR(Table1[[#This Row],[Conversions]]/Table1[[#This Row],[Clicks]],0)</f>
        <v>0.1283733412852244</v>
      </c>
      <c r="L1335" s="6">
        <f>IF(Table1[[#This Row],[Conversions]]=0,0,Table1[[#This Row],[Ad Spend]]/Table1[[#This Row],[Conversions]])</f>
        <v>0.76771196283391407</v>
      </c>
      <c r="M1335" s="8">
        <f>IF(Table1[[#This Row],[Ad Spend]]=0,0,Table1[[#This Row],[Revenue]]/Table1[[#This Row],[Ad Spend]])</f>
        <v>94.641149773071106</v>
      </c>
      <c r="N1335">
        <f>YEAR(Table1[[#This Row],[Date]])</f>
        <v>2024</v>
      </c>
      <c r="O1335" t="str">
        <f>TEXT(Table1[[#This Row],[Date]],"mmm")</f>
        <v>Apr</v>
      </c>
      <c r="P1335">
        <f>MONTH(Table1[[#This Row],[Date]])</f>
        <v>4</v>
      </c>
    </row>
    <row r="1336" spans="1:16" x14ac:dyDescent="0.25">
      <c r="A1336" t="s">
        <v>1355</v>
      </c>
      <c r="B1336" t="s">
        <v>47</v>
      </c>
      <c r="C1336" t="s">
        <v>12</v>
      </c>
      <c r="D1336" s="1">
        <v>45642</v>
      </c>
      <c r="E1336">
        <v>98731</v>
      </c>
      <c r="F1336">
        <v>4224</v>
      </c>
      <c r="G1336">
        <v>319</v>
      </c>
      <c r="H1336" s="4">
        <v>2218.4299999999998</v>
      </c>
      <c r="I1336" s="4">
        <v>19467.25</v>
      </c>
      <c r="J1336" s="7">
        <f>Table1[[#This Row],[Clicks]]/Table1[[#This Row],[Impressions]]</f>
        <v>4.2782915193809438E-2</v>
      </c>
      <c r="K1336" s="7">
        <f>IFERROR(Table1[[#This Row],[Conversions]]/Table1[[#This Row],[Clicks]],0)</f>
        <v>7.5520833333333329E-2</v>
      </c>
      <c r="L1336" s="6">
        <f>IF(Table1[[#This Row],[Conversions]]=0,0,Table1[[#This Row],[Ad Spend]]/Table1[[#This Row],[Conversions]])</f>
        <v>6.9543260188087768</v>
      </c>
      <c r="M1336" s="8">
        <f>IF(Table1[[#This Row],[Ad Spend]]=0,0,Table1[[#This Row],[Revenue]]/Table1[[#This Row],[Ad Spend]])</f>
        <v>8.7752374426959605</v>
      </c>
      <c r="N1336">
        <f>YEAR(Table1[[#This Row],[Date]])</f>
        <v>2024</v>
      </c>
      <c r="O1336" t="str">
        <f>TEXT(Table1[[#This Row],[Date]],"mmm")</f>
        <v>Dec</v>
      </c>
      <c r="P1336">
        <f>MONTH(Table1[[#This Row],[Date]])</f>
        <v>12</v>
      </c>
    </row>
    <row r="1337" spans="1:16" x14ac:dyDescent="0.25">
      <c r="A1337" t="s">
        <v>1356</v>
      </c>
      <c r="B1337" t="s">
        <v>31</v>
      </c>
      <c r="C1337" t="s">
        <v>12</v>
      </c>
      <c r="D1337" s="1">
        <v>45305</v>
      </c>
      <c r="E1337">
        <v>115341</v>
      </c>
      <c r="F1337">
        <v>1867</v>
      </c>
      <c r="G1337">
        <v>71</v>
      </c>
      <c r="H1337" s="4">
        <v>4552.87</v>
      </c>
      <c r="I1337" s="4">
        <v>7005.09</v>
      </c>
      <c r="J1337" s="7">
        <f>Table1[[#This Row],[Clicks]]/Table1[[#This Row],[Impressions]]</f>
        <v>1.6186785271499294E-2</v>
      </c>
      <c r="K1337" s="7">
        <f>IFERROR(Table1[[#This Row],[Conversions]]/Table1[[#This Row],[Clicks]],0)</f>
        <v>3.8028923406534548E-2</v>
      </c>
      <c r="L1337" s="6">
        <f>IF(Table1[[#This Row],[Conversions]]=0,0,Table1[[#This Row],[Ad Spend]]/Table1[[#This Row],[Conversions]])</f>
        <v>64.124929577464783</v>
      </c>
      <c r="M1337" s="8">
        <f>IF(Table1[[#This Row],[Ad Spend]]=0,0,Table1[[#This Row],[Revenue]]/Table1[[#This Row],[Ad Spend]])</f>
        <v>1.5386097121156546</v>
      </c>
      <c r="N1337">
        <f>YEAR(Table1[[#This Row],[Date]])</f>
        <v>2024</v>
      </c>
      <c r="O1337" t="str">
        <f>TEXT(Table1[[#This Row],[Date]],"mmm")</f>
        <v>Jan</v>
      </c>
      <c r="P1337">
        <f>MONTH(Table1[[#This Row],[Date]])</f>
        <v>1</v>
      </c>
    </row>
    <row r="1338" spans="1:16" x14ac:dyDescent="0.25">
      <c r="A1338" t="s">
        <v>1357</v>
      </c>
      <c r="B1338" t="s">
        <v>47</v>
      </c>
      <c r="C1338" t="s">
        <v>37</v>
      </c>
      <c r="D1338" s="1">
        <v>45609</v>
      </c>
      <c r="E1338">
        <v>147414</v>
      </c>
      <c r="F1338">
        <v>10760</v>
      </c>
      <c r="G1338">
        <v>1443</v>
      </c>
      <c r="H1338" s="4">
        <v>456.97</v>
      </c>
      <c r="I1338" s="4">
        <v>150808.99</v>
      </c>
      <c r="J1338" s="7">
        <f>Table1[[#This Row],[Clicks]]/Table1[[#This Row],[Impressions]]</f>
        <v>7.2991710420991215E-2</v>
      </c>
      <c r="K1338" s="7">
        <f>IFERROR(Table1[[#This Row],[Conversions]]/Table1[[#This Row],[Clicks]],0)</f>
        <v>0.13410780669144981</v>
      </c>
      <c r="L1338" s="6">
        <f>IF(Table1[[#This Row],[Conversions]]=0,0,Table1[[#This Row],[Ad Spend]]/Table1[[#This Row],[Conversions]])</f>
        <v>0.31668052668052671</v>
      </c>
      <c r="M1338" s="8">
        <f>IF(Table1[[#This Row],[Ad Spend]]=0,0,Table1[[#This Row],[Revenue]]/Table1[[#This Row],[Ad Spend]])</f>
        <v>330.01945423113108</v>
      </c>
      <c r="N1338">
        <f>YEAR(Table1[[#This Row],[Date]])</f>
        <v>2024</v>
      </c>
      <c r="O1338" t="str">
        <f>TEXT(Table1[[#This Row],[Date]],"mmm")</f>
        <v>Nov</v>
      </c>
      <c r="P1338">
        <f>MONTH(Table1[[#This Row],[Date]])</f>
        <v>11</v>
      </c>
    </row>
    <row r="1339" spans="1:16" x14ac:dyDescent="0.25">
      <c r="A1339" t="s">
        <v>1358</v>
      </c>
      <c r="B1339" t="s">
        <v>16</v>
      </c>
      <c r="C1339" t="s">
        <v>17</v>
      </c>
      <c r="D1339" s="1">
        <v>45635</v>
      </c>
      <c r="E1339">
        <v>6560</v>
      </c>
      <c r="F1339">
        <v>278</v>
      </c>
      <c r="G1339">
        <v>33</v>
      </c>
      <c r="H1339" s="4">
        <v>2686.44</v>
      </c>
      <c r="I1339" s="4">
        <v>3429.35</v>
      </c>
      <c r="J1339" s="7">
        <f>Table1[[#This Row],[Clicks]]/Table1[[#This Row],[Impressions]]</f>
        <v>4.2378048780487808E-2</v>
      </c>
      <c r="K1339" s="7">
        <f>IFERROR(Table1[[#This Row],[Conversions]]/Table1[[#This Row],[Clicks]],0)</f>
        <v>0.11870503597122302</v>
      </c>
      <c r="L1339" s="6">
        <f>IF(Table1[[#This Row],[Conversions]]=0,0,Table1[[#This Row],[Ad Spend]]/Table1[[#This Row],[Conversions]])</f>
        <v>81.407272727272726</v>
      </c>
      <c r="M1339" s="8">
        <f>IF(Table1[[#This Row],[Ad Spend]]=0,0,Table1[[#This Row],[Revenue]]/Table1[[#This Row],[Ad Spend]])</f>
        <v>1.2765407007042777</v>
      </c>
      <c r="N1339">
        <f>YEAR(Table1[[#This Row],[Date]])</f>
        <v>2024</v>
      </c>
      <c r="O1339" t="str">
        <f>TEXT(Table1[[#This Row],[Date]],"mmm")</f>
        <v>Dec</v>
      </c>
      <c r="P1339">
        <f>MONTH(Table1[[#This Row],[Date]])</f>
        <v>12</v>
      </c>
    </row>
    <row r="1340" spans="1:16" x14ac:dyDescent="0.25">
      <c r="A1340" t="s">
        <v>1359</v>
      </c>
      <c r="B1340" t="s">
        <v>9</v>
      </c>
      <c r="C1340" t="s">
        <v>10</v>
      </c>
      <c r="D1340" s="1">
        <v>45430</v>
      </c>
      <c r="E1340">
        <v>33062</v>
      </c>
      <c r="F1340">
        <v>1102</v>
      </c>
      <c r="G1340">
        <v>35</v>
      </c>
      <c r="H1340" s="4">
        <v>1594.77</v>
      </c>
      <c r="I1340" s="4">
        <v>2385.14</v>
      </c>
      <c r="J1340" s="7">
        <f>Table1[[#This Row],[Clicks]]/Table1[[#This Row],[Impressions]]</f>
        <v>3.3331316919726572E-2</v>
      </c>
      <c r="K1340" s="7">
        <f>IFERROR(Table1[[#This Row],[Conversions]]/Table1[[#This Row],[Clicks]],0)</f>
        <v>3.1760435571687839E-2</v>
      </c>
      <c r="L1340" s="6">
        <f>IF(Table1[[#This Row],[Conversions]]=0,0,Table1[[#This Row],[Ad Spend]]/Table1[[#This Row],[Conversions]])</f>
        <v>45.564857142857143</v>
      </c>
      <c r="M1340" s="8">
        <f>IF(Table1[[#This Row],[Ad Spend]]=0,0,Table1[[#This Row],[Revenue]]/Table1[[#This Row],[Ad Spend]])</f>
        <v>1.495601246574741</v>
      </c>
      <c r="N1340">
        <f>YEAR(Table1[[#This Row],[Date]])</f>
        <v>2024</v>
      </c>
      <c r="O1340" t="str">
        <f>TEXT(Table1[[#This Row],[Date]],"mmm")</f>
        <v>May</v>
      </c>
      <c r="P1340">
        <f>MONTH(Table1[[#This Row],[Date]])</f>
        <v>5</v>
      </c>
    </row>
    <row r="1341" spans="1:16" x14ac:dyDescent="0.25">
      <c r="A1341" t="s">
        <v>1360</v>
      </c>
      <c r="B1341" t="s">
        <v>47</v>
      </c>
      <c r="C1341" t="s">
        <v>10</v>
      </c>
      <c r="D1341" s="1">
        <v>45354</v>
      </c>
      <c r="E1341">
        <v>138908</v>
      </c>
      <c r="F1341">
        <v>8578</v>
      </c>
      <c r="G1341">
        <v>230</v>
      </c>
      <c r="H1341" s="4">
        <v>1184.31</v>
      </c>
      <c r="I1341" s="4">
        <v>7915.49</v>
      </c>
      <c r="J1341" s="7">
        <f>Table1[[#This Row],[Clicks]]/Table1[[#This Row],[Impressions]]</f>
        <v>6.1753102773058427E-2</v>
      </c>
      <c r="K1341" s="7">
        <f>IFERROR(Table1[[#This Row],[Conversions]]/Table1[[#This Row],[Clicks]],0)</f>
        <v>2.6812776871065515E-2</v>
      </c>
      <c r="L1341" s="6">
        <f>IF(Table1[[#This Row],[Conversions]]=0,0,Table1[[#This Row],[Ad Spend]]/Table1[[#This Row],[Conversions]])</f>
        <v>5.1491739130434784</v>
      </c>
      <c r="M1341" s="8">
        <f>IF(Table1[[#This Row],[Ad Spend]]=0,0,Table1[[#This Row],[Revenue]]/Table1[[#This Row],[Ad Spend]])</f>
        <v>6.6836301306245831</v>
      </c>
      <c r="N1341">
        <f>YEAR(Table1[[#This Row],[Date]])</f>
        <v>2024</v>
      </c>
      <c r="O1341" t="str">
        <f>TEXT(Table1[[#This Row],[Date]],"mmm")</f>
        <v>Mar</v>
      </c>
      <c r="P1341">
        <f>MONTH(Table1[[#This Row],[Date]])</f>
        <v>3</v>
      </c>
    </row>
    <row r="1342" spans="1:16" x14ac:dyDescent="0.25">
      <c r="A1342" t="s">
        <v>1361</v>
      </c>
      <c r="B1342" t="s">
        <v>41</v>
      </c>
      <c r="C1342" t="s">
        <v>37</v>
      </c>
      <c r="D1342" s="1">
        <v>45406</v>
      </c>
      <c r="E1342">
        <v>45573</v>
      </c>
      <c r="F1342">
        <v>1415</v>
      </c>
      <c r="G1342">
        <v>85</v>
      </c>
      <c r="H1342" s="4">
        <v>4947.96</v>
      </c>
      <c r="I1342" s="4">
        <v>1754.83</v>
      </c>
      <c r="J1342" s="7">
        <f>Table1[[#This Row],[Clicks]]/Table1[[#This Row],[Impressions]]</f>
        <v>3.1049086081671166E-2</v>
      </c>
      <c r="K1342" s="7">
        <f>IFERROR(Table1[[#This Row],[Conversions]]/Table1[[#This Row],[Clicks]],0)</f>
        <v>6.0070671378091869E-2</v>
      </c>
      <c r="L1342" s="6">
        <f>IF(Table1[[#This Row],[Conversions]]=0,0,Table1[[#This Row],[Ad Spend]]/Table1[[#This Row],[Conversions]])</f>
        <v>58.211294117647057</v>
      </c>
      <c r="M1342" s="8">
        <f>IF(Table1[[#This Row],[Ad Spend]]=0,0,Table1[[#This Row],[Revenue]]/Table1[[#This Row],[Ad Spend]])</f>
        <v>0.35465727289630472</v>
      </c>
      <c r="N1342">
        <f>YEAR(Table1[[#This Row],[Date]])</f>
        <v>2024</v>
      </c>
      <c r="O1342" t="str">
        <f>TEXT(Table1[[#This Row],[Date]],"mmm")</f>
        <v>Apr</v>
      </c>
      <c r="P1342">
        <f>MONTH(Table1[[#This Row],[Date]])</f>
        <v>4</v>
      </c>
    </row>
    <row r="1343" spans="1:16" x14ac:dyDescent="0.25">
      <c r="A1343" t="s">
        <v>1362</v>
      </c>
      <c r="B1343" t="s">
        <v>41</v>
      </c>
      <c r="C1343" t="s">
        <v>12</v>
      </c>
      <c r="D1343" s="1">
        <v>45644</v>
      </c>
      <c r="E1343">
        <v>57612</v>
      </c>
      <c r="F1343">
        <v>1038</v>
      </c>
      <c r="G1343">
        <v>20</v>
      </c>
      <c r="H1343" s="4">
        <v>3098.2</v>
      </c>
      <c r="I1343" s="4">
        <v>642.07000000000005</v>
      </c>
      <c r="J1343" s="7">
        <f>Table1[[#This Row],[Clicks]]/Table1[[#This Row],[Impressions]]</f>
        <v>1.8017079775046865E-2</v>
      </c>
      <c r="K1343" s="7">
        <f>IFERROR(Table1[[#This Row],[Conversions]]/Table1[[#This Row],[Clicks]],0)</f>
        <v>1.9267822736030827E-2</v>
      </c>
      <c r="L1343" s="6">
        <f>IF(Table1[[#This Row],[Conversions]]=0,0,Table1[[#This Row],[Ad Spend]]/Table1[[#This Row],[Conversions]])</f>
        <v>154.91</v>
      </c>
      <c r="M1343" s="8">
        <f>IF(Table1[[#This Row],[Ad Spend]]=0,0,Table1[[#This Row],[Revenue]]/Table1[[#This Row],[Ad Spend]])</f>
        <v>0.20723968756051903</v>
      </c>
      <c r="N1343">
        <f>YEAR(Table1[[#This Row],[Date]])</f>
        <v>2024</v>
      </c>
      <c r="O1343" t="str">
        <f>TEXT(Table1[[#This Row],[Date]],"mmm")</f>
        <v>Dec</v>
      </c>
      <c r="P1343">
        <f>MONTH(Table1[[#This Row],[Date]])</f>
        <v>12</v>
      </c>
    </row>
    <row r="1344" spans="1:16" x14ac:dyDescent="0.25">
      <c r="A1344" t="s">
        <v>1363</v>
      </c>
      <c r="B1344" t="s">
        <v>9</v>
      </c>
      <c r="C1344" t="s">
        <v>37</v>
      </c>
      <c r="D1344" s="1">
        <v>45396</v>
      </c>
      <c r="E1344">
        <v>32159</v>
      </c>
      <c r="F1344">
        <v>1388</v>
      </c>
      <c r="G1344">
        <v>178</v>
      </c>
      <c r="H1344" s="4">
        <v>2330.3200000000002</v>
      </c>
      <c r="I1344" s="4">
        <v>4550.63</v>
      </c>
      <c r="J1344" s="7">
        <f>Table1[[#This Row],[Clicks]]/Table1[[#This Row],[Impressions]]</f>
        <v>4.3160546036879258E-2</v>
      </c>
      <c r="K1344" s="7">
        <f>IFERROR(Table1[[#This Row],[Conversions]]/Table1[[#This Row],[Clicks]],0)</f>
        <v>0.12824207492795389</v>
      </c>
      <c r="L1344" s="6">
        <f>IF(Table1[[#This Row],[Conversions]]=0,0,Table1[[#This Row],[Ad Spend]]/Table1[[#This Row],[Conversions]])</f>
        <v>13.091685393258429</v>
      </c>
      <c r="M1344" s="8">
        <f>IF(Table1[[#This Row],[Ad Spend]]=0,0,Table1[[#This Row],[Revenue]]/Table1[[#This Row],[Ad Spend]])</f>
        <v>1.9527918912424045</v>
      </c>
      <c r="N1344">
        <f>YEAR(Table1[[#This Row],[Date]])</f>
        <v>2024</v>
      </c>
      <c r="O1344" t="str">
        <f>TEXT(Table1[[#This Row],[Date]],"mmm")</f>
        <v>Apr</v>
      </c>
      <c r="P1344">
        <f>MONTH(Table1[[#This Row],[Date]])</f>
        <v>4</v>
      </c>
    </row>
    <row r="1345" spans="1:16" x14ac:dyDescent="0.25">
      <c r="A1345" t="s">
        <v>1364</v>
      </c>
      <c r="B1345" t="s">
        <v>9</v>
      </c>
      <c r="C1345" t="s">
        <v>19</v>
      </c>
      <c r="D1345" s="1">
        <v>45499</v>
      </c>
      <c r="E1345">
        <v>131804</v>
      </c>
      <c r="F1345">
        <v>10384</v>
      </c>
      <c r="G1345">
        <v>1314</v>
      </c>
      <c r="H1345" s="4">
        <v>4240.26</v>
      </c>
      <c r="I1345" s="4">
        <v>98118.91</v>
      </c>
      <c r="J1345" s="7">
        <f>Table1[[#This Row],[Clicks]]/Table1[[#This Row],[Impressions]]</f>
        <v>7.8783648447695059E-2</v>
      </c>
      <c r="K1345" s="7">
        <f>IFERROR(Table1[[#This Row],[Conversions]]/Table1[[#This Row],[Clicks]],0)</f>
        <v>0.12654083204930663</v>
      </c>
      <c r="L1345" s="6">
        <f>IF(Table1[[#This Row],[Conversions]]=0,0,Table1[[#This Row],[Ad Spend]]/Table1[[#This Row],[Conversions]])</f>
        <v>3.226986301369863</v>
      </c>
      <c r="M1345" s="8">
        <f>IF(Table1[[#This Row],[Ad Spend]]=0,0,Table1[[#This Row],[Revenue]]/Table1[[#This Row],[Ad Spend]])</f>
        <v>23.139833406442058</v>
      </c>
      <c r="N1345">
        <f>YEAR(Table1[[#This Row],[Date]])</f>
        <v>2024</v>
      </c>
      <c r="O1345" t="str">
        <f>TEXT(Table1[[#This Row],[Date]],"mmm")</f>
        <v>Jul</v>
      </c>
      <c r="P1345">
        <f>MONTH(Table1[[#This Row],[Date]])</f>
        <v>7</v>
      </c>
    </row>
    <row r="1346" spans="1:16" x14ac:dyDescent="0.25">
      <c r="A1346" t="s">
        <v>1365</v>
      </c>
      <c r="B1346" t="s">
        <v>41</v>
      </c>
      <c r="C1346" t="s">
        <v>12</v>
      </c>
      <c r="D1346" s="1">
        <v>45355</v>
      </c>
      <c r="E1346">
        <v>118338</v>
      </c>
      <c r="F1346">
        <v>2394</v>
      </c>
      <c r="G1346">
        <v>54</v>
      </c>
      <c r="H1346" s="4">
        <v>880.09</v>
      </c>
      <c r="I1346" s="4">
        <v>5100.83</v>
      </c>
      <c r="J1346" s="7">
        <f>Table1[[#This Row],[Clicks]]/Table1[[#This Row],[Impressions]]</f>
        <v>2.0230188105257819E-2</v>
      </c>
      <c r="K1346" s="7">
        <f>IFERROR(Table1[[#This Row],[Conversions]]/Table1[[#This Row],[Clicks]],0)</f>
        <v>2.2556390977443608E-2</v>
      </c>
      <c r="L1346" s="6">
        <f>IF(Table1[[#This Row],[Conversions]]=0,0,Table1[[#This Row],[Ad Spend]]/Table1[[#This Row],[Conversions]])</f>
        <v>16.297962962962963</v>
      </c>
      <c r="M1346" s="8">
        <f>IF(Table1[[#This Row],[Ad Spend]]=0,0,Table1[[#This Row],[Revenue]]/Table1[[#This Row],[Ad Spend]])</f>
        <v>5.7958049744912445</v>
      </c>
      <c r="N1346">
        <f>YEAR(Table1[[#This Row],[Date]])</f>
        <v>2024</v>
      </c>
      <c r="O1346" t="str">
        <f>TEXT(Table1[[#This Row],[Date]],"mmm")</f>
        <v>Mar</v>
      </c>
      <c r="P1346">
        <f>MONTH(Table1[[#This Row],[Date]])</f>
        <v>3</v>
      </c>
    </row>
    <row r="1347" spans="1:16" x14ac:dyDescent="0.25">
      <c r="A1347" t="s">
        <v>1366</v>
      </c>
      <c r="B1347" t="s">
        <v>14</v>
      </c>
      <c r="C1347" t="s">
        <v>37</v>
      </c>
      <c r="D1347" s="1">
        <v>45553</v>
      </c>
      <c r="E1347">
        <v>148309</v>
      </c>
      <c r="F1347">
        <v>3563</v>
      </c>
      <c r="G1347">
        <v>293</v>
      </c>
      <c r="H1347" s="4">
        <v>1589.36</v>
      </c>
      <c r="I1347" s="4">
        <v>8790.58</v>
      </c>
      <c r="J1347" s="7">
        <f>Table1[[#This Row],[Clicks]]/Table1[[#This Row],[Impressions]]</f>
        <v>2.4024165762023882E-2</v>
      </c>
      <c r="K1347" s="7">
        <f>IFERROR(Table1[[#This Row],[Conversions]]/Table1[[#This Row],[Clicks]],0)</f>
        <v>8.2234072410889703E-2</v>
      </c>
      <c r="L1347" s="6">
        <f>IF(Table1[[#This Row],[Conversions]]=0,0,Table1[[#This Row],[Ad Spend]]/Table1[[#This Row],[Conversions]])</f>
        <v>5.4244368600682593</v>
      </c>
      <c r="M1347" s="8">
        <f>IF(Table1[[#This Row],[Ad Spend]]=0,0,Table1[[#This Row],[Revenue]]/Table1[[#This Row],[Ad Spend]])</f>
        <v>5.5308929380379528</v>
      </c>
      <c r="N1347">
        <f>YEAR(Table1[[#This Row],[Date]])</f>
        <v>2024</v>
      </c>
      <c r="O1347" t="str">
        <f>TEXT(Table1[[#This Row],[Date]],"mmm")</f>
        <v>Sept</v>
      </c>
      <c r="P1347">
        <f>MONTH(Table1[[#This Row],[Date]])</f>
        <v>9</v>
      </c>
    </row>
    <row r="1348" spans="1:16" x14ac:dyDescent="0.25">
      <c r="A1348" t="s">
        <v>1367</v>
      </c>
      <c r="B1348" t="s">
        <v>41</v>
      </c>
      <c r="C1348" t="s">
        <v>19</v>
      </c>
      <c r="D1348" s="1">
        <v>45633</v>
      </c>
      <c r="E1348">
        <v>77137</v>
      </c>
      <c r="F1348">
        <v>2883</v>
      </c>
      <c r="G1348">
        <v>319</v>
      </c>
      <c r="H1348" s="4">
        <v>715.21</v>
      </c>
      <c r="I1348" s="4">
        <v>19679</v>
      </c>
      <c r="J1348" s="7">
        <f>Table1[[#This Row],[Clicks]]/Table1[[#This Row],[Impressions]]</f>
        <v>3.7375059958256088E-2</v>
      </c>
      <c r="K1348" s="7">
        <f>IFERROR(Table1[[#This Row],[Conversions]]/Table1[[#This Row],[Clicks]],0)</f>
        <v>0.11064862989941034</v>
      </c>
      <c r="L1348" s="6">
        <f>IF(Table1[[#This Row],[Conversions]]=0,0,Table1[[#This Row],[Ad Spend]]/Table1[[#This Row],[Conversions]])</f>
        <v>2.2420376175548591</v>
      </c>
      <c r="M1348" s="8">
        <f>IF(Table1[[#This Row],[Ad Spend]]=0,0,Table1[[#This Row],[Revenue]]/Table1[[#This Row],[Ad Spend]])</f>
        <v>27.514995595699165</v>
      </c>
      <c r="N1348">
        <f>YEAR(Table1[[#This Row],[Date]])</f>
        <v>2024</v>
      </c>
      <c r="O1348" t="str">
        <f>TEXT(Table1[[#This Row],[Date]],"mmm")</f>
        <v>Dec</v>
      </c>
      <c r="P1348">
        <f>MONTH(Table1[[#This Row],[Date]])</f>
        <v>12</v>
      </c>
    </row>
    <row r="1349" spans="1:16" x14ac:dyDescent="0.25">
      <c r="A1349" t="s">
        <v>1368</v>
      </c>
      <c r="B1349" t="s">
        <v>21</v>
      </c>
      <c r="C1349" t="s">
        <v>37</v>
      </c>
      <c r="D1349" s="1">
        <v>45306</v>
      </c>
      <c r="E1349">
        <v>79297</v>
      </c>
      <c r="F1349">
        <v>3330</v>
      </c>
      <c r="G1349">
        <v>310</v>
      </c>
      <c r="H1349" s="4">
        <v>252.89</v>
      </c>
      <c r="I1349" s="4">
        <v>15585.61</v>
      </c>
      <c r="J1349" s="7">
        <f>Table1[[#This Row],[Clicks]]/Table1[[#This Row],[Impressions]]</f>
        <v>4.199402247247689E-2</v>
      </c>
      <c r="K1349" s="7">
        <f>IFERROR(Table1[[#This Row],[Conversions]]/Table1[[#This Row],[Clicks]],0)</f>
        <v>9.3093093093093091E-2</v>
      </c>
      <c r="L1349" s="6">
        <f>IF(Table1[[#This Row],[Conversions]]=0,0,Table1[[#This Row],[Ad Spend]]/Table1[[#This Row],[Conversions]])</f>
        <v>0.81577419354838709</v>
      </c>
      <c r="M1349" s="8">
        <f>IF(Table1[[#This Row],[Ad Spend]]=0,0,Table1[[#This Row],[Revenue]]/Table1[[#This Row],[Ad Spend]])</f>
        <v>61.629997231998111</v>
      </c>
      <c r="N1349">
        <f>YEAR(Table1[[#This Row],[Date]])</f>
        <v>2024</v>
      </c>
      <c r="O1349" t="str">
        <f>TEXT(Table1[[#This Row],[Date]],"mmm")</f>
        <v>Jan</v>
      </c>
      <c r="P1349">
        <f>MONTH(Table1[[#This Row],[Date]])</f>
        <v>1</v>
      </c>
    </row>
    <row r="1350" spans="1:16" x14ac:dyDescent="0.25">
      <c r="A1350" t="s">
        <v>1369</v>
      </c>
      <c r="B1350" t="s">
        <v>41</v>
      </c>
      <c r="C1350" t="s">
        <v>10</v>
      </c>
      <c r="D1350" s="1">
        <v>45473</v>
      </c>
      <c r="E1350">
        <v>41517</v>
      </c>
      <c r="F1350">
        <v>1774</v>
      </c>
      <c r="G1350">
        <v>202</v>
      </c>
      <c r="H1350" s="4">
        <v>1529.14</v>
      </c>
      <c r="I1350" s="4">
        <v>23871.42</v>
      </c>
      <c r="J1350" s="7">
        <f>Table1[[#This Row],[Clicks]]/Table1[[#This Row],[Impressions]]</f>
        <v>4.2729484307633014E-2</v>
      </c>
      <c r="K1350" s="7">
        <f>IFERROR(Table1[[#This Row],[Conversions]]/Table1[[#This Row],[Clicks]],0)</f>
        <v>0.11386696730552424</v>
      </c>
      <c r="L1350" s="6">
        <f>IF(Table1[[#This Row],[Conversions]]=0,0,Table1[[#This Row],[Ad Spend]]/Table1[[#This Row],[Conversions]])</f>
        <v>7.57</v>
      </c>
      <c r="M1350" s="8">
        <f>IF(Table1[[#This Row],[Ad Spend]]=0,0,Table1[[#This Row],[Revenue]]/Table1[[#This Row],[Ad Spend]])</f>
        <v>15.611010110258052</v>
      </c>
      <c r="N1350">
        <f>YEAR(Table1[[#This Row],[Date]])</f>
        <v>2024</v>
      </c>
      <c r="O1350" t="str">
        <f>TEXT(Table1[[#This Row],[Date]],"mmm")</f>
        <v>Jun</v>
      </c>
      <c r="P1350">
        <f>MONTH(Table1[[#This Row],[Date]])</f>
        <v>6</v>
      </c>
    </row>
    <row r="1351" spans="1:16" x14ac:dyDescent="0.25">
      <c r="A1351" t="s">
        <v>1370</v>
      </c>
      <c r="B1351" t="s">
        <v>47</v>
      </c>
      <c r="C1351" t="s">
        <v>12</v>
      </c>
      <c r="D1351" s="1">
        <v>45549</v>
      </c>
      <c r="E1351">
        <v>60254</v>
      </c>
      <c r="F1351">
        <v>2073</v>
      </c>
      <c r="G1351">
        <v>231</v>
      </c>
      <c r="H1351" s="4">
        <v>2075</v>
      </c>
      <c r="I1351" s="4">
        <v>6069.89</v>
      </c>
      <c r="J1351" s="7">
        <f>Table1[[#This Row],[Clicks]]/Table1[[#This Row],[Impressions]]</f>
        <v>3.4404354897600159E-2</v>
      </c>
      <c r="K1351" s="7">
        <f>IFERROR(Table1[[#This Row],[Conversions]]/Table1[[#This Row],[Clicks]],0)</f>
        <v>0.11143270622286541</v>
      </c>
      <c r="L1351" s="6">
        <f>IF(Table1[[#This Row],[Conversions]]=0,0,Table1[[#This Row],[Ad Spend]]/Table1[[#This Row],[Conversions]])</f>
        <v>8.9826839826839819</v>
      </c>
      <c r="M1351" s="8">
        <f>IF(Table1[[#This Row],[Ad Spend]]=0,0,Table1[[#This Row],[Revenue]]/Table1[[#This Row],[Ad Spend]])</f>
        <v>2.9252481927710843</v>
      </c>
      <c r="N1351">
        <f>YEAR(Table1[[#This Row],[Date]])</f>
        <v>2024</v>
      </c>
      <c r="O1351" t="str">
        <f>TEXT(Table1[[#This Row],[Date]],"mmm")</f>
        <v>Sept</v>
      </c>
      <c r="P1351">
        <f>MONTH(Table1[[#This Row],[Date]])</f>
        <v>9</v>
      </c>
    </row>
    <row r="1352" spans="1:16" x14ac:dyDescent="0.25">
      <c r="A1352" t="s">
        <v>1371</v>
      </c>
      <c r="B1352" t="s">
        <v>16</v>
      </c>
      <c r="C1352" t="s">
        <v>19</v>
      </c>
      <c r="D1352" s="1">
        <v>45627</v>
      </c>
      <c r="E1352">
        <v>93943</v>
      </c>
      <c r="F1352">
        <v>3960</v>
      </c>
      <c r="G1352">
        <v>521</v>
      </c>
      <c r="H1352" s="4">
        <v>872.19</v>
      </c>
      <c r="I1352" s="4">
        <v>51316.46</v>
      </c>
      <c r="J1352" s="7">
        <f>Table1[[#This Row],[Clicks]]/Table1[[#This Row],[Impressions]]</f>
        <v>4.2153220569920061E-2</v>
      </c>
      <c r="K1352" s="7">
        <f>IFERROR(Table1[[#This Row],[Conversions]]/Table1[[#This Row],[Clicks]],0)</f>
        <v>0.13156565656565655</v>
      </c>
      <c r="L1352" s="6">
        <f>IF(Table1[[#This Row],[Conversions]]=0,0,Table1[[#This Row],[Ad Spend]]/Table1[[#This Row],[Conversions]])</f>
        <v>1.6740690978886756</v>
      </c>
      <c r="M1352" s="8">
        <f>IF(Table1[[#This Row],[Ad Spend]]=0,0,Table1[[#This Row],[Revenue]]/Table1[[#This Row],[Ad Spend]])</f>
        <v>58.836331533266829</v>
      </c>
      <c r="N1352">
        <f>YEAR(Table1[[#This Row],[Date]])</f>
        <v>2024</v>
      </c>
      <c r="O1352" t="str">
        <f>TEXT(Table1[[#This Row],[Date]],"mmm")</f>
        <v>Dec</v>
      </c>
      <c r="P1352">
        <f>MONTH(Table1[[#This Row],[Date]])</f>
        <v>12</v>
      </c>
    </row>
    <row r="1353" spans="1:16" x14ac:dyDescent="0.25">
      <c r="A1353" t="s">
        <v>1372</v>
      </c>
      <c r="B1353" t="s">
        <v>34</v>
      </c>
      <c r="C1353" t="s">
        <v>17</v>
      </c>
      <c r="D1353" s="1">
        <v>45326</v>
      </c>
      <c r="E1353">
        <v>131810</v>
      </c>
      <c r="F1353">
        <v>4792</v>
      </c>
      <c r="G1353">
        <v>389</v>
      </c>
      <c r="H1353" s="4">
        <v>3363.06</v>
      </c>
      <c r="I1353" s="4">
        <v>30187.919999999998</v>
      </c>
      <c r="J1353" s="7">
        <f>Table1[[#This Row],[Clicks]]/Table1[[#This Row],[Impressions]]</f>
        <v>3.6355359987861317E-2</v>
      </c>
      <c r="K1353" s="7">
        <f>IFERROR(Table1[[#This Row],[Conversions]]/Table1[[#This Row],[Clicks]],0)</f>
        <v>8.1176961602671113E-2</v>
      </c>
      <c r="L1353" s="6">
        <f>IF(Table1[[#This Row],[Conversions]]=0,0,Table1[[#This Row],[Ad Spend]]/Table1[[#This Row],[Conversions]])</f>
        <v>8.6453984575835481</v>
      </c>
      <c r="M1353" s="8">
        <f>IF(Table1[[#This Row],[Ad Spend]]=0,0,Table1[[#This Row],[Revenue]]/Table1[[#This Row],[Ad Spend]])</f>
        <v>8.9763251324686451</v>
      </c>
      <c r="N1353">
        <f>YEAR(Table1[[#This Row],[Date]])</f>
        <v>2024</v>
      </c>
      <c r="O1353" t="str">
        <f>TEXT(Table1[[#This Row],[Date]],"mmm")</f>
        <v>Feb</v>
      </c>
      <c r="P1353">
        <f>MONTH(Table1[[#This Row],[Date]])</f>
        <v>2</v>
      </c>
    </row>
    <row r="1354" spans="1:16" x14ac:dyDescent="0.25">
      <c r="A1354" t="s">
        <v>1373</v>
      </c>
      <c r="B1354" t="s">
        <v>34</v>
      </c>
      <c r="C1354" t="s">
        <v>37</v>
      </c>
      <c r="D1354" s="1">
        <v>45649</v>
      </c>
      <c r="E1354">
        <v>89954</v>
      </c>
      <c r="F1354">
        <v>4607</v>
      </c>
      <c r="G1354">
        <v>439</v>
      </c>
      <c r="H1354" s="4">
        <v>3005.57</v>
      </c>
      <c r="I1354" s="4">
        <v>45212.01</v>
      </c>
      <c r="J1354" s="7">
        <f>Table1[[#This Row],[Clicks]]/Table1[[#This Row],[Impressions]]</f>
        <v>5.121506547791093E-2</v>
      </c>
      <c r="K1354" s="7">
        <f>IFERROR(Table1[[#This Row],[Conversions]]/Table1[[#This Row],[Clicks]],0)</f>
        <v>9.5289776427176037E-2</v>
      </c>
      <c r="L1354" s="6">
        <f>IF(Table1[[#This Row],[Conversions]]=0,0,Table1[[#This Row],[Ad Spend]]/Table1[[#This Row],[Conversions]])</f>
        <v>6.8464009111617319</v>
      </c>
      <c r="M1354" s="8">
        <f>IF(Table1[[#This Row],[Ad Spend]]=0,0,Table1[[#This Row],[Revenue]]/Table1[[#This Row],[Ad Spend]])</f>
        <v>15.04274064486936</v>
      </c>
      <c r="N1354">
        <f>YEAR(Table1[[#This Row],[Date]])</f>
        <v>2024</v>
      </c>
      <c r="O1354" t="str">
        <f>TEXT(Table1[[#This Row],[Date]],"mmm")</f>
        <v>Dec</v>
      </c>
      <c r="P1354">
        <f>MONTH(Table1[[#This Row],[Date]])</f>
        <v>12</v>
      </c>
    </row>
    <row r="1355" spans="1:16" x14ac:dyDescent="0.25">
      <c r="A1355" t="s">
        <v>1374</v>
      </c>
      <c r="B1355" t="s">
        <v>9</v>
      </c>
      <c r="C1355" t="s">
        <v>10</v>
      </c>
      <c r="D1355" s="1">
        <v>45307</v>
      </c>
      <c r="E1355">
        <v>46727</v>
      </c>
      <c r="F1355">
        <v>1225</v>
      </c>
      <c r="G1355">
        <v>130</v>
      </c>
      <c r="H1355" s="4">
        <v>2597.2800000000002</v>
      </c>
      <c r="I1355" s="4">
        <v>11431.19</v>
      </c>
      <c r="J1355" s="7">
        <f>Table1[[#This Row],[Clicks]]/Table1[[#This Row],[Impressions]]</f>
        <v>2.621610631968669E-2</v>
      </c>
      <c r="K1355" s="7">
        <f>IFERROR(Table1[[#This Row],[Conversions]]/Table1[[#This Row],[Clicks]],0)</f>
        <v>0.10612244897959183</v>
      </c>
      <c r="L1355" s="6">
        <f>IF(Table1[[#This Row],[Conversions]]=0,0,Table1[[#This Row],[Ad Spend]]/Table1[[#This Row],[Conversions]])</f>
        <v>19.979076923076924</v>
      </c>
      <c r="M1355" s="8">
        <f>IF(Table1[[#This Row],[Ad Spend]]=0,0,Table1[[#This Row],[Revenue]]/Table1[[#This Row],[Ad Spend]])</f>
        <v>4.4012158873898848</v>
      </c>
      <c r="N1355">
        <f>YEAR(Table1[[#This Row],[Date]])</f>
        <v>2024</v>
      </c>
      <c r="O1355" t="str">
        <f>TEXT(Table1[[#This Row],[Date]],"mmm")</f>
        <v>Jan</v>
      </c>
      <c r="P1355">
        <f>MONTH(Table1[[#This Row],[Date]])</f>
        <v>1</v>
      </c>
    </row>
    <row r="1356" spans="1:16" x14ac:dyDescent="0.25">
      <c r="A1356" t="s">
        <v>1375</v>
      </c>
      <c r="B1356" t="s">
        <v>47</v>
      </c>
      <c r="C1356" t="s">
        <v>37</v>
      </c>
      <c r="D1356" s="1">
        <v>45687</v>
      </c>
      <c r="E1356">
        <v>67027</v>
      </c>
      <c r="F1356">
        <v>1164</v>
      </c>
      <c r="G1356">
        <v>156</v>
      </c>
      <c r="H1356" s="4">
        <v>3695.18</v>
      </c>
      <c r="I1356" s="4">
        <v>9111.7000000000007</v>
      </c>
      <c r="J1356" s="7">
        <f>Table1[[#This Row],[Clicks]]/Table1[[#This Row],[Impressions]]</f>
        <v>1.7366136034732273E-2</v>
      </c>
      <c r="K1356" s="7">
        <f>IFERROR(Table1[[#This Row],[Conversions]]/Table1[[#This Row],[Clicks]],0)</f>
        <v>0.13402061855670103</v>
      </c>
      <c r="L1356" s="6">
        <f>IF(Table1[[#This Row],[Conversions]]=0,0,Table1[[#This Row],[Ad Spend]]/Table1[[#This Row],[Conversions]])</f>
        <v>23.687051282051282</v>
      </c>
      <c r="M1356" s="8">
        <f>IF(Table1[[#This Row],[Ad Spend]]=0,0,Table1[[#This Row],[Revenue]]/Table1[[#This Row],[Ad Spend]])</f>
        <v>2.4658338700685762</v>
      </c>
      <c r="N1356">
        <f>YEAR(Table1[[#This Row],[Date]])</f>
        <v>2025</v>
      </c>
      <c r="O1356" t="str">
        <f>TEXT(Table1[[#This Row],[Date]],"mmm")</f>
        <v>Jan</v>
      </c>
      <c r="P1356">
        <f>MONTH(Table1[[#This Row],[Date]])</f>
        <v>1</v>
      </c>
    </row>
    <row r="1357" spans="1:16" x14ac:dyDescent="0.25">
      <c r="A1357" t="s">
        <v>1376</v>
      </c>
      <c r="B1357" t="s">
        <v>21</v>
      </c>
      <c r="C1357" t="s">
        <v>10</v>
      </c>
      <c r="D1357" s="1">
        <v>45323</v>
      </c>
      <c r="E1357">
        <v>70662</v>
      </c>
      <c r="F1357">
        <v>1272</v>
      </c>
      <c r="G1357">
        <v>165</v>
      </c>
      <c r="H1357" s="4">
        <v>549.83000000000004</v>
      </c>
      <c r="I1357" s="4">
        <v>15895.31</v>
      </c>
      <c r="J1357" s="7">
        <f>Table1[[#This Row],[Clicks]]/Table1[[#This Row],[Impressions]]</f>
        <v>1.8001188757748154E-2</v>
      </c>
      <c r="K1357" s="7">
        <f>IFERROR(Table1[[#This Row],[Conversions]]/Table1[[#This Row],[Clicks]],0)</f>
        <v>0.12971698113207547</v>
      </c>
      <c r="L1357" s="6">
        <f>IF(Table1[[#This Row],[Conversions]]=0,0,Table1[[#This Row],[Ad Spend]]/Table1[[#This Row],[Conversions]])</f>
        <v>3.3323030303030308</v>
      </c>
      <c r="M1357" s="8">
        <f>IF(Table1[[#This Row],[Ad Spend]]=0,0,Table1[[#This Row],[Revenue]]/Table1[[#This Row],[Ad Spend]])</f>
        <v>28.909499299783565</v>
      </c>
      <c r="N1357">
        <f>YEAR(Table1[[#This Row],[Date]])</f>
        <v>2024</v>
      </c>
      <c r="O1357" t="str">
        <f>TEXT(Table1[[#This Row],[Date]],"mmm")</f>
        <v>Feb</v>
      </c>
      <c r="P1357">
        <f>MONTH(Table1[[#This Row],[Date]])</f>
        <v>2</v>
      </c>
    </row>
    <row r="1358" spans="1:16" x14ac:dyDescent="0.25">
      <c r="A1358" t="s">
        <v>1377</v>
      </c>
      <c r="B1358" t="s">
        <v>31</v>
      </c>
      <c r="C1358" t="s">
        <v>37</v>
      </c>
      <c r="D1358" s="1">
        <v>45456</v>
      </c>
      <c r="E1358">
        <v>33222</v>
      </c>
      <c r="F1358">
        <v>1957</v>
      </c>
      <c r="G1358">
        <v>135</v>
      </c>
      <c r="H1358" s="4">
        <v>4946.58</v>
      </c>
      <c r="I1358" s="4">
        <v>10446.030000000001</v>
      </c>
      <c r="J1358" s="7">
        <f>Table1[[#This Row],[Clicks]]/Table1[[#This Row],[Impressions]]</f>
        <v>5.8906748540124017E-2</v>
      </c>
      <c r="K1358" s="7">
        <f>IFERROR(Table1[[#This Row],[Conversions]]/Table1[[#This Row],[Clicks]],0)</f>
        <v>6.8983137455288709E-2</v>
      </c>
      <c r="L1358" s="6">
        <f>IF(Table1[[#This Row],[Conversions]]=0,0,Table1[[#This Row],[Ad Spend]]/Table1[[#This Row],[Conversions]])</f>
        <v>36.641333333333336</v>
      </c>
      <c r="M1358" s="8">
        <f>IF(Table1[[#This Row],[Ad Spend]]=0,0,Table1[[#This Row],[Revenue]]/Table1[[#This Row],[Ad Spend]])</f>
        <v>2.1117681307084895</v>
      </c>
      <c r="N1358">
        <f>YEAR(Table1[[#This Row],[Date]])</f>
        <v>2024</v>
      </c>
      <c r="O1358" t="str">
        <f>TEXT(Table1[[#This Row],[Date]],"mmm")</f>
        <v>Jun</v>
      </c>
      <c r="P1358">
        <f>MONTH(Table1[[#This Row],[Date]])</f>
        <v>6</v>
      </c>
    </row>
    <row r="1359" spans="1:16" x14ac:dyDescent="0.25">
      <c r="A1359" t="s">
        <v>1378</v>
      </c>
      <c r="B1359" t="s">
        <v>14</v>
      </c>
      <c r="C1359" t="s">
        <v>37</v>
      </c>
      <c r="D1359" s="1">
        <v>45421</v>
      </c>
      <c r="E1359">
        <v>133739</v>
      </c>
      <c r="F1359">
        <v>5433</v>
      </c>
      <c r="G1359">
        <v>310</v>
      </c>
      <c r="H1359" s="4">
        <v>1165.73</v>
      </c>
      <c r="I1359" s="4">
        <v>11224.78</v>
      </c>
      <c r="J1359" s="7">
        <f>Table1[[#This Row],[Clicks]]/Table1[[#This Row],[Impressions]]</f>
        <v>4.0623901778837887E-2</v>
      </c>
      <c r="K1359" s="7">
        <f>IFERROR(Table1[[#This Row],[Conversions]]/Table1[[#This Row],[Clicks]],0)</f>
        <v>5.7058715258604821E-2</v>
      </c>
      <c r="L1359" s="6">
        <f>IF(Table1[[#This Row],[Conversions]]=0,0,Table1[[#This Row],[Ad Spend]]/Table1[[#This Row],[Conversions]])</f>
        <v>3.7604193548387097</v>
      </c>
      <c r="M1359" s="8">
        <f>IF(Table1[[#This Row],[Ad Spend]]=0,0,Table1[[#This Row],[Revenue]]/Table1[[#This Row],[Ad Spend]])</f>
        <v>9.6289706878951389</v>
      </c>
      <c r="N1359">
        <f>YEAR(Table1[[#This Row],[Date]])</f>
        <v>2024</v>
      </c>
      <c r="O1359" t="str">
        <f>TEXT(Table1[[#This Row],[Date]],"mmm")</f>
        <v>May</v>
      </c>
      <c r="P1359">
        <f>MONTH(Table1[[#This Row],[Date]])</f>
        <v>5</v>
      </c>
    </row>
    <row r="1360" spans="1:16" x14ac:dyDescent="0.25">
      <c r="A1360" t="s">
        <v>1379</v>
      </c>
      <c r="B1360" t="s">
        <v>14</v>
      </c>
      <c r="C1360" t="s">
        <v>10</v>
      </c>
      <c r="D1360" s="1">
        <v>45590</v>
      </c>
      <c r="E1360">
        <v>11355</v>
      </c>
      <c r="F1360">
        <v>613</v>
      </c>
      <c r="G1360">
        <v>65</v>
      </c>
      <c r="H1360" s="4">
        <v>1176.99</v>
      </c>
      <c r="I1360" s="4">
        <v>6565.06</v>
      </c>
      <c r="J1360" s="7">
        <f>Table1[[#This Row],[Clicks]]/Table1[[#This Row],[Impressions]]</f>
        <v>5.3985028621752529E-2</v>
      </c>
      <c r="K1360" s="7">
        <f>IFERROR(Table1[[#This Row],[Conversions]]/Table1[[#This Row],[Clicks]],0)</f>
        <v>0.10603588907014681</v>
      </c>
      <c r="L1360" s="6">
        <f>IF(Table1[[#This Row],[Conversions]]=0,0,Table1[[#This Row],[Ad Spend]]/Table1[[#This Row],[Conversions]])</f>
        <v>18.107538461538461</v>
      </c>
      <c r="M1360" s="8">
        <f>IF(Table1[[#This Row],[Ad Spend]]=0,0,Table1[[#This Row],[Revenue]]/Table1[[#This Row],[Ad Spend]])</f>
        <v>5.5778383843533081</v>
      </c>
      <c r="N1360">
        <f>YEAR(Table1[[#This Row],[Date]])</f>
        <v>2024</v>
      </c>
      <c r="O1360" t="str">
        <f>TEXT(Table1[[#This Row],[Date]],"mmm")</f>
        <v>Oct</v>
      </c>
      <c r="P1360">
        <f>MONTH(Table1[[#This Row],[Date]])</f>
        <v>10</v>
      </c>
    </row>
    <row r="1361" spans="1:16" x14ac:dyDescent="0.25">
      <c r="A1361" t="s">
        <v>1380</v>
      </c>
      <c r="B1361" t="s">
        <v>31</v>
      </c>
      <c r="C1361" t="s">
        <v>19</v>
      </c>
      <c r="D1361" s="1">
        <v>45688</v>
      </c>
      <c r="E1361">
        <v>111961</v>
      </c>
      <c r="F1361">
        <v>5573</v>
      </c>
      <c r="G1361">
        <v>737</v>
      </c>
      <c r="H1361" s="4">
        <v>1835.41</v>
      </c>
      <c r="I1361" s="4">
        <v>65030.02</v>
      </c>
      <c r="J1361" s="7">
        <f>Table1[[#This Row],[Clicks]]/Table1[[#This Row],[Impressions]]</f>
        <v>4.97762613767294E-2</v>
      </c>
      <c r="K1361" s="7">
        <f>IFERROR(Table1[[#This Row],[Conversions]]/Table1[[#This Row],[Clicks]],0)</f>
        <v>0.1322447514803517</v>
      </c>
      <c r="L1361" s="6">
        <f>IF(Table1[[#This Row],[Conversions]]=0,0,Table1[[#This Row],[Ad Spend]]/Table1[[#This Row],[Conversions]])</f>
        <v>2.4903799185888738</v>
      </c>
      <c r="M1361" s="8">
        <f>IF(Table1[[#This Row],[Ad Spend]]=0,0,Table1[[#This Row],[Revenue]]/Table1[[#This Row],[Ad Spend]])</f>
        <v>35.430786581744677</v>
      </c>
      <c r="N1361">
        <f>YEAR(Table1[[#This Row],[Date]])</f>
        <v>2025</v>
      </c>
      <c r="O1361" t="str">
        <f>TEXT(Table1[[#This Row],[Date]],"mmm")</f>
        <v>Jan</v>
      </c>
      <c r="P1361">
        <f>MONTH(Table1[[#This Row],[Date]])</f>
        <v>1</v>
      </c>
    </row>
    <row r="1362" spans="1:16" x14ac:dyDescent="0.25">
      <c r="A1362" t="s">
        <v>1381</v>
      </c>
      <c r="B1362" t="s">
        <v>41</v>
      </c>
      <c r="C1362" t="s">
        <v>37</v>
      </c>
      <c r="D1362" s="1">
        <v>45398</v>
      </c>
      <c r="E1362">
        <v>129186</v>
      </c>
      <c r="F1362">
        <v>5821</v>
      </c>
      <c r="G1362">
        <v>386</v>
      </c>
      <c r="H1362" s="4">
        <v>4518.83</v>
      </c>
      <c r="I1362" s="4">
        <v>40662.07</v>
      </c>
      <c r="J1362" s="7">
        <f>Table1[[#This Row],[Clicks]]/Table1[[#This Row],[Impressions]]</f>
        <v>4.5059062127475111E-2</v>
      </c>
      <c r="K1362" s="7">
        <f>IFERROR(Table1[[#This Row],[Conversions]]/Table1[[#This Row],[Clicks]],0)</f>
        <v>6.6311630304071459E-2</v>
      </c>
      <c r="L1362" s="6">
        <f>IF(Table1[[#This Row],[Conversions]]=0,0,Table1[[#This Row],[Ad Spend]]/Table1[[#This Row],[Conversions]])</f>
        <v>11.70681347150259</v>
      </c>
      <c r="M1362" s="8">
        <f>IF(Table1[[#This Row],[Ad Spend]]=0,0,Table1[[#This Row],[Revenue]]/Table1[[#This Row],[Ad Spend]])</f>
        <v>8.9983624079684343</v>
      </c>
      <c r="N1362">
        <f>YEAR(Table1[[#This Row],[Date]])</f>
        <v>2024</v>
      </c>
      <c r="O1362" t="str">
        <f>TEXT(Table1[[#This Row],[Date]],"mmm")</f>
        <v>Apr</v>
      </c>
      <c r="P1362">
        <f>MONTH(Table1[[#This Row],[Date]])</f>
        <v>4</v>
      </c>
    </row>
    <row r="1363" spans="1:16" x14ac:dyDescent="0.25">
      <c r="A1363" t="s">
        <v>1382</v>
      </c>
      <c r="B1363" t="s">
        <v>9</v>
      </c>
      <c r="C1363" t="s">
        <v>17</v>
      </c>
      <c r="D1363" s="1">
        <v>45510</v>
      </c>
      <c r="E1363">
        <v>103597</v>
      </c>
      <c r="F1363">
        <v>7373</v>
      </c>
      <c r="G1363">
        <v>692</v>
      </c>
      <c r="H1363" s="4">
        <v>810.52</v>
      </c>
      <c r="I1363" s="4">
        <v>49633.48</v>
      </c>
      <c r="J1363" s="7">
        <f>Table1[[#This Row],[Clicks]]/Table1[[#This Row],[Impressions]]</f>
        <v>7.1170014575711649E-2</v>
      </c>
      <c r="K1363" s="7">
        <f>IFERROR(Table1[[#This Row],[Conversions]]/Table1[[#This Row],[Clicks]],0)</f>
        <v>9.3855960938559607E-2</v>
      </c>
      <c r="L1363" s="6">
        <f>IF(Table1[[#This Row],[Conversions]]=0,0,Table1[[#This Row],[Ad Spend]]/Table1[[#This Row],[Conversions]])</f>
        <v>1.1712716763005779</v>
      </c>
      <c r="M1363" s="8">
        <f>IF(Table1[[#This Row],[Ad Spend]]=0,0,Table1[[#This Row],[Revenue]]/Table1[[#This Row],[Ad Spend]])</f>
        <v>61.236588856536549</v>
      </c>
      <c r="N1363">
        <f>YEAR(Table1[[#This Row],[Date]])</f>
        <v>2024</v>
      </c>
      <c r="O1363" t="str">
        <f>TEXT(Table1[[#This Row],[Date]],"mmm")</f>
        <v>Aug</v>
      </c>
      <c r="P1363">
        <f>MONTH(Table1[[#This Row],[Date]])</f>
        <v>8</v>
      </c>
    </row>
    <row r="1364" spans="1:16" x14ac:dyDescent="0.25">
      <c r="A1364" t="s">
        <v>1383</v>
      </c>
      <c r="B1364" t="s">
        <v>9</v>
      </c>
      <c r="C1364" t="s">
        <v>10</v>
      </c>
      <c r="D1364" s="1">
        <v>45547</v>
      </c>
      <c r="E1364">
        <v>65443</v>
      </c>
      <c r="F1364">
        <v>890</v>
      </c>
      <c r="G1364">
        <v>80</v>
      </c>
      <c r="H1364" s="4">
        <v>308.2</v>
      </c>
      <c r="I1364" s="4">
        <v>8170.62</v>
      </c>
      <c r="J1364" s="7">
        <f>Table1[[#This Row],[Clicks]]/Table1[[#This Row],[Impressions]]</f>
        <v>1.359962104426753E-2</v>
      </c>
      <c r="K1364" s="7">
        <f>IFERROR(Table1[[#This Row],[Conversions]]/Table1[[#This Row],[Clicks]],0)</f>
        <v>8.98876404494382E-2</v>
      </c>
      <c r="L1364" s="6">
        <f>IF(Table1[[#This Row],[Conversions]]=0,0,Table1[[#This Row],[Ad Spend]]/Table1[[#This Row],[Conversions]])</f>
        <v>3.8525</v>
      </c>
      <c r="M1364" s="8">
        <f>IF(Table1[[#This Row],[Ad Spend]]=0,0,Table1[[#This Row],[Revenue]]/Table1[[#This Row],[Ad Spend]])</f>
        <v>26.510772225827385</v>
      </c>
      <c r="N1364">
        <f>YEAR(Table1[[#This Row],[Date]])</f>
        <v>2024</v>
      </c>
      <c r="O1364" t="str">
        <f>TEXT(Table1[[#This Row],[Date]],"mmm")</f>
        <v>Sept</v>
      </c>
      <c r="P1364">
        <f>MONTH(Table1[[#This Row],[Date]])</f>
        <v>9</v>
      </c>
    </row>
    <row r="1365" spans="1:16" x14ac:dyDescent="0.25">
      <c r="A1365" t="s">
        <v>1384</v>
      </c>
      <c r="B1365" t="s">
        <v>34</v>
      </c>
      <c r="C1365" t="s">
        <v>19</v>
      </c>
      <c r="D1365" s="1">
        <v>45491</v>
      </c>
      <c r="E1365">
        <v>98822</v>
      </c>
      <c r="F1365">
        <v>1458</v>
      </c>
      <c r="G1365">
        <v>194</v>
      </c>
      <c r="H1365" s="4">
        <v>4846.95</v>
      </c>
      <c r="I1365" s="4">
        <v>5330.68</v>
      </c>
      <c r="J1365" s="7">
        <f>Table1[[#This Row],[Clicks]]/Table1[[#This Row],[Impressions]]</f>
        <v>1.475379976118678E-2</v>
      </c>
      <c r="K1365" s="7">
        <f>IFERROR(Table1[[#This Row],[Conversions]]/Table1[[#This Row],[Clicks]],0)</f>
        <v>0.13305898491083676</v>
      </c>
      <c r="L1365" s="6">
        <f>IF(Table1[[#This Row],[Conversions]]=0,0,Table1[[#This Row],[Ad Spend]]/Table1[[#This Row],[Conversions]])</f>
        <v>24.984278350515464</v>
      </c>
      <c r="M1365" s="8">
        <f>IF(Table1[[#This Row],[Ad Spend]]=0,0,Table1[[#This Row],[Revenue]]/Table1[[#This Row],[Ad Spend]])</f>
        <v>1.0998009057242184</v>
      </c>
      <c r="N1365">
        <f>YEAR(Table1[[#This Row],[Date]])</f>
        <v>2024</v>
      </c>
      <c r="O1365" t="str">
        <f>TEXT(Table1[[#This Row],[Date]],"mmm")</f>
        <v>Jul</v>
      </c>
      <c r="P1365">
        <f>MONTH(Table1[[#This Row],[Date]])</f>
        <v>7</v>
      </c>
    </row>
    <row r="1366" spans="1:16" x14ac:dyDescent="0.25">
      <c r="A1366" t="s">
        <v>1385</v>
      </c>
      <c r="B1366" t="s">
        <v>14</v>
      </c>
      <c r="C1366" t="s">
        <v>12</v>
      </c>
      <c r="D1366" s="1">
        <v>45604</v>
      </c>
      <c r="E1366">
        <v>136084</v>
      </c>
      <c r="F1366">
        <v>4335</v>
      </c>
      <c r="G1366">
        <v>435</v>
      </c>
      <c r="H1366" s="4">
        <v>2820.52</v>
      </c>
      <c r="I1366" s="4">
        <v>47493.66</v>
      </c>
      <c r="J1366" s="7">
        <f>Table1[[#This Row],[Clicks]]/Table1[[#This Row],[Impressions]]</f>
        <v>3.1855324652420566E-2</v>
      </c>
      <c r="K1366" s="7">
        <f>IFERROR(Table1[[#This Row],[Conversions]]/Table1[[#This Row],[Clicks]],0)</f>
        <v>0.10034602076124567</v>
      </c>
      <c r="L1366" s="6">
        <f>IF(Table1[[#This Row],[Conversions]]=0,0,Table1[[#This Row],[Ad Spend]]/Table1[[#This Row],[Conversions]])</f>
        <v>6.483954022988506</v>
      </c>
      <c r="M1366" s="8">
        <f>IF(Table1[[#This Row],[Ad Spend]]=0,0,Table1[[#This Row],[Revenue]]/Table1[[#This Row],[Ad Spend]])</f>
        <v>16.838618410789501</v>
      </c>
      <c r="N1366">
        <f>YEAR(Table1[[#This Row],[Date]])</f>
        <v>2024</v>
      </c>
      <c r="O1366" t="str">
        <f>TEXT(Table1[[#This Row],[Date]],"mmm")</f>
        <v>Nov</v>
      </c>
      <c r="P1366">
        <f>MONTH(Table1[[#This Row],[Date]])</f>
        <v>11</v>
      </c>
    </row>
    <row r="1367" spans="1:16" x14ac:dyDescent="0.25">
      <c r="A1367" t="s">
        <v>1386</v>
      </c>
      <c r="B1367" t="s">
        <v>41</v>
      </c>
      <c r="C1367" t="s">
        <v>19</v>
      </c>
      <c r="D1367" s="1">
        <v>45626</v>
      </c>
      <c r="E1367">
        <v>12858</v>
      </c>
      <c r="F1367">
        <v>157</v>
      </c>
      <c r="G1367">
        <v>11</v>
      </c>
      <c r="H1367" s="4">
        <v>1162.45</v>
      </c>
      <c r="I1367" s="4">
        <v>1196.83</v>
      </c>
      <c r="J1367" s="7">
        <f>Table1[[#This Row],[Clicks]]/Table1[[#This Row],[Impressions]]</f>
        <v>1.2210297091305024E-2</v>
      </c>
      <c r="K1367" s="7">
        <f>IFERROR(Table1[[#This Row],[Conversions]]/Table1[[#This Row],[Clicks]],0)</f>
        <v>7.0063694267515922E-2</v>
      </c>
      <c r="L1367" s="6">
        <f>IF(Table1[[#This Row],[Conversions]]=0,0,Table1[[#This Row],[Ad Spend]]/Table1[[#This Row],[Conversions]])</f>
        <v>105.67727272727274</v>
      </c>
      <c r="M1367" s="8">
        <f>IF(Table1[[#This Row],[Ad Spend]]=0,0,Table1[[#This Row],[Revenue]]/Table1[[#This Row],[Ad Spend]])</f>
        <v>1.029575465611424</v>
      </c>
      <c r="N1367">
        <f>YEAR(Table1[[#This Row],[Date]])</f>
        <v>2024</v>
      </c>
      <c r="O1367" t="str">
        <f>TEXT(Table1[[#This Row],[Date]],"mmm")</f>
        <v>Nov</v>
      </c>
      <c r="P1367">
        <f>MONTH(Table1[[#This Row],[Date]])</f>
        <v>11</v>
      </c>
    </row>
    <row r="1368" spans="1:16" x14ac:dyDescent="0.25">
      <c r="A1368" t="s">
        <v>1387</v>
      </c>
      <c r="B1368" t="s">
        <v>31</v>
      </c>
      <c r="C1368" t="s">
        <v>37</v>
      </c>
      <c r="D1368" s="1">
        <v>45396</v>
      </c>
      <c r="E1368">
        <v>148415</v>
      </c>
      <c r="F1368">
        <v>9969</v>
      </c>
      <c r="G1368">
        <v>626</v>
      </c>
      <c r="H1368" s="4">
        <v>3835.25</v>
      </c>
      <c r="I1368" s="4">
        <v>69631.199999999997</v>
      </c>
      <c r="J1368" s="7">
        <f>Table1[[#This Row],[Clicks]]/Table1[[#This Row],[Impressions]]</f>
        <v>6.71697604689553E-2</v>
      </c>
      <c r="K1368" s="7">
        <f>IFERROR(Table1[[#This Row],[Conversions]]/Table1[[#This Row],[Clicks]],0)</f>
        <v>6.2794663456715819E-2</v>
      </c>
      <c r="L1368" s="6">
        <f>IF(Table1[[#This Row],[Conversions]]=0,0,Table1[[#This Row],[Ad Spend]]/Table1[[#This Row],[Conversions]])</f>
        <v>6.1265974440894571</v>
      </c>
      <c r="M1368" s="8">
        <f>IF(Table1[[#This Row],[Ad Spend]]=0,0,Table1[[#This Row],[Revenue]]/Table1[[#This Row],[Ad Spend]])</f>
        <v>18.155583078026204</v>
      </c>
      <c r="N1368">
        <f>YEAR(Table1[[#This Row],[Date]])</f>
        <v>2024</v>
      </c>
      <c r="O1368" t="str">
        <f>TEXT(Table1[[#This Row],[Date]],"mmm")</f>
        <v>Apr</v>
      </c>
      <c r="P1368">
        <f>MONTH(Table1[[#This Row],[Date]])</f>
        <v>4</v>
      </c>
    </row>
    <row r="1369" spans="1:16" x14ac:dyDescent="0.25">
      <c r="A1369" t="s">
        <v>1388</v>
      </c>
      <c r="B1369" t="s">
        <v>31</v>
      </c>
      <c r="C1369" t="s">
        <v>37</v>
      </c>
      <c r="D1369" s="1">
        <v>45544</v>
      </c>
      <c r="E1369">
        <v>24113</v>
      </c>
      <c r="F1369">
        <v>1601</v>
      </c>
      <c r="G1369">
        <v>149</v>
      </c>
      <c r="H1369" s="4">
        <v>3128.01</v>
      </c>
      <c r="I1369" s="4">
        <v>15421.55</v>
      </c>
      <c r="J1369" s="7">
        <f>Table1[[#This Row],[Clicks]]/Table1[[#This Row],[Impressions]]</f>
        <v>6.639572015095592E-2</v>
      </c>
      <c r="K1369" s="7">
        <f>IFERROR(Table1[[#This Row],[Conversions]]/Table1[[#This Row],[Clicks]],0)</f>
        <v>9.3066833229231732E-2</v>
      </c>
      <c r="L1369" s="6">
        <f>IF(Table1[[#This Row],[Conversions]]=0,0,Table1[[#This Row],[Ad Spend]]/Table1[[#This Row],[Conversions]])</f>
        <v>20.993355704697986</v>
      </c>
      <c r="M1369" s="8">
        <f>IF(Table1[[#This Row],[Ad Spend]]=0,0,Table1[[#This Row],[Revenue]]/Table1[[#This Row],[Ad Spend]])</f>
        <v>4.9301472821378445</v>
      </c>
      <c r="N1369">
        <f>YEAR(Table1[[#This Row],[Date]])</f>
        <v>2024</v>
      </c>
      <c r="O1369" t="str">
        <f>TEXT(Table1[[#This Row],[Date]],"mmm")</f>
        <v>Sept</v>
      </c>
      <c r="P1369">
        <f>MONTH(Table1[[#This Row],[Date]])</f>
        <v>9</v>
      </c>
    </row>
    <row r="1370" spans="1:16" x14ac:dyDescent="0.25">
      <c r="A1370" t="s">
        <v>1389</v>
      </c>
      <c r="B1370" t="s">
        <v>31</v>
      </c>
      <c r="C1370" t="s">
        <v>19</v>
      </c>
      <c r="D1370" s="1">
        <v>45328</v>
      </c>
      <c r="E1370">
        <v>114114</v>
      </c>
      <c r="F1370">
        <v>5919</v>
      </c>
      <c r="G1370">
        <v>589</v>
      </c>
      <c r="H1370" s="4">
        <v>586.85</v>
      </c>
      <c r="I1370" s="4">
        <v>44258.95</v>
      </c>
      <c r="J1370" s="7">
        <f>Table1[[#This Row],[Clicks]]/Table1[[#This Row],[Impressions]]</f>
        <v>5.1869183448130816E-2</v>
      </c>
      <c r="K1370" s="7">
        <f>IFERROR(Table1[[#This Row],[Conversions]]/Table1[[#This Row],[Clicks]],0)</f>
        <v>9.9510052373711771E-2</v>
      </c>
      <c r="L1370" s="6">
        <f>IF(Table1[[#This Row],[Conversions]]=0,0,Table1[[#This Row],[Ad Spend]]/Table1[[#This Row],[Conversions]])</f>
        <v>0.99634974533106968</v>
      </c>
      <c r="M1370" s="8">
        <f>IF(Table1[[#This Row],[Ad Spend]]=0,0,Table1[[#This Row],[Revenue]]/Table1[[#This Row],[Ad Spend]])</f>
        <v>75.417823975462213</v>
      </c>
      <c r="N1370">
        <f>YEAR(Table1[[#This Row],[Date]])</f>
        <v>2024</v>
      </c>
      <c r="O1370" t="str">
        <f>TEXT(Table1[[#This Row],[Date]],"mmm")</f>
        <v>Feb</v>
      </c>
      <c r="P1370">
        <f>MONTH(Table1[[#This Row],[Date]])</f>
        <v>2</v>
      </c>
    </row>
    <row r="1371" spans="1:16" x14ac:dyDescent="0.25">
      <c r="A1371" t="s">
        <v>1390</v>
      </c>
      <c r="B1371" t="s">
        <v>16</v>
      </c>
      <c r="C1371" t="s">
        <v>19</v>
      </c>
      <c r="D1371" s="1">
        <v>45662</v>
      </c>
      <c r="E1371">
        <v>15942</v>
      </c>
      <c r="F1371">
        <v>275</v>
      </c>
      <c r="G1371">
        <v>23</v>
      </c>
      <c r="H1371" s="4">
        <v>1281.18</v>
      </c>
      <c r="I1371" s="4">
        <v>1265.5899999999999</v>
      </c>
      <c r="J1371" s="7">
        <f>Table1[[#This Row],[Clicks]]/Table1[[#This Row],[Impressions]]</f>
        <v>1.7250031363693387E-2</v>
      </c>
      <c r="K1371" s="7">
        <f>IFERROR(Table1[[#This Row],[Conversions]]/Table1[[#This Row],[Clicks]],0)</f>
        <v>8.3636363636363634E-2</v>
      </c>
      <c r="L1371" s="6">
        <f>IF(Table1[[#This Row],[Conversions]]=0,0,Table1[[#This Row],[Ad Spend]]/Table1[[#This Row],[Conversions]])</f>
        <v>55.703478260869566</v>
      </c>
      <c r="M1371" s="8">
        <f>IF(Table1[[#This Row],[Ad Spend]]=0,0,Table1[[#This Row],[Revenue]]/Table1[[#This Row],[Ad Spend]])</f>
        <v>0.9878315303079972</v>
      </c>
      <c r="N1371">
        <f>YEAR(Table1[[#This Row],[Date]])</f>
        <v>2025</v>
      </c>
      <c r="O1371" t="str">
        <f>TEXT(Table1[[#This Row],[Date]],"mmm")</f>
        <v>Jan</v>
      </c>
      <c r="P1371">
        <f>MONTH(Table1[[#This Row],[Date]])</f>
        <v>1</v>
      </c>
    </row>
    <row r="1372" spans="1:16" x14ac:dyDescent="0.25">
      <c r="A1372" t="s">
        <v>1391</v>
      </c>
      <c r="B1372" t="s">
        <v>41</v>
      </c>
      <c r="C1372" t="s">
        <v>19</v>
      </c>
      <c r="D1372" s="1">
        <v>45692</v>
      </c>
      <c r="E1372">
        <v>64704</v>
      </c>
      <c r="F1372">
        <v>744</v>
      </c>
      <c r="G1372">
        <v>20</v>
      </c>
      <c r="H1372" s="4">
        <v>3913.34</v>
      </c>
      <c r="I1372" s="4">
        <v>2022.73</v>
      </c>
      <c r="J1372" s="7">
        <f>Table1[[#This Row],[Clicks]]/Table1[[#This Row],[Impressions]]</f>
        <v>1.1498516320474777E-2</v>
      </c>
      <c r="K1372" s="7">
        <f>IFERROR(Table1[[#This Row],[Conversions]]/Table1[[#This Row],[Clicks]],0)</f>
        <v>2.6881720430107527E-2</v>
      </c>
      <c r="L1372" s="6">
        <f>IF(Table1[[#This Row],[Conversions]]=0,0,Table1[[#This Row],[Ad Spend]]/Table1[[#This Row],[Conversions]])</f>
        <v>195.667</v>
      </c>
      <c r="M1372" s="8">
        <f>IF(Table1[[#This Row],[Ad Spend]]=0,0,Table1[[#This Row],[Revenue]]/Table1[[#This Row],[Ad Spend]])</f>
        <v>0.51688072081648917</v>
      </c>
      <c r="N1372">
        <f>YEAR(Table1[[#This Row],[Date]])</f>
        <v>2025</v>
      </c>
      <c r="O1372" t="str">
        <f>TEXT(Table1[[#This Row],[Date]],"mmm")</f>
        <v>Feb</v>
      </c>
      <c r="P1372">
        <f>MONTH(Table1[[#This Row],[Date]])</f>
        <v>2</v>
      </c>
    </row>
    <row r="1373" spans="1:16" x14ac:dyDescent="0.25">
      <c r="A1373" t="s">
        <v>1392</v>
      </c>
      <c r="B1373" t="s">
        <v>21</v>
      </c>
      <c r="C1373" t="s">
        <v>10</v>
      </c>
      <c r="D1373" s="1">
        <v>45574</v>
      </c>
      <c r="E1373">
        <v>131398</v>
      </c>
      <c r="F1373">
        <v>1793</v>
      </c>
      <c r="G1373">
        <v>214</v>
      </c>
      <c r="H1373" s="4">
        <v>3538.11</v>
      </c>
      <c r="I1373" s="4">
        <v>13475.98</v>
      </c>
      <c r="J1373" s="7">
        <f>Table1[[#This Row],[Clicks]]/Table1[[#This Row],[Impressions]]</f>
        <v>1.3645565381512657E-2</v>
      </c>
      <c r="K1373" s="7">
        <f>IFERROR(Table1[[#This Row],[Conversions]]/Table1[[#This Row],[Clicks]],0)</f>
        <v>0.11935303959843838</v>
      </c>
      <c r="L1373" s="6">
        <f>IF(Table1[[#This Row],[Conversions]]=0,0,Table1[[#This Row],[Ad Spend]]/Table1[[#This Row],[Conversions]])</f>
        <v>16.53322429906542</v>
      </c>
      <c r="M1373" s="8">
        <f>IF(Table1[[#This Row],[Ad Spend]]=0,0,Table1[[#This Row],[Revenue]]/Table1[[#This Row],[Ad Spend]])</f>
        <v>3.8088075271825916</v>
      </c>
      <c r="N1373">
        <f>YEAR(Table1[[#This Row],[Date]])</f>
        <v>2024</v>
      </c>
      <c r="O1373" t="str">
        <f>TEXT(Table1[[#This Row],[Date]],"mmm")</f>
        <v>Oct</v>
      </c>
      <c r="P1373">
        <f>MONTH(Table1[[#This Row],[Date]])</f>
        <v>10</v>
      </c>
    </row>
    <row r="1374" spans="1:16" x14ac:dyDescent="0.25">
      <c r="A1374" t="s">
        <v>1393</v>
      </c>
      <c r="B1374" t="s">
        <v>21</v>
      </c>
      <c r="C1374" t="s">
        <v>12</v>
      </c>
      <c r="D1374" s="1">
        <v>45362</v>
      </c>
      <c r="E1374">
        <v>35299</v>
      </c>
      <c r="F1374">
        <v>1435</v>
      </c>
      <c r="G1374">
        <v>196</v>
      </c>
      <c r="H1374" s="4">
        <v>4916.17</v>
      </c>
      <c r="I1374" s="4">
        <v>11127.09</v>
      </c>
      <c r="J1374" s="7">
        <f>Table1[[#This Row],[Clicks]]/Table1[[#This Row],[Impressions]]</f>
        <v>4.0652709708490324E-2</v>
      </c>
      <c r="K1374" s="7">
        <f>IFERROR(Table1[[#This Row],[Conversions]]/Table1[[#This Row],[Clicks]],0)</f>
        <v>0.13658536585365855</v>
      </c>
      <c r="L1374" s="6">
        <f>IF(Table1[[#This Row],[Conversions]]=0,0,Table1[[#This Row],[Ad Spend]]/Table1[[#This Row],[Conversions]])</f>
        <v>25.0825</v>
      </c>
      <c r="M1374" s="8">
        <f>IF(Table1[[#This Row],[Ad Spend]]=0,0,Table1[[#This Row],[Revenue]]/Table1[[#This Row],[Ad Spend]])</f>
        <v>2.2633655874390022</v>
      </c>
      <c r="N1374">
        <f>YEAR(Table1[[#This Row],[Date]])</f>
        <v>2024</v>
      </c>
      <c r="O1374" t="str">
        <f>TEXT(Table1[[#This Row],[Date]],"mmm")</f>
        <v>Mar</v>
      </c>
      <c r="P1374">
        <f>MONTH(Table1[[#This Row],[Date]])</f>
        <v>3</v>
      </c>
    </row>
    <row r="1375" spans="1:16" x14ac:dyDescent="0.25">
      <c r="A1375" t="s">
        <v>1394</v>
      </c>
      <c r="B1375" t="s">
        <v>14</v>
      </c>
      <c r="C1375" t="s">
        <v>19</v>
      </c>
      <c r="D1375" s="1">
        <v>45515</v>
      </c>
      <c r="E1375">
        <v>20184</v>
      </c>
      <c r="F1375">
        <v>538</v>
      </c>
      <c r="G1375">
        <v>17</v>
      </c>
      <c r="H1375" s="4">
        <v>248.24</v>
      </c>
      <c r="I1375" s="4">
        <v>1042.21</v>
      </c>
      <c r="J1375" s="7">
        <f>Table1[[#This Row],[Clicks]]/Table1[[#This Row],[Impressions]]</f>
        <v>2.6654776060245741E-2</v>
      </c>
      <c r="K1375" s="7">
        <f>IFERROR(Table1[[#This Row],[Conversions]]/Table1[[#This Row],[Clicks]],0)</f>
        <v>3.1598513011152414E-2</v>
      </c>
      <c r="L1375" s="6">
        <f>IF(Table1[[#This Row],[Conversions]]=0,0,Table1[[#This Row],[Ad Spend]]/Table1[[#This Row],[Conversions]])</f>
        <v>14.602352941176472</v>
      </c>
      <c r="M1375" s="8">
        <f>IF(Table1[[#This Row],[Ad Spend]]=0,0,Table1[[#This Row],[Revenue]]/Table1[[#This Row],[Ad Spend]])</f>
        <v>4.198396712858524</v>
      </c>
      <c r="N1375">
        <f>YEAR(Table1[[#This Row],[Date]])</f>
        <v>2024</v>
      </c>
      <c r="O1375" t="str">
        <f>TEXT(Table1[[#This Row],[Date]],"mmm")</f>
        <v>Aug</v>
      </c>
      <c r="P1375">
        <f>MONTH(Table1[[#This Row],[Date]])</f>
        <v>8</v>
      </c>
    </row>
    <row r="1376" spans="1:16" x14ac:dyDescent="0.25">
      <c r="A1376" t="s">
        <v>1395</v>
      </c>
      <c r="B1376" t="s">
        <v>31</v>
      </c>
      <c r="C1376" t="s">
        <v>10</v>
      </c>
      <c r="D1376" s="1">
        <v>45660</v>
      </c>
      <c r="E1376">
        <v>70515</v>
      </c>
      <c r="F1376">
        <v>4716</v>
      </c>
      <c r="G1376">
        <v>141</v>
      </c>
      <c r="H1376" s="4">
        <v>808.24</v>
      </c>
      <c r="I1376" s="4">
        <v>5366.37</v>
      </c>
      <c r="J1376" s="7">
        <f>Table1[[#This Row],[Clicks]]/Table1[[#This Row],[Impressions]]</f>
        <v>6.6879387364390558E-2</v>
      </c>
      <c r="K1376" s="7">
        <f>IFERROR(Table1[[#This Row],[Conversions]]/Table1[[#This Row],[Clicks]],0)</f>
        <v>2.989821882951654E-2</v>
      </c>
      <c r="L1376" s="6">
        <f>IF(Table1[[#This Row],[Conversions]]=0,0,Table1[[#This Row],[Ad Spend]]/Table1[[#This Row],[Conversions]])</f>
        <v>5.7321985815602838</v>
      </c>
      <c r="M1376" s="8">
        <f>IF(Table1[[#This Row],[Ad Spend]]=0,0,Table1[[#This Row],[Revenue]]/Table1[[#This Row],[Ad Spend]])</f>
        <v>6.6395748787488866</v>
      </c>
      <c r="N1376">
        <f>YEAR(Table1[[#This Row],[Date]])</f>
        <v>2025</v>
      </c>
      <c r="O1376" t="str">
        <f>TEXT(Table1[[#This Row],[Date]],"mmm")</f>
        <v>Jan</v>
      </c>
      <c r="P1376">
        <f>MONTH(Table1[[#This Row],[Date]])</f>
        <v>1</v>
      </c>
    </row>
    <row r="1377" spans="1:16" x14ac:dyDescent="0.25">
      <c r="A1377" t="s">
        <v>1396</v>
      </c>
      <c r="B1377" t="s">
        <v>31</v>
      </c>
      <c r="C1377" t="s">
        <v>19</v>
      </c>
      <c r="D1377" s="1">
        <v>45471</v>
      </c>
      <c r="E1377">
        <v>69027</v>
      </c>
      <c r="F1377">
        <v>5512</v>
      </c>
      <c r="G1377">
        <v>203</v>
      </c>
      <c r="H1377" s="4">
        <v>2109.5300000000002</v>
      </c>
      <c r="I1377" s="4">
        <v>17408.93</v>
      </c>
      <c r="J1377" s="7">
        <f>Table1[[#This Row],[Clicks]]/Table1[[#This Row],[Impressions]]</f>
        <v>7.9852811218798447E-2</v>
      </c>
      <c r="K1377" s="7">
        <f>IFERROR(Table1[[#This Row],[Conversions]]/Table1[[#This Row],[Clicks]],0)</f>
        <v>3.6828737300435413E-2</v>
      </c>
      <c r="L1377" s="6">
        <f>IF(Table1[[#This Row],[Conversions]]=0,0,Table1[[#This Row],[Ad Spend]]/Table1[[#This Row],[Conversions]])</f>
        <v>10.391773399014779</v>
      </c>
      <c r="M1377" s="8">
        <f>IF(Table1[[#This Row],[Ad Spend]]=0,0,Table1[[#This Row],[Revenue]]/Table1[[#This Row],[Ad Spend]])</f>
        <v>8.2525159632714384</v>
      </c>
      <c r="N1377">
        <f>YEAR(Table1[[#This Row],[Date]])</f>
        <v>2024</v>
      </c>
      <c r="O1377" t="str">
        <f>TEXT(Table1[[#This Row],[Date]],"mmm")</f>
        <v>Jun</v>
      </c>
      <c r="P1377">
        <f>MONTH(Table1[[#This Row],[Date]])</f>
        <v>6</v>
      </c>
    </row>
    <row r="1378" spans="1:16" x14ac:dyDescent="0.25">
      <c r="A1378" t="s">
        <v>1397</v>
      </c>
      <c r="B1378" t="s">
        <v>9</v>
      </c>
      <c r="C1378" t="s">
        <v>10</v>
      </c>
      <c r="D1378" s="1">
        <v>45420</v>
      </c>
      <c r="E1378">
        <v>147513</v>
      </c>
      <c r="F1378">
        <v>3600</v>
      </c>
      <c r="G1378">
        <v>402</v>
      </c>
      <c r="H1378" s="4">
        <v>4104.4399999999996</v>
      </c>
      <c r="I1378" s="4">
        <v>44125.14</v>
      </c>
      <c r="J1378" s="7">
        <f>Table1[[#This Row],[Clicks]]/Table1[[#This Row],[Impressions]]</f>
        <v>2.4404628744585224E-2</v>
      </c>
      <c r="K1378" s="7">
        <f>IFERROR(Table1[[#This Row],[Conversions]]/Table1[[#This Row],[Clicks]],0)</f>
        <v>0.11166666666666666</v>
      </c>
      <c r="L1378" s="6">
        <f>IF(Table1[[#This Row],[Conversions]]=0,0,Table1[[#This Row],[Ad Spend]]/Table1[[#This Row],[Conversions]])</f>
        <v>10.21004975124378</v>
      </c>
      <c r="M1378" s="8">
        <f>IF(Table1[[#This Row],[Ad Spend]]=0,0,Table1[[#This Row],[Revenue]]/Table1[[#This Row],[Ad Spend]])</f>
        <v>10.750587169016969</v>
      </c>
      <c r="N1378">
        <f>YEAR(Table1[[#This Row],[Date]])</f>
        <v>2024</v>
      </c>
      <c r="O1378" t="str">
        <f>TEXT(Table1[[#This Row],[Date]],"mmm")</f>
        <v>May</v>
      </c>
      <c r="P1378">
        <f>MONTH(Table1[[#This Row],[Date]])</f>
        <v>5</v>
      </c>
    </row>
    <row r="1379" spans="1:16" x14ac:dyDescent="0.25">
      <c r="A1379" t="s">
        <v>1398</v>
      </c>
      <c r="B1379" t="s">
        <v>14</v>
      </c>
      <c r="C1379" t="s">
        <v>17</v>
      </c>
      <c r="D1379" s="1">
        <v>45657</v>
      </c>
      <c r="E1379">
        <v>84355</v>
      </c>
      <c r="F1379">
        <v>6402</v>
      </c>
      <c r="G1379">
        <v>777</v>
      </c>
      <c r="H1379" s="4">
        <v>1604.88</v>
      </c>
      <c r="I1379" s="4">
        <v>66328.13</v>
      </c>
      <c r="J1379" s="7">
        <f>Table1[[#This Row],[Clicks]]/Table1[[#This Row],[Impressions]]</f>
        <v>7.5893545136624982E-2</v>
      </c>
      <c r="K1379" s="7">
        <f>IFERROR(Table1[[#This Row],[Conversions]]/Table1[[#This Row],[Clicks]],0)</f>
        <v>0.12136832239925023</v>
      </c>
      <c r="L1379" s="6">
        <f>IF(Table1[[#This Row],[Conversions]]=0,0,Table1[[#This Row],[Ad Spend]]/Table1[[#This Row],[Conversions]])</f>
        <v>2.0654826254826255</v>
      </c>
      <c r="M1379" s="8">
        <f>IF(Table1[[#This Row],[Ad Spend]]=0,0,Table1[[#This Row],[Revenue]]/Table1[[#This Row],[Ad Spend]])</f>
        <v>41.329027715467824</v>
      </c>
      <c r="N1379">
        <f>YEAR(Table1[[#This Row],[Date]])</f>
        <v>2024</v>
      </c>
      <c r="O1379" t="str">
        <f>TEXT(Table1[[#This Row],[Date]],"mmm")</f>
        <v>Dec</v>
      </c>
      <c r="P1379">
        <f>MONTH(Table1[[#This Row],[Date]])</f>
        <v>12</v>
      </c>
    </row>
    <row r="1380" spans="1:16" x14ac:dyDescent="0.25">
      <c r="A1380" t="s">
        <v>1399</v>
      </c>
      <c r="B1380" t="s">
        <v>34</v>
      </c>
      <c r="C1380" t="s">
        <v>19</v>
      </c>
      <c r="D1380" s="1">
        <v>45649</v>
      </c>
      <c r="E1380">
        <v>146929</v>
      </c>
      <c r="F1380">
        <v>6647</v>
      </c>
      <c r="G1380">
        <v>179</v>
      </c>
      <c r="H1380" s="4">
        <v>4522.04</v>
      </c>
      <c r="I1380" s="4">
        <v>16208.48</v>
      </c>
      <c r="J1380" s="7">
        <f>Table1[[#This Row],[Clicks]]/Table1[[#This Row],[Impressions]]</f>
        <v>4.523953746367293E-2</v>
      </c>
      <c r="K1380" s="7">
        <f>IFERROR(Table1[[#This Row],[Conversions]]/Table1[[#This Row],[Clicks]],0)</f>
        <v>2.6929441853467729E-2</v>
      </c>
      <c r="L1380" s="6">
        <f>IF(Table1[[#This Row],[Conversions]]=0,0,Table1[[#This Row],[Ad Spend]]/Table1[[#This Row],[Conversions]])</f>
        <v>25.262793296089384</v>
      </c>
      <c r="M1380" s="8">
        <f>IF(Table1[[#This Row],[Ad Spend]]=0,0,Table1[[#This Row],[Revenue]]/Table1[[#This Row],[Ad Spend]])</f>
        <v>3.5843291965573059</v>
      </c>
      <c r="N1380">
        <f>YEAR(Table1[[#This Row],[Date]])</f>
        <v>2024</v>
      </c>
      <c r="O1380" t="str">
        <f>TEXT(Table1[[#This Row],[Date]],"mmm")</f>
        <v>Dec</v>
      </c>
      <c r="P1380">
        <f>MONTH(Table1[[#This Row],[Date]])</f>
        <v>12</v>
      </c>
    </row>
    <row r="1381" spans="1:16" x14ac:dyDescent="0.25">
      <c r="A1381" t="s">
        <v>1400</v>
      </c>
      <c r="B1381" t="s">
        <v>41</v>
      </c>
      <c r="C1381" t="s">
        <v>19</v>
      </c>
      <c r="D1381" s="1">
        <v>45332</v>
      </c>
      <c r="E1381">
        <v>58360</v>
      </c>
      <c r="F1381">
        <v>4309</v>
      </c>
      <c r="G1381">
        <v>557</v>
      </c>
      <c r="H1381" s="4">
        <v>2700.78</v>
      </c>
      <c r="I1381" s="4">
        <v>28125.11</v>
      </c>
      <c r="J1381" s="7">
        <f>Table1[[#This Row],[Clicks]]/Table1[[#This Row],[Impressions]]</f>
        <v>7.3834818368745711E-2</v>
      </c>
      <c r="K1381" s="7">
        <f>IFERROR(Table1[[#This Row],[Conversions]]/Table1[[#This Row],[Clicks]],0)</f>
        <v>0.129264330471107</v>
      </c>
      <c r="L1381" s="6">
        <f>IF(Table1[[#This Row],[Conversions]]=0,0,Table1[[#This Row],[Ad Spend]]/Table1[[#This Row],[Conversions]])</f>
        <v>4.8487971274685817</v>
      </c>
      <c r="M1381" s="8">
        <f>IF(Table1[[#This Row],[Ad Spend]]=0,0,Table1[[#This Row],[Revenue]]/Table1[[#This Row],[Ad Spend]])</f>
        <v>10.413699005472493</v>
      </c>
      <c r="N1381">
        <f>YEAR(Table1[[#This Row],[Date]])</f>
        <v>2024</v>
      </c>
      <c r="O1381" t="str">
        <f>TEXT(Table1[[#This Row],[Date]],"mmm")</f>
        <v>Feb</v>
      </c>
      <c r="P1381">
        <f>MONTH(Table1[[#This Row],[Date]])</f>
        <v>2</v>
      </c>
    </row>
    <row r="1382" spans="1:16" x14ac:dyDescent="0.25">
      <c r="A1382" t="s">
        <v>1401</v>
      </c>
      <c r="B1382" t="s">
        <v>14</v>
      </c>
      <c r="C1382" t="s">
        <v>10</v>
      </c>
      <c r="D1382" s="1">
        <v>45482</v>
      </c>
      <c r="E1382">
        <v>42214</v>
      </c>
      <c r="F1382">
        <v>528</v>
      </c>
      <c r="G1382">
        <v>26</v>
      </c>
      <c r="H1382" s="4">
        <v>2313.33</v>
      </c>
      <c r="I1382" s="4">
        <v>2506.9</v>
      </c>
      <c r="J1382" s="7">
        <f>Table1[[#This Row],[Clicks]]/Table1[[#This Row],[Impressions]]</f>
        <v>1.250769886767423E-2</v>
      </c>
      <c r="K1382" s="7">
        <f>IFERROR(Table1[[#This Row],[Conversions]]/Table1[[#This Row],[Clicks]],0)</f>
        <v>4.924242424242424E-2</v>
      </c>
      <c r="L1382" s="6">
        <f>IF(Table1[[#This Row],[Conversions]]=0,0,Table1[[#This Row],[Ad Spend]]/Table1[[#This Row],[Conversions]])</f>
        <v>88.974230769230772</v>
      </c>
      <c r="M1382" s="8">
        <f>IF(Table1[[#This Row],[Ad Spend]]=0,0,Table1[[#This Row],[Revenue]]/Table1[[#This Row],[Ad Spend]])</f>
        <v>1.0836759130776845</v>
      </c>
      <c r="N1382">
        <f>YEAR(Table1[[#This Row],[Date]])</f>
        <v>2024</v>
      </c>
      <c r="O1382" t="str">
        <f>TEXT(Table1[[#This Row],[Date]],"mmm")</f>
        <v>Jul</v>
      </c>
      <c r="P1382">
        <f>MONTH(Table1[[#This Row],[Date]])</f>
        <v>7</v>
      </c>
    </row>
    <row r="1383" spans="1:16" x14ac:dyDescent="0.25">
      <c r="A1383" t="s">
        <v>1402</v>
      </c>
      <c r="B1383" t="s">
        <v>9</v>
      </c>
      <c r="C1383" t="s">
        <v>10</v>
      </c>
      <c r="D1383" s="1">
        <v>45547</v>
      </c>
      <c r="E1383">
        <v>13848</v>
      </c>
      <c r="F1383">
        <v>400</v>
      </c>
      <c r="G1383">
        <v>38</v>
      </c>
      <c r="H1383" s="4">
        <v>1641.98</v>
      </c>
      <c r="I1383" s="4">
        <v>4427.37</v>
      </c>
      <c r="J1383" s="7">
        <f>Table1[[#This Row],[Clicks]]/Table1[[#This Row],[Impressions]]</f>
        <v>2.8885037550548817E-2</v>
      </c>
      <c r="K1383" s="7">
        <f>IFERROR(Table1[[#This Row],[Conversions]]/Table1[[#This Row],[Clicks]],0)</f>
        <v>9.5000000000000001E-2</v>
      </c>
      <c r="L1383" s="6">
        <f>IF(Table1[[#This Row],[Conversions]]=0,0,Table1[[#This Row],[Ad Spend]]/Table1[[#This Row],[Conversions]])</f>
        <v>43.21</v>
      </c>
      <c r="M1383" s="8">
        <f>IF(Table1[[#This Row],[Ad Spend]]=0,0,Table1[[#This Row],[Revenue]]/Table1[[#This Row],[Ad Spend]])</f>
        <v>2.6963604916016028</v>
      </c>
      <c r="N1383">
        <f>YEAR(Table1[[#This Row],[Date]])</f>
        <v>2024</v>
      </c>
      <c r="O1383" t="str">
        <f>TEXT(Table1[[#This Row],[Date]],"mmm")</f>
        <v>Sept</v>
      </c>
      <c r="P1383">
        <f>MONTH(Table1[[#This Row],[Date]])</f>
        <v>9</v>
      </c>
    </row>
    <row r="1384" spans="1:16" x14ac:dyDescent="0.25">
      <c r="A1384" t="s">
        <v>1403</v>
      </c>
      <c r="B1384" t="s">
        <v>31</v>
      </c>
      <c r="C1384" t="s">
        <v>19</v>
      </c>
      <c r="D1384" s="1">
        <v>45604</v>
      </c>
      <c r="E1384">
        <v>105646</v>
      </c>
      <c r="F1384">
        <v>4719</v>
      </c>
      <c r="G1384">
        <v>623</v>
      </c>
      <c r="H1384" s="4">
        <v>2046.38</v>
      </c>
      <c r="I1384" s="4">
        <v>15227.09</v>
      </c>
      <c r="J1384" s="7">
        <f>Table1[[#This Row],[Clicks]]/Table1[[#This Row],[Impressions]]</f>
        <v>4.4668042330045621E-2</v>
      </c>
      <c r="K1384" s="7">
        <f>IFERROR(Table1[[#This Row],[Conversions]]/Table1[[#This Row],[Clicks]],0)</f>
        <v>0.1320194956558593</v>
      </c>
      <c r="L1384" s="6">
        <f>IF(Table1[[#This Row],[Conversions]]=0,0,Table1[[#This Row],[Ad Spend]]/Table1[[#This Row],[Conversions]])</f>
        <v>3.2847191011235957</v>
      </c>
      <c r="M1384" s="8">
        <f>IF(Table1[[#This Row],[Ad Spend]]=0,0,Table1[[#This Row],[Revenue]]/Table1[[#This Row],[Ad Spend]])</f>
        <v>7.4409884772134207</v>
      </c>
      <c r="N1384">
        <f>YEAR(Table1[[#This Row],[Date]])</f>
        <v>2024</v>
      </c>
      <c r="O1384" t="str">
        <f>TEXT(Table1[[#This Row],[Date]],"mmm")</f>
        <v>Nov</v>
      </c>
      <c r="P1384">
        <f>MONTH(Table1[[#This Row],[Date]])</f>
        <v>11</v>
      </c>
    </row>
    <row r="1385" spans="1:16" x14ac:dyDescent="0.25">
      <c r="A1385" t="s">
        <v>1404</v>
      </c>
      <c r="B1385" t="s">
        <v>14</v>
      </c>
      <c r="C1385" t="s">
        <v>17</v>
      </c>
      <c r="D1385" s="1">
        <v>45386</v>
      </c>
      <c r="E1385">
        <v>118006</v>
      </c>
      <c r="F1385">
        <v>5578</v>
      </c>
      <c r="G1385">
        <v>590</v>
      </c>
      <c r="H1385" s="4">
        <v>350.27</v>
      </c>
      <c r="I1385" s="4">
        <v>56816.78</v>
      </c>
      <c r="J1385" s="7">
        <f>Table1[[#This Row],[Clicks]]/Table1[[#This Row],[Impressions]]</f>
        <v>4.7268782943240176E-2</v>
      </c>
      <c r="K1385" s="7">
        <f>IFERROR(Table1[[#This Row],[Conversions]]/Table1[[#This Row],[Clicks]],0)</f>
        <v>0.10577267837934744</v>
      </c>
      <c r="L1385" s="6">
        <f>IF(Table1[[#This Row],[Conversions]]=0,0,Table1[[#This Row],[Ad Spend]]/Table1[[#This Row],[Conversions]])</f>
        <v>0.59367796610169488</v>
      </c>
      <c r="M1385" s="8">
        <f>IF(Table1[[#This Row],[Ad Spend]]=0,0,Table1[[#This Row],[Revenue]]/Table1[[#This Row],[Ad Spend]])</f>
        <v>162.20852485225683</v>
      </c>
      <c r="N1385">
        <f>YEAR(Table1[[#This Row],[Date]])</f>
        <v>2024</v>
      </c>
      <c r="O1385" t="str">
        <f>TEXT(Table1[[#This Row],[Date]],"mmm")</f>
        <v>Apr</v>
      </c>
      <c r="P1385">
        <f>MONTH(Table1[[#This Row],[Date]])</f>
        <v>4</v>
      </c>
    </row>
    <row r="1386" spans="1:16" x14ac:dyDescent="0.25">
      <c r="A1386" t="s">
        <v>1405</v>
      </c>
      <c r="B1386" t="s">
        <v>31</v>
      </c>
      <c r="C1386" t="s">
        <v>12</v>
      </c>
      <c r="D1386" s="1">
        <v>45678</v>
      </c>
      <c r="E1386">
        <v>93137</v>
      </c>
      <c r="F1386">
        <v>6946</v>
      </c>
      <c r="G1386">
        <v>958</v>
      </c>
      <c r="H1386" s="4">
        <v>4089.17</v>
      </c>
      <c r="I1386" s="4">
        <v>75773.84</v>
      </c>
      <c r="J1386" s="7">
        <f>Table1[[#This Row],[Clicks]]/Table1[[#This Row],[Impressions]]</f>
        <v>7.4578309372215129E-2</v>
      </c>
      <c r="K1386" s="7">
        <f>IFERROR(Table1[[#This Row],[Conversions]]/Table1[[#This Row],[Clicks]],0)</f>
        <v>0.1379211056723294</v>
      </c>
      <c r="L1386" s="6">
        <f>IF(Table1[[#This Row],[Conversions]]=0,0,Table1[[#This Row],[Ad Spend]]/Table1[[#This Row],[Conversions]])</f>
        <v>4.2684446764091861</v>
      </c>
      <c r="M1386" s="8">
        <f>IF(Table1[[#This Row],[Ad Spend]]=0,0,Table1[[#This Row],[Revenue]]/Table1[[#This Row],[Ad Spend]])</f>
        <v>18.530371689120283</v>
      </c>
      <c r="N1386">
        <f>YEAR(Table1[[#This Row],[Date]])</f>
        <v>2025</v>
      </c>
      <c r="O1386" t="str">
        <f>TEXT(Table1[[#This Row],[Date]],"mmm")</f>
        <v>Jan</v>
      </c>
      <c r="P1386">
        <f>MONTH(Table1[[#This Row],[Date]])</f>
        <v>1</v>
      </c>
    </row>
    <row r="1387" spans="1:16" x14ac:dyDescent="0.25">
      <c r="A1387" t="s">
        <v>1406</v>
      </c>
      <c r="B1387" t="s">
        <v>31</v>
      </c>
      <c r="C1387" t="s">
        <v>19</v>
      </c>
      <c r="D1387" s="1">
        <v>45663</v>
      </c>
      <c r="E1387">
        <v>118790</v>
      </c>
      <c r="F1387">
        <v>8386</v>
      </c>
      <c r="G1387">
        <v>1020</v>
      </c>
      <c r="H1387" s="4">
        <v>4657.12</v>
      </c>
      <c r="I1387" s="4">
        <v>97144.87</v>
      </c>
      <c r="J1387" s="7">
        <f>Table1[[#This Row],[Clicks]]/Table1[[#This Row],[Impressions]]</f>
        <v>7.0595167943429585E-2</v>
      </c>
      <c r="K1387" s="7">
        <f>IFERROR(Table1[[#This Row],[Conversions]]/Table1[[#This Row],[Clicks]],0)</f>
        <v>0.12163129024564751</v>
      </c>
      <c r="L1387" s="6">
        <f>IF(Table1[[#This Row],[Conversions]]=0,0,Table1[[#This Row],[Ad Spend]]/Table1[[#This Row],[Conversions]])</f>
        <v>4.5658039215686275</v>
      </c>
      <c r="M1387" s="8">
        <f>IF(Table1[[#This Row],[Ad Spend]]=0,0,Table1[[#This Row],[Revenue]]/Table1[[#This Row],[Ad Spend]])</f>
        <v>20.859430291682411</v>
      </c>
      <c r="N1387">
        <f>YEAR(Table1[[#This Row],[Date]])</f>
        <v>2025</v>
      </c>
      <c r="O1387" t="str">
        <f>TEXT(Table1[[#This Row],[Date]],"mmm")</f>
        <v>Jan</v>
      </c>
      <c r="P1387">
        <f>MONTH(Table1[[#This Row],[Date]])</f>
        <v>1</v>
      </c>
    </row>
    <row r="1388" spans="1:16" x14ac:dyDescent="0.25">
      <c r="A1388" t="s">
        <v>1407</v>
      </c>
      <c r="B1388" t="s">
        <v>9</v>
      </c>
      <c r="C1388" t="s">
        <v>12</v>
      </c>
      <c r="D1388" s="1">
        <v>45490</v>
      </c>
      <c r="E1388">
        <v>80345</v>
      </c>
      <c r="F1388">
        <v>5631</v>
      </c>
      <c r="G1388">
        <v>799</v>
      </c>
      <c r="H1388" s="4">
        <v>2424.81</v>
      </c>
      <c r="I1388" s="4">
        <v>61730.94</v>
      </c>
      <c r="J1388" s="7">
        <f>Table1[[#This Row],[Clicks]]/Table1[[#This Row],[Impressions]]</f>
        <v>7.0085257327773973E-2</v>
      </c>
      <c r="K1388" s="7">
        <f>IFERROR(Table1[[#This Row],[Conversions]]/Table1[[#This Row],[Clicks]],0)</f>
        <v>0.14189309181317705</v>
      </c>
      <c r="L1388" s="6">
        <f>IF(Table1[[#This Row],[Conversions]]=0,0,Table1[[#This Row],[Ad Spend]]/Table1[[#This Row],[Conversions]])</f>
        <v>3.0348060075093866</v>
      </c>
      <c r="M1388" s="8">
        <f>IF(Table1[[#This Row],[Ad Spend]]=0,0,Table1[[#This Row],[Revenue]]/Table1[[#This Row],[Ad Spend]])</f>
        <v>25.458052383485718</v>
      </c>
      <c r="N1388">
        <f>YEAR(Table1[[#This Row],[Date]])</f>
        <v>2024</v>
      </c>
      <c r="O1388" t="str">
        <f>TEXT(Table1[[#This Row],[Date]],"mmm")</f>
        <v>Jul</v>
      </c>
      <c r="P1388">
        <f>MONTH(Table1[[#This Row],[Date]])</f>
        <v>7</v>
      </c>
    </row>
    <row r="1389" spans="1:16" x14ac:dyDescent="0.25">
      <c r="A1389" t="s">
        <v>1408</v>
      </c>
      <c r="B1389" t="s">
        <v>34</v>
      </c>
      <c r="C1389" t="s">
        <v>37</v>
      </c>
      <c r="D1389" s="1">
        <v>45487</v>
      </c>
      <c r="E1389">
        <v>127508</v>
      </c>
      <c r="F1389">
        <v>7930</v>
      </c>
      <c r="G1389">
        <v>1111</v>
      </c>
      <c r="H1389" s="4">
        <v>832.99</v>
      </c>
      <c r="I1389" s="4">
        <v>23906.880000000001</v>
      </c>
      <c r="J1389" s="7">
        <f>Table1[[#This Row],[Clicks]]/Table1[[#This Row],[Impressions]]</f>
        <v>6.2192176177181042E-2</v>
      </c>
      <c r="K1389" s="7">
        <f>IFERROR(Table1[[#This Row],[Conversions]]/Table1[[#This Row],[Clicks]],0)</f>
        <v>0.14010088272383353</v>
      </c>
      <c r="L1389" s="6">
        <f>IF(Table1[[#This Row],[Conversions]]=0,0,Table1[[#This Row],[Ad Spend]]/Table1[[#This Row],[Conversions]])</f>
        <v>0.74976597659765976</v>
      </c>
      <c r="M1389" s="8">
        <f>IF(Table1[[#This Row],[Ad Spend]]=0,0,Table1[[#This Row],[Revenue]]/Table1[[#This Row],[Ad Spend]])</f>
        <v>28.700080433138453</v>
      </c>
      <c r="N1389">
        <f>YEAR(Table1[[#This Row],[Date]])</f>
        <v>2024</v>
      </c>
      <c r="O1389" t="str">
        <f>TEXT(Table1[[#This Row],[Date]],"mmm")</f>
        <v>Jul</v>
      </c>
      <c r="P1389">
        <f>MONTH(Table1[[#This Row],[Date]])</f>
        <v>7</v>
      </c>
    </row>
    <row r="1390" spans="1:16" x14ac:dyDescent="0.25">
      <c r="A1390" t="s">
        <v>1409</v>
      </c>
      <c r="B1390" t="s">
        <v>34</v>
      </c>
      <c r="C1390" t="s">
        <v>10</v>
      </c>
      <c r="D1390" s="1">
        <v>45419</v>
      </c>
      <c r="E1390">
        <v>147292</v>
      </c>
      <c r="F1390">
        <v>4523</v>
      </c>
      <c r="G1390">
        <v>426</v>
      </c>
      <c r="H1390" s="4">
        <v>385.31</v>
      </c>
      <c r="I1390" s="4">
        <v>20203.900000000001</v>
      </c>
      <c r="J1390" s="7">
        <f>Table1[[#This Row],[Clicks]]/Table1[[#This Row],[Impressions]]</f>
        <v>3.070770985525351E-2</v>
      </c>
      <c r="K1390" s="7">
        <f>IFERROR(Table1[[#This Row],[Conversions]]/Table1[[#This Row],[Clicks]],0)</f>
        <v>9.4185275259783333E-2</v>
      </c>
      <c r="L1390" s="6">
        <f>IF(Table1[[#This Row],[Conversions]]=0,0,Table1[[#This Row],[Ad Spend]]/Table1[[#This Row],[Conversions]])</f>
        <v>0.90448356807511743</v>
      </c>
      <c r="M1390" s="8">
        <f>IF(Table1[[#This Row],[Ad Spend]]=0,0,Table1[[#This Row],[Revenue]]/Table1[[#This Row],[Ad Spend]])</f>
        <v>52.435441592483976</v>
      </c>
      <c r="N1390">
        <f>YEAR(Table1[[#This Row],[Date]])</f>
        <v>2024</v>
      </c>
      <c r="O1390" t="str">
        <f>TEXT(Table1[[#This Row],[Date]],"mmm")</f>
        <v>May</v>
      </c>
      <c r="P1390">
        <f>MONTH(Table1[[#This Row],[Date]])</f>
        <v>5</v>
      </c>
    </row>
    <row r="1391" spans="1:16" x14ac:dyDescent="0.25">
      <c r="A1391" t="s">
        <v>1410</v>
      </c>
      <c r="B1391" t="s">
        <v>34</v>
      </c>
      <c r="C1391" t="s">
        <v>19</v>
      </c>
      <c r="D1391" s="1">
        <v>45692</v>
      </c>
      <c r="E1391">
        <v>8234</v>
      </c>
      <c r="F1391">
        <v>153</v>
      </c>
      <c r="G1391">
        <v>14</v>
      </c>
      <c r="H1391" s="4">
        <v>1740.75</v>
      </c>
      <c r="I1391" s="4">
        <v>650.32000000000005</v>
      </c>
      <c r="J1391" s="7">
        <f>Table1[[#This Row],[Clicks]]/Table1[[#This Row],[Impressions]]</f>
        <v>1.858149137721642E-2</v>
      </c>
      <c r="K1391" s="7">
        <f>IFERROR(Table1[[#This Row],[Conversions]]/Table1[[#This Row],[Clicks]],0)</f>
        <v>9.1503267973856203E-2</v>
      </c>
      <c r="L1391" s="6">
        <f>IF(Table1[[#This Row],[Conversions]]=0,0,Table1[[#This Row],[Ad Spend]]/Table1[[#This Row],[Conversions]])</f>
        <v>124.33928571428571</v>
      </c>
      <c r="M1391" s="8">
        <f>IF(Table1[[#This Row],[Ad Spend]]=0,0,Table1[[#This Row],[Revenue]]/Table1[[#This Row],[Ad Spend]])</f>
        <v>0.37358609794628755</v>
      </c>
      <c r="N1391">
        <f>YEAR(Table1[[#This Row],[Date]])</f>
        <v>2025</v>
      </c>
      <c r="O1391" t="str">
        <f>TEXT(Table1[[#This Row],[Date]],"mmm")</f>
        <v>Feb</v>
      </c>
      <c r="P1391">
        <f>MONTH(Table1[[#This Row],[Date]])</f>
        <v>2</v>
      </c>
    </row>
    <row r="1392" spans="1:16" x14ac:dyDescent="0.25">
      <c r="A1392" t="s">
        <v>1411</v>
      </c>
      <c r="B1392" t="s">
        <v>16</v>
      </c>
      <c r="C1392" t="s">
        <v>17</v>
      </c>
      <c r="D1392" s="1">
        <v>45528</v>
      </c>
      <c r="E1392">
        <v>9526</v>
      </c>
      <c r="F1392">
        <v>388</v>
      </c>
      <c r="G1392">
        <v>31</v>
      </c>
      <c r="H1392" s="4">
        <v>4836.25</v>
      </c>
      <c r="I1392" s="4">
        <v>2108.64</v>
      </c>
      <c r="J1392" s="7">
        <f>Table1[[#This Row],[Clicks]]/Table1[[#This Row],[Impressions]]</f>
        <v>4.0730631954650431E-2</v>
      </c>
      <c r="K1392" s="7">
        <f>IFERROR(Table1[[#This Row],[Conversions]]/Table1[[#This Row],[Clicks]],0)</f>
        <v>7.9896907216494839E-2</v>
      </c>
      <c r="L1392" s="6">
        <f>IF(Table1[[#This Row],[Conversions]]=0,0,Table1[[#This Row],[Ad Spend]]/Table1[[#This Row],[Conversions]])</f>
        <v>156.00806451612902</v>
      </c>
      <c r="M1392" s="8">
        <f>IF(Table1[[#This Row],[Ad Spend]]=0,0,Table1[[#This Row],[Revenue]]/Table1[[#This Row],[Ad Spend]])</f>
        <v>0.43600723701214783</v>
      </c>
      <c r="N1392">
        <f>YEAR(Table1[[#This Row],[Date]])</f>
        <v>2024</v>
      </c>
      <c r="O1392" t="str">
        <f>TEXT(Table1[[#This Row],[Date]],"mmm")</f>
        <v>Aug</v>
      </c>
      <c r="P1392">
        <f>MONTH(Table1[[#This Row],[Date]])</f>
        <v>8</v>
      </c>
    </row>
    <row r="1393" spans="1:16" x14ac:dyDescent="0.25">
      <c r="A1393" t="s">
        <v>1412</v>
      </c>
      <c r="B1393" t="s">
        <v>14</v>
      </c>
      <c r="C1393" t="s">
        <v>17</v>
      </c>
      <c r="D1393" s="1">
        <v>45321</v>
      </c>
      <c r="E1393">
        <v>25852</v>
      </c>
      <c r="F1393">
        <v>758</v>
      </c>
      <c r="G1393">
        <v>75</v>
      </c>
      <c r="H1393" s="4">
        <v>1707.33</v>
      </c>
      <c r="I1393" s="4">
        <v>1980.33</v>
      </c>
      <c r="J1393" s="7">
        <f>Table1[[#This Row],[Clicks]]/Table1[[#This Row],[Impressions]]</f>
        <v>2.9320748878229923E-2</v>
      </c>
      <c r="K1393" s="7">
        <f>IFERROR(Table1[[#This Row],[Conversions]]/Table1[[#This Row],[Clicks]],0)</f>
        <v>9.894459102902374E-2</v>
      </c>
      <c r="L1393" s="6">
        <f>IF(Table1[[#This Row],[Conversions]]=0,0,Table1[[#This Row],[Ad Spend]]/Table1[[#This Row],[Conversions]])</f>
        <v>22.764399999999998</v>
      </c>
      <c r="M1393" s="8">
        <f>IF(Table1[[#This Row],[Ad Spend]]=0,0,Table1[[#This Row],[Revenue]]/Table1[[#This Row],[Ad Spend]])</f>
        <v>1.1598987893377379</v>
      </c>
      <c r="N1393">
        <f>YEAR(Table1[[#This Row],[Date]])</f>
        <v>2024</v>
      </c>
      <c r="O1393" t="str">
        <f>TEXT(Table1[[#This Row],[Date]],"mmm")</f>
        <v>Jan</v>
      </c>
      <c r="P1393">
        <f>MONTH(Table1[[#This Row],[Date]])</f>
        <v>1</v>
      </c>
    </row>
    <row r="1394" spans="1:16" x14ac:dyDescent="0.25">
      <c r="A1394" t="s">
        <v>1413</v>
      </c>
      <c r="B1394" t="s">
        <v>16</v>
      </c>
      <c r="C1394" t="s">
        <v>19</v>
      </c>
      <c r="D1394" s="1">
        <v>45684</v>
      </c>
      <c r="E1394">
        <v>77389</v>
      </c>
      <c r="F1394">
        <v>2179</v>
      </c>
      <c r="G1394">
        <v>183</v>
      </c>
      <c r="H1394" s="4">
        <v>1291.6099999999999</v>
      </c>
      <c r="I1394" s="4">
        <v>6853.26</v>
      </c>
      <c r="J1394" s="7">
        <f>Table1[[#This Row],[Clicks]]/Table1[[#This Row],[Impressions]]</f>
        <v>2.8156456343924847E-2</v>
      </c>
      <c r="K1394" s="7">
        <f>IFERROR(Table1[[#This Row],[Conversions]]/Table1[[#This Row],[Clicks]],0)</f>
        <v>8.3983478659935745E-2</v>
      </c>
      <c r="L1394" s="6">
        <f>IF(Table1[[#This Row],[Conversions]]=0,0,Table1[[#This Row],[Ad Spend]]/Table1[[#This Row],[Conversions]])</f>
        <v>7.057978142076502</v>
      </c>
      <c r="M1394" s="8">
        <f>IF(Table1[[#This Row],[Ad Spend]]=0,0,Table1[[#This Row],[Revenue]]/Table1[[#This Row],[Ad Spend]])</f>
        <v>5.3059824560045223</v>
      </c>
      <c r="N1394">
        <f>YEAR(Table1[[#This Row],[Date]])</f>
        <v>2025</v>
      </c>
      <c r="O1394" t="str">
        <f>TEXT(Table1[[#This Row],[Date]],"mmm")</f>
        <v>Jan</v>
      </c>
      <c r="P1394">
        <f>MONTH(Table1[[#This Row],[Date]])</f>
        <v>1</v>
      </c>
    </row>
    <row r="1395" spans="1:16" x14ac:dyDescent="0.25">
      <c r="A1395" t="s">
        <v>1414</v>
      </c>
      <c r="B1395" t="s">
        <v>31</v>
      </c>
      <c r="C1395" t="s">
        <v>37</v>
      </c>
      <c r="D1395" s="1">
        <v>45350</v>
      </c>
      <c r="E1395">
        <v>15093</v>
      </c>
      <c r="F1395">
        <v>345</v>
      </c>
      <c r="G1395">
        <v>29</v>
      </c>
      <c r="H1395" s="4">
        <v>2313.48</v>
      </c>
      <c r="I1395" s="4">
        <v>1500.27</v>
      </c>
      <c r="J1395" s="7">
        <f>Table1[[#This Row],[Clicks]]/Table1[[#This Row],[Impressions]]</f>
        <v>2.2858278672232162E-2</v>
      </c>
      <c r="K1395" s="7">
        <f>IFERROR(Table1[[#This Row],[Conversions]]/Table1[[#This Row],[Clicks]],0)</f>
        <v>8.4057971014492749E-2</v>
      </c>
      <c r="L1395" s="6">
        <f>IF(Table1[[#This Row],[Conversions]]=0,0,Table1[[#This Row],[Ad Spend]]/Table1[[#This Row],[Conversions]])</f>
        <v>79.775172413793101</v>
      </c>
      <c r="M1395" s="8">
        <f>IF(Table1[[#This Row],[Ad Spend]]=0,0,Table1[[#This Row],[Revenue]]/Table1[[#This Row],[Ad Spend]])</f>
        <v>0.64849058561128692</v>
      </c>
      <c r="N1395">
        <f>YEAR(Table1[[#This Row],[Date]])</f>
        <v>2024</v>
      </c>
      <c r="O1395" t="str">
        <f>TEXT(Table1[[#This Row],[Date]],"mmm")</f>
        <v>Feb</v>
      </c>
      <c r="P1395">
        <f>MONTH(Table1[[#This Row],[Date]])</f>
        <v>2</v>
      </c>
    </row>
    <row r="1396" spans="1:16" x14ac:dyDescent="0.25">
      <c r="A1396" t="s">
        <v>1415</v>
      </c>
      <c r="B1396" t="s">
        <v>14</v>
      </c>
      <c r="C1396" t="s">
        <v>10</v>
      </c>
      <c r="D1396" s="1">
        <v>45657</v>
      </c>
      <c r="E1396">
        <v>72909</v>
      </c>
      <c r="F1396">
        <v>5706</v>
      </c>
      <c r="G1396">
        <v>126</v>
      </c>
      <c r="H1396" s="4">
        <v>4255.67</v>
      </c>
      <c r="I1396" s="4">
        <v>13222.53</v>
      </c>
      <c r="J1396" s="7">
        <f>Table1[[#This Row],[Clicks]]/Table1[[#This Row],[Impressions]]</f>
        <v>7.8261942970003703E-2</v>
      </c>
      <c r="K1396" s="7">
        <f>IFERROR(Table1[[#This Row],[Conversions]]/Table1[[#This Row],[Clicks]],0)</f>
        <v>2.2082018927444796E-2</v>
      </c>
      <c r="L1396" s="6">
        <f>IF(Table1[[#This Row],[Conversions]]=0,0,Table1[[#This Row],[Ad Spend]]/Table1[[#This Row],[Conversions]])</f>
        <v>33.775158730158729</v>
      </c>
      <c r="M1396" s="8">
        <f>IF(Table1[[#This Row],[Ad Spend]]=0,0,Table1[[#This Row],[Revenue]]/Table1[[#This Row],[Ad Spend]])</f>
        <v>3.1070383746860073</v>
      </c>
      <c r="N1396">
        <f>YEAR(Table1[[#This Row],[Date]])</f>
        <v>2024</v>
      </c>
      <c r="O1396" t="str">
        <f>TEXT(Table1[[#This Row],[Date]],"mmm")</f>
        <v>Dec</v>
      </c>
      <c r="P1396">
        <f>MONTH(Table1[[#This Row],[Date]])</f>
        <v>12</v>
      </c>
    </row>
    <row r="1397" spans="1:16" x14ac:dyDescent="0.25">
      <c r="A1397" t="s">
        <v>1416</v>
      </c>
      <c r="B1397" t="s">
        <v>31</v>
      </c>
      <c r="C1397" t="s">
        <v>12</v>
      </c>
      <c r="D1397" s="1">
        <v>45412</v>
      </c>
      <c r="E1397">
        <v>96679</v>
      </c>
      <c r="F1397">
        <v>1705</v>
      </c>
      <c r="G1397">
        <v>146</v>
      </c>
      <c r="H1397" s="4">
        <v>743.28</v>
      </c>
      <c r="I1397" s="4">
        <v>4050.77</v>
      </c>
      <c r="J1397" s="7">
        <f>Table1[[#This Row],[Clicks]]/Table1[[#This Row],[Impressions]]</f>
        <v>1.7635680964842415E-2</v>
      </c>
      <c r="K1397" s="7">
        <f>IFERROR(Table1[[#This Row],[Conversions]]/Table1[[#This Row],[Clicks]],0)</f>
        <v>8.5630498533724342E-2</v>
      </c>
      <c r="L1397" s="6">
        <f>IF(Table1[[#This Row],[Conversions]]=0,0,Table1[[#This Row],[Ad Spend]]/Table1[[#This Row],[Conversions]])</f>
        <v>5.0909589041095886</v>
      </c>
      <c r="M1397" s="8">
        <f>IF(Table1[[#This Row],[Ad Spend]]=0,0,Table1[[#This Row],[Revenue]]/Table1[[#This Row],[Ad Spend]])</f>
        <v>5.4498573888709503</v>
      </c>
      <c r="N1397">
        <f>YEAR(Table1[[#This Row],[Date]])</f>
        <v>2024</v>
      </c>
      <c r="O1397" t="str">
        <f>TEXT(Table1[[#This Row],[Date]],"mmm")</f>
        <v>Apr</v>
      </c>
      <c r="P1397">
        <f>MONTH(Table1[[#This Row],[Date]])</f>
        <v>4</v>
      </c>
    </row>
    <row r="1398" spans="1:16" x14ac:dyDescent="0.25">
      <c r="A1398" t="s">
        <v>1417</v>
      </c>
      <c r="B1398" t="s">
        <v>14</v>
      </c>
      <c r="C1398" t="s">
        <v>19</v>
      </c>
      <c r="D1398" s="1">
        <v>45584</v>
      </c>
      <c r="E1398">
        <v>102349</v>
      </c>
      <c r="F1398">
        <v>6963</v>
      </c>
      <c r="G1398">
        <v>755</v>
      </c>
      <c r="H1398" s="4">
        <v>542.69000000000005</v>
      </c>
      <c r="I1398" s="4">
        <v>47298.89</v>
      </c>
      <c r="J1398" s="7">
        <f>Table1[[#This Row],[Clicks]]/Table1[[#This Row],[Impressions]]</f>
        <v>6.803192996511935E-2</v>
      </c>
      <c r="K1398" s="7">
        <f>IFERROR(Table1[[#This Row],[Conversions]]/Table1[[#This Row],[Clicks]],0)</f>
        <v>0.10843027430705156</v>
      </c>
      <c r="L1398" s="6">
        <f>IF(Table1[[#This Row],[Conversions]]=0,0,Table1[[#This Row],[Ad Spend]]/Table1[[#This Row],[Conversions]])</f>
        <v>0.71879470198675499</v>
      </c>
      <c r="M1398" s="8">
        <f>IF(Table1[[#This Row],[Ad Spend]]=0,0,Table1[[#This Row],[Revenue]]/Table1[[#This Row],[Ad Spend]])</f>
        <v>87.156369197884601</v>
      </c>
      <c r="N1398">
        <f>YEAR(Table1[[#This Row],[Date]])</f>
        <v>2024</v>
      </c>
      <c r="O1398" t="str">
        <f>TEXT(Table1[[#This Row],[Date]],"mmm")</f>
        <v>Oct</v>
      </c>
      <c r="P1398">
        <f>MONTH(Table1[[#This Row],[Date]])</f>
        <v>10</v>
      </c>
    </row>
    <row r="1399" spans="1:16" x14ac:dyDescent="0.25">
      <c r="A1399" t="s">
        <v>1418</v>
      </c>
      <c r="B1399" t="s">
        <v>34</v>
      </c>
      <c r="C1399" t="s">
        <v>37</v>
      </c>
      <c r="D1399" s="1">
        <v>45304</v>
      </c>
      <c r="E1399">
        <v>90600</v>
      </c>
      <c r="F1399">
        <v>4755</v>
      </c>
      <c r="G1399">
        <v>317</v>
      </c>
      <c r="H1399" s="4">
        <v>4880.47</v>
      </c>
      <c r="I1399" s="4">
        <v>34787.33</v>
      </c>
      <c r="J1399" s="7">
        <f>Table1[[#This Row],[Clicks]]/Table1[[#This Row],[Impressions]]</f>
        <v>5.2483443708609273E-2</v>
      </c>
      <c r="K1399" s="7">
        <f>IFERROR(Table1[[#This Row],[Conversions]]/Table1[[#This Row],[Clicks]],0)</f>
        <v>6.6666666666666666E-2</v>
      </c>
      <c r="L1399" s="6">
        <f>IF(Table1[[#This Row],[Conversions]]=0,0,Table1[[#This Row],[Ad Spend]]/Table1[[#This Row],[Conversions]])</f>
        <v>15.395804416403786</v>
      </c>
      <c r="M1399" s="8">
        <f>IF(Table1[[#This Row],[Ad Spend]]=0,0,Table1[[#This Row],[Revenue]]/Table1[[#This Row],[Ad Spend]])</f>
        <v>7.1278647343391111</v>
      </c>
      <c r="N1399">
        <f>YEAR(Table1[[#This Row],[Date]])</f>
        <v>2024</v>
      </c>
      <c r="O1399" t="str">
        <f>TEXT(Table1[[#This Row],[Date]],"mmm")</f>
        <v>Jan</v>
      </c>
      <c r="P1399">
        <f>MONTH(Table1[[#This Row],[Date]])</f>
        <v>1</v>
      </c>
    </row>
    <row r="1400" spans="1:16" x14ac:dyDescent="0.25">
      <c r="A1400" t="s">
        <v>1419</v>
      </c>
      <c r="B1400" t="s">
        <v>47</v>
      </c>
      <c r="C1400" t="s">
        <v>17</v>
      </c>
      <c r="D1400" s="1">
        <v>45442</v>
      </c>
      <c r="E1400">
        <v>13167</v>
      </c>
      <c r="F1400">
        <v>279</v>
      </c>
      <c r="G1400">
        <v>7</v>
      </c>
      <c r="H1400" s="4">
        <v>4665.4799999999996</v>
      </c>
      <c r="I1400" s="4">
        <v>778.31</v>
      </c>
      <c r="J1400" s="7">
        <f>Table1[[#This Row],[Clicks]]/Table1[[#This Row],[Impressions]]</f>
        <v>2.1189336978810664E-2</v>
      </c>
      <c r="K1400" s="7">
        <f>IFERROR(Table1[[#This Row],[Conversions]]/Table1[[#This Row],[Clicks]],0)</f>
        <v>2.5089605734767026E-2</v>
      </c>
      <c r="L1400" s="6">
        <f>IF(Table1[[#This Row],[Conversions]]=0,0,Table1[[#This Row],[Ad Spend]]/Table1[[#This Row],[Conversions]])</f>
        <v>666.49714285714276</v>
      </c>
      <c r="M1400" s="8">
        <f>IF(Table1[[#This Row],[Ad Spend]]=0,0,Table1[[#This Row],[Revenue]]/Table1[[#This Row],[Ad Spend]])</f>
        <v>0.16682313502576371</v>
      </c>
      <c r="N1400">
        <f>YEAR(Table1[[#This Row],[Date]])</f>
        <v>2024</v>
      </c>
      <c r="O1400" t="str">
        <f>TEXT(Table1[[#This Row],[Date]],"mmm")</f>
        <v>May</v>
      </c>
      <c r="P1400">
        <f>MONTH(Table1[[#This Row],[Date]])</f>
        <v>5</v>
      </c>
    </row>
    <row r="1401" spans="1:16" x14ac:dyDescent="0.25">
      <c r="A1401" t="s">
        <v>1420</v>
      </c>
      <c r="B1401" t="s">
        <v>31</v>
      </c>
      <c r="C1401" t="s">
        <v>10</v>
      </c>
      <c r="D1401" s="1">
        <v>45603</v>
      </c>
      <c r="E1401">
        <v>60438</v>
      </c>
      <c r="F1401">
        <v>4022</v>
      </c>
      <c r="G1401">
        <v>347</v>
      </c>
      <c r="H1401" s="4">
        <v>3948.19</v>
      </c>
      <c r="I1401" s="4">
        <v>24573.919999999998</v>
      </c>
      <c r="J1401" s="7">
        <f>Table1[[#This Row],[Clicks]]/Table1[[#This Row],[Impressions]]</f>
        <v>6.6547536318210393E-2</v>
      </c>
      <c r="K1401" s="7">
        <f>IFERROR(Table1[[#This Row],[Conversions]]/Table1[[#This Row],[Clicks]],0)</f>
        <v>8.6275484833416211E-2</v>
      </c>
      <c r="L1401" s="6">
        <f>IF(Table1[[#This Row],[Conversions]]=0,0,Table1[[#This Row],[Ad Spend]]/Table1[[#This Row],[Conversions]])</f>
        <v>11.378069164265129</v>
      </c>
      <c r="M1401" s="8">
        <f>IF(Table1[[#This Row],[Ad Spend]]=0,0,Table1[[#This Row],[Revenue]]/Table1[[#This Row],[Ad Spend]])</f>
        <v>6.2240976244810904</v>
      </c>
      <c r="N1401">
        <f>YEAR(Table1[[#This Row],[Date]])</f>
        <v>2024</v>
      </c>
      <c r="O1401" t="str">
        <f>TEXT(Table1[[#This Row],[Date]],"mmm")</f>
        <v>Nov</v>
      </c>
      <c r="P1401">
        <f>MONTH(Table1[[#This Row],[Date]])</f>
        <v>11</v>
      </c>
    </row>
    <row r="1402" spans="1:16" x14ac:dyDescent="0.25">
      <c r="A1402" t="s">
        <v>1421</v>
      </c>
      <c r="B1402" t="s">
        <v>47</v>
      </c>
      <c r="C1402" t="s">
        <v>37</v>
      </c>
      <c r="D1402" s="1">
        <v>45485</v>
      </c>
      <c r="E1402">
        <v>13545</v>
      </c>
      <c r="F1402">
        <v>758</v>
      </c>
      <c r="G1402">
        <v>29</v>
      </c>
      <c r="H1402" s="4">
        <v>3860.54</v>
      </c>
      <c r="I1402" s="4">
        <v>2462.7199999999998</v>
      </c>
      <c r="J1402" s="7">
        <f>Table1[[#This Row],[Clicks]]/Table1[[#This Row],[Impressions]]</f>
        <v>5.5961609449981541E-2</v>
      </c>
      <c r="K1402" s="7">
        <f>IFERROR(Table1[[#This Row],[Conversions]]/Table1[[#This Row],[Clicks]],0)</f>
        <v>3.825857519788918E-2</v>
      </c>
      <c r="L1402" s="6">
        <f>IF(Table1[[#This Row],[Conversions]]=0,0,Table1[[#This Row],[Ad Spend]]/Table1[[#This Row],[Conversions]])</f>
        <v>133.12206896551723</v>
      </c>
      <c r="M1402" s="8">
        <f>IF(Table1[[#This Row],[Ad Spend]]=0,0,Table1[[#This Row],[Revenue]]/Table1[[#This Row],[Ad Spend]])</f>
        <v>0.63792111984333788</v>
      </c>
      <c r="N1402">
        <f>YEAR(Table1[[#This Row],[Date]])</f>
        <v>2024</v>
      </c>
      <c r="O1402" t="str">
        <f>TEXT(Table1[[#This Row],[Date]],"mmm")</f>
        <v>Jul</v>
      </c>
      <c r="P1402">
        <f>MONTH(Table1[[#This Row],[Date]])</f>
        <v>7</v>
      </c>
    </row>
    <row r="1403" spans="1:16" x14ac:dyDescent="0.25">
      <c r="A1403" t="s">
        <v>1422</v>
      </c>
      <c r="B1403" t="s">
        <v>9</v>
      </c>
      <c r="C1403" t="s">
        <v>37</v>
      </c>
      <c r="D1403" s="1">
        <v>45581</v>
      </c>
      <c r="E1403">
        <v>136988</v>
      </c>
      <c r="F1403">
        <v>10938</v>
      </c>
      <c r="G1403">
        <v>1115</v>
      </c>
      <c r="H1403" s="4">
        <v>3722.97</v>
      </c>
      <c r="I1403" s="4">
        <v>82394.86</v>
      </c>
      <c r="J1403" s="7">
        <f>Table1[[#This Row],[Clicks]]/Table1[[#This Row],[Impressions]]</f>
        <v>7.984640990451719E-2</v>
      </c>
      <c r="K1403" s="7">
        <f>IFERROR(Table1[[#This Row],[Conversions]]/Table1[[#This Row],[Clicks]],0)</f>
        <v>0.10193819711098921</v>
      </c>
      <c r="L1403" s="6">
        <f>IF(Table1[[#This Row],[Conversions]]=0,0,Table1[[#This Row],[Ad Spend]]/Table1[[#This Row],[Conversions]])</f>
        <v>3.3389865470852018</v>
      </c>
      <c r="M1403" s="8">
        <f>IF(Table1[[#This Row],[Ad Spend]]=0,0,Table1[[#This Row],[Revenue]]/Table1[[#This Row],[Ad Spend]])</f>
        <v>22.131486420787706</v>
      </c>
      <c r="N1403">
        <f>YEAR(Table1[[#This Row],[Date]])</f>
        <v>2024</v>
      </c>
      <c r="O1403" t="str">
        <f>TEXT(Table1[[#This Row],[Date]],"mmm")</f>
        <v>Oct</v>
      </c>
      <c r="P1403">
        <f>MONTH(Table1[[#This Row],[Date]])</f>
        <v>10</v>
      </c>
    </row>
    <row r="1404" spans="1:16" x14ac:dyDescent="0.25">
      <c r="A1404" t="s">
        <v>1423</v>
      </c>
      <c r="B1404" t="s">
        <v>9</v>
      </c>
      <c r="C1404" t="s">
        <v>12</v>
      </c>
      <c r="D1404" s="1">
        <v>45700</v>
      </c>
      <c r="E1404">
        <v>18482</v>
      </c>
      <c r="F1404">
        <v>970</v>
      </c>
      <c r="G1404">
        <v>102</v>
      </c>
      <c r="H1404" s="4">
        <v>2697.61</v>
      </c>
      <c r="I1404" s="4">
        <v>5272.78</v>
      </c>
      <c r="J1404" s="7">
        <f>Table1[[#This Row],[Clicks]]/Table1[[#This Row],[Impressions]]</f>
        <v>5.2483497456985176E-2</v>
      </c>
      <c r="K1404" s="7">
        <f>IFERROR(Table1[[#This Row],[Conversions]]/Table1[[#This Row],[Clicks]],0)</f>
        <v>0.10515463917525773</v>
      </c>
      <c r="L1404" s="6">
        <f>IF(Table1[[#This Row],[Conversions]]=0,0,Table1[[#This Row],[Ad Spend]]/Table1[[#This Row],[Conversions]])</f>
        <v>26.4471568627451</v>
      </c>
      <c r="M1404" s="8">
        <f>IF(Table1[[#This Row],[Ad Spend]]=0,0,Table1[[#This Row],[Revenue]]/Table1[[#This Row],[Ad Spend]])</f>
        <v>1.9546116747787854</v>
      </c>
      <c r="N1404">
        <f>YEAR(Table1[[#This Row],[Date]])</f>
        <v>2025</v>
      </c>
      <c r="O1404" t="str">
        <f>TEXT(Table1[[#This Row],[Date]],"mmm")</f>
        <v>Feb</v>
      </c>
      <c r="P1404">
        <f>MONTH(Table1[[#This Row],[Date]])</f>
        <v>2</v>
      </c>
    </row>
    <row r="1405" spans="1:16" x14ac:dyDescent="0.25">
      <c r="A1405" t="s">
        <v>1424</v>
      </c>
      <c r="B1405" t="s">
        <v>14</v>
      </c>
      <c r="C1405" t="s">
        <v>12</v>
      </c>
      <c r="D1405" s="1">
        <v>45442</v>
      </c>
      <c r="E1405">
        <v>68970</v>
      </c>
      <c r="F1405">
        <v>2276</v>
      </c>
      <c r="G1405">
        <v>281</v>
      </c>
      <c r="H1405" s="4">
        <v>4891.88</v>
      </c>
      <c r="I1405" s="4">
        <v>12108.03</v>
      </c>
      <c r="J1405" s="7">
        <f>Table1[[#This Row],[Clicks]]/Table1[[#This Row],[Impressions]]</f>
        <v>3.2999855009424386E-2</v>
      </c>
      <c r="K1405" s="7">
        <f>IFERROR(Table1[[#This Row],[Conversions]]/Table1[[#This Row],[Clicks]],0)</f>
        <v>0.1234622144112478</v>
      </c>
      <c r="L1405" s="6">
        <f>IF(Table1[[#This Row],[Conversions]]=0,0,Table1[[#This Row],[Ad Spend]]/Table1[[#This Row],[Conversions]])</f>
        <v>17.408825622775801</v>
      </c>
      <c r="M1405" s="8">
        <f>IF(Table1[[#This Row],[Ad Spend]]=0,0,Table1[[#This Row],[Revenue]]/Table1[[#This Row],[Ad Spend]])</f>
        <v>2.4751281715822957</v>
      </c>
      <c r="N1405">
        <f>YEAR(Table1[[#This Row],[Date]])</f>
        <v>2024</v>
      </c>
      <c r="O1405" t="str">
        <f>TEXT(Table1[[#This Row],[Date]],"mmm")</f>
        <v>May</v>
      </c>
      <c r="P1405">
        <f>MONTH(Table1[[#This Row],[Date]])</f>
        <v>5</v>
      </c>
    </row>
    <row r="1406" spans="1:16" x14ac:dyDescent="0.25">
      <c r="A1406" t="s">
        <v>1425</v>
      </c>
      <c r="B1406" t="s">
        <v>47</v>
      </c>
      <c r="C1406" t="s">
        <v>10</v>
      </c>
      <c r="D1406" s="1">
        <v>45646</v>
      </c>
      <c r="E1406">
        <v>68188</v>
      </c>
      <c r="F1406">
        <v>2805</v>
      </c>
      <c r="G1406">
        <v>405</v>
      </c>
      <c r="H1406" s="4">
        <v>2167.64</v>
      </c>
      <c r="I1406" s="4">
        <v>11327.45</v>
      </c>
      <c r="J1406" s="7">
        <f>Table1[[#This Row],[Clicks]]/Table1[[#This Row],[Impressions]]</f>
        <v>4.1136270311491759E-2</v>
      </c>
      <c r="K1406" s="7">
        <f>IFERROR(Table1[[#This Row],[Conversions]]/Table1[[#This Row],[Clicks]],0)</f>
        <v>0.14438502673796791</v>
      </c>
      <c r="L1406" s="6">
        <f>IF(Table1[[#This Row],[Conversions]]=0,0,Table1[[#This Row],[Ad Spend]]/Table1[[#This Row],[Conversions]])</f>
        <v>5.3521975308641974</v>
      </c>
      <c r="M1406" s="8">
        <f>IF(Table1[[#This Row],[Ad Spend]]=0,0,Table1[[#This Row],[Revenue]]/Table1[[#This Row],[Ad Spend]])</f>
        <v>5.2257062980937796</v>
      </c>
      <c r="N1406">
        <f>YEAR(Table1[[#This Row],[Date]])</f>
        <v>2024</v>
      </c>
      <c r="O1406" t="str">
        <f>TEXT(Table1[[#This Row],[Date]],"mmm")</f>
        <v>Dec</v>
      </c>
      <c r="P1406">
        <f>MONTH(Table1[[#This Row],[Date]])</f>
        <v>12</v>
      </c>
    </row>
    <row r="1407" spans="1:16" x14ac:dyDescent="0.25">
      <c r="A1407" t="s">
        <v>1426</v>
      </c>
      <c r="B1407" t="s">
        <v>9</v>
      </c>
      <c r="C1407" t="s">
        <v>19</v>
      </c>
      <c r="D1407" s="1">
        <v>45626</v>
      </c>
      <c r="E1407">
        <v>131918</v>
      </c>
      <c r="F1407">
        <v>6907</v>
      </c>
      <c r="G1407">
        <v>541</v>
      </c>
      <c r="H1407" s="4">
        <v>2210.48</v>
      </c>
      <c r="I1407" s="4">
        <v>41621.42</v>
      </c>
      <c r="J1407" s="7">
        <f>Table1[[#This Row],[Clicks]]/Table1[[#This Row],[Impressions]]</f>
        <v>5.2358283175912311E-2</v>
      </c>
      <c r="K1407" s="7">
        <f>IFERROR(Table1[[#This Row],[Conversions]]/Table1[[#This Row],[Clicks]],0)</f>
        <v>7.8326335601563629E-2</v>
      </c>
      <c r="L1407" s="6">
        <f>IF(Table1[[#This Row],[Conversions]]=0,0,Table1[[#This Row],[Ad Spend]]/Table1[[#This Row],[Conversions]])</f>
        <v>4.0859149722735673</v>
      </c>
      <c r="M1407" s="8">
        <f>IF(Table1[[#This Row],[Ad Spend]]=0,0,Table1[[#This Row],[Revenue]]/Table1[[#This Row],[Ad Spend]])</f>
        <v>18.829132134197096</v>
      </c>
      <c r="N1407">
        <f>YEAR(Table1[[#This Row],[Date]])</f>
        <v>2024</v>
      </c>
      <c r="O1407" t="str">
        <f>TEXT(Table1[[#This Row],[Date]],"mmm")</f>
        <v>Nov</v>
      </c>
      <c r="P1407">
        <f>MONTH(Table1[[#This Row],[Date]])</f>
        <v>11</v>
      </c>
    </row>
    <row r="1408" spans="1:16" x14ac:dyDescent="0.25">
      <c r="A1408" t="s">
        <v>1427</v>
      </c>
      <c r="B1408" t="s">
        <v>16</v>
      </c>
      <c r="C1408" t="s">
        <v>12</v>
      </c>
      <c r="D1408" s="1">
        <v>45417</v>
      </c>
      <c r="E1408">
        <v>111854</v>
      </c>
      <c r="F1408">
        <v>6396</v>
      </c>
      <c r="G1408">
        <v>681</v>
      </c>
      <c r="H1408" s="4">
        <v>3106.62</v>
      </c>
      <c r="I1408" s="4">
        <v>67817.789999999994</v>
      </c>
      <c r="J1408" s="7">
        <f>Table1[[#This Row],[Clicks]]/Table1[[#This Row],[Impressions]]</f>
        <v>5.7181683265685623E-2</v>
      </c>
      <c r="K1408" s="7">
        <f>IFERROR(Table1[[#This Row],[Conversions]]/Table1[[#This Row],[Clicks]],0)</f>
        <v>0.10647279549718575</v>
      </c>
      <c r="L1408" s="6">
        <f>IF(Table1[[#This Row],[Conversions]]=0,0,Table1[[#This Row],[Ad Spend]]/Table1[[#This Row],[Conversions]])</f>
        <v>4.5618502202643167</v>
      </c>
      <c r="M1408" s="8">
        <f>IF(Table1[[#This Row],[Ad Spend]]=0,0,Table1[[#This Row],[Revenue]]/Table1[[#This Row],[Ad Spend]])</f>
        <v>21.830088649400313</v>
      </c>
      <c r="N1408">
        <f>YEAR(Table1[[#This Row],[Date]])</f>
        <v>2024</v>
      </c>
      <c r="O1408" t="str">
        <f>TEXT(Table1[[#This Row],[Date]],"mmm")</f>
        <v>May</v>
      </c>
      <c r="P1408">
        <f>MONTH(Table1[[#This Row],[Date]])</f>
        <v>5</v>
      </c>
    </row>
    <row r="1409" spans="1:16" x14ac:dyDescent="0.25">
      <c r="A1409" t="s">
        <v>1428</v>
      </c>
      <c r="B1409" t="s">
        <v>47</v>
      </c>
      <c r="C1409" t="s">
        <v>19</v>
      </c>
      <c r="D1409" s="1">
        <v>45352</v>
      </c>
      <c r="E1409">
        <v>26366</v>
      </c>
      <c r="F1409">
        <v>1017</v>
      </c>
      <c r="G1409">
        <v>87</v>
      </c>
      <c r="H1409" s="4">
        <v>912.31</v>
      </c>
      <c r="I1409" s="4">
        <v>6039.54</v>
      </c>
      <c r="J1409" s="7">
        <f>Table1[[#This Row],[Clicks]]/Table1[[#This Row],[Impressions]]</f>
        <v>3.8572403853447623E-2</v>
      </c>
      <c r="K1409" s="7">
        <f>IFERROR(Table1[[#This Row],[Conversions]]/Table1[[#This Row],[Clicks]],0)</f>
        <v>8.5545722713864306E-2</v>
      </c>
      <c r="L1409" s="6">
        <f>IF(Table1[[#This Row],[Conversions]]=0,0,Table1[[#This Row],[Ad Spend]]/Table1[[#This Row],[Conversions]])</f>
        <v>10.486321839080459</v>
      </c>
      <c r="M1409" s="8">
        <f>IF(Table1[[#This Row],[Ad Spend]]=0,0,Table1[[#This Row],[Revenue]]/Table1[[#This Row],[Ad Spend]])</f>
        <v>6.6200523944711778</v>
      </c>
      <c r="N1409">
        <f>YEAR(Table1[[#This Row],[Date]])</f>
        <v>2024</v>
      </c>
      <c r="O1409" t="str">
        <f>TEXT(Table1[[#This Row],[Date]],"mmm")</f>
        <v>Mar</v>
      </c>
      <c r="P1409">
        <f>MONTH(Table1[[#This Row],[Date]])</f>
        <v>3</v>
      </c>
    </row>
    <row r="1410" spans="1:16" x14ac:dyDescent="0.25">
      <c r="A1410" t="s">
        <v>1429</v>
      </c>
      <c r="B1410" t="s">
        <v>14</v>
      </c>
      <c r="C1410" t="s">
        <v>37</v>
      </c>
      <c r="D1410" s="1">
        <v>45524</v>
      </c>
      <c r="E1410">
        <v>9066</v>
      </c>
      <c r="F1410">
        <v>196</v>
      </c>
      <c r="G1410">
        <v>14</v>
      </c>
      <c r="H1410" s="4">
        <v>3874.45</v>
      </c>
      <c r="I1410" s="4">
        <v>1275.93</v>
      </c>
      <c r="J1410" s="7">
        <f>Table1[[#This Row],[Clicks]]/Table1[[#This Row],[Impressions]]</f>
        <v>2.1619236708581513E-2</v>
      </c>
      <c r="K1410" s="7">
        <f>IFERROR(Table1[[#This Row],[Conversions]]/Table1[[#This Row],[Clicks]],0)</f>
        <v>7.1428571428571425E-2</v>
      </c>
      <c r="L1410" s="6">
        <f>IF(Table1[[#This Row],[Conversions]]=0,0,Table1[[#This Row],[Ad Spend]]/Table1[[#This Row],[Conversions]])</f>
        <v>276.74642857142857</v>
      </c>
      <c r="M1410" s="8">
        <f>IF(Table1[[#This Row],[Ad Spend]]=0,0,Table1[[#This Row],[Revenue]]/Table1[[#This Row],[Ad Spend]])</f>
        <v>0.32931900011614557</v>
      </c>
      <c r="N1410">
        <f>YEAR(Table1[[#This Row],[Date]])</f>
        <v>2024</v>
      </c>
      <c r="O1410" t="str">
        <f>TEXT(Table1[[#This Row],[Date]],"mmm")</f>
        <v>Aug</v>
      </c>
      <c r="P1410">
        <f>MONTH(Table1[[#This Row],[Date]])</f>
        <v>8</v>
      </c>
    </row>
    <row r="1411" spans="1:16" x14ac:dyDescent="0.25">
      <c r="A1411" t="s">
        <v>1430</v>
      </c>
      <c r="B1411" t="s">
        <v>41</v>
      </c>
      <c r="C1411" t="s">
        <v>10</v>
      </c>
      <c r="D1411" s="1">
        <v>45356</v>
      </c>
      <c r="E1411">
        <v>13932</v>
      </c>
      <c r="F1411">
        <v>952</v>
      </c>
      <c r="G1411">
        <v>22</v>
      </c>
      <c r="H1411" s="4">
        <v>1001.29</v>
      </c>
      <c r="I1411" s="4">
        <v>600.63</v>
      </c>
      <c r="J1411" s="7">
        <f>Table1[[#This Row],[Clicks]]/Table1[[#This Row],[Impressions]]</f>
        <v>6.833189778926213E-2</v>
      </c>
      <c r="K1411" s="7">
        <f>IFERROR(Table1[[#This Row],[Conversions]]/Table1[[#This Row],[Clicks]],0)</f>
        <v>2.3109243697478993E-2</v>
      </c>
      <c r="L1411" s="6">
        <f>IF(Table1[[#This Row],[Conversions]]=0,0,Table1[[#This Row],[Ad Spend]]/Table1[[#This Row],[Conversions]])</f>
        <v>45.513181818181813</v>
      </c>
      <c r="M1411" s="8">
        <f>IF(Table1[[#This Row],[Ad Spend]]=0,0,Table1[[#This Row],[Revenue]]/Table1[[#This Row],[Ad Spend]])</f>
        <v>0.59985618552067832</v>
      </c>
      <c r="N1411">
        <f>YEAR(Table1[[#This Row],[Date]])</f>
        <v>2024</v>
      </c>
      <c r="O1411" t="str">
        <f>TEXT(Table1[[#This Row],[Date]],"mmm")</f>
        <v>Mar</v>
      </c>
      <c r="P1411">
        <f>MONTH(Table1[[#This Row],[Date]])</f>
        <v>3</v>
      </c>
    </row>
    <row r="1412" spans="1:16" x14ac:dyDescent="0.25">
      <c r="A1412" t="s">
        <v>1431</v>
      </c>
      <c r="B1412" t="s">
        <v>21</v>
      </c>
      <c r="C1412" t="s">
        <v>17</v>
      </c>
      <c r="D1412" s="1">
        <v>45473</v>
      </c>
      <c r="E1412">
        <v>38411</v>
      </c>
      <c r="F1412">
        <v>1465</v>
      </c>
      <c r="G1412">
        <v>135</v>
      </c>
      <c r="H1412" s="4">
        <v>3617.52</v>
      </c>
      <c r="I1412" s="4">
        <v>4306.8999999999996</v>
      </c>
      <c r="J1412" s="7">
        <f>Table1[[#This Row],[Clicks]]/Table1[[#This Row],[Impressions]]</f>
        <v>3.8140116112571919E-2</v>
      </c>
      <c r="K1412" s="7">
        <f>IFERROR(Table1[[#This Row],[Conversions]]/Table1[[#This Row],[Clicks]],0)</f>
        <v>9.2150170648464161E-2</v>
      </c>
      <c r="L1412" s="6">
        <f>IF(Table1[[#This Row],[Conversions]]=0,0,Table1[[#This Row],[Ad Spend]]/Table1[[#This Row],[Conversions]])</f>
        <v>26.796444444444443</v>
      </c>
      <c r="M1412" s="8">
        <f>IF(Table1[[#This Row],[Ad Spend]]=0,0,Table1[[#This Row],[Revenue]]/Table1[[#This Row],[Ad Spend]])</f>
        <v>1.1905670182887724</v>
      </c>
      <c r="N1412">
        <f>YEAR(Table1[[#This Row],[Date]])</f>
        <v>2024</v>
      </c>
      <c r="O1412" t="str">
        <f>TEXT(Table1[[#This Row],[Date]],"mmm")</f>
        <v>Jun</v>
      </c>
      <c r="P1412">
        <f>MONTH(Table1[[#This Row],[Date]])</f>
        <v>6</v>
      </c>
    </row>
    <row r="1413" spans="1:16" x14ac:dyDescent="0.25">
      <c r="A1413" t="s">
        <v>1432</v>
      </c>
      <c r="B1413" t="s">
        <v>47</v>
      </c>
      <c r="C1413" t="s">
        <v>12</v>
      </c>
      <c r="D1413" s="1">
        <v>45603</v>
      </c>
      <c r="E1413">
        <v>33251</v>
      </c>
      <c r="F1413">
        <v>2646</v>
      </c>
      <c r="G1413">
        <v>68</v>
      </c>
      <c r="H1413" s="4">
        <v>3745.99</v>
      </c>
      <c r="I1413" s="4">
        <v>3773.71</v>
      </c>
      <c r="J1413" s="7">
        <f>Table1[[#This Row],[Clicks]]/Table1[[#This Row],[Impressions]]</f>
        <v>7.9576554088598844E-2</v>
      </c>
      <c r="K1413" s="7">
        <f>IFERROR(Table1[[#This Row],[Conversions]]/Table1[[#This Row],[Clicks]],0)</f>
        <v>2.5699168556311415E-2</v>
      </c>
      <c r="L1413" s="6">
        <f>IF(Table1[[#This Row],[Conversions]]=0,0,Table1[[#This Row],[Ad Spend]]/Table1[[#This Row],[Conversions]])</f>
        <v>55.088088235294116</v>
      </c>
      <c r="M1413" s="8">
        <f>IF(Table1[[#This Row],[Ad Spend]]=0,0,Table1[[#This Row],[Revenue]]/Table1[[#This Row],[Ad Spend]])</f>
        <v>1.0073999129736064</v>
      </c>
      <c r="N1413">
        <f>YEAR(Table1[[#This Row],[Date]])</f>
        <v>2024</v>
      </c>
      <c r="O1413" t="str">
        <f>TEXT(Table1[[#This Row],[Date]],"mmm")</f>
        <v>Nov</v>
      </c>
      <c r="P1413">
        <f>MONTH(Table1[[#This Row],[Date]])</f>
        <v>11</v>
      </c>
    </row>
    <row r="1414" spans="1:16" x14ac:dyDescent="0.25">
      <c r="A1414" t="s">
        <v>1433</v>
      </c>
      <c r="B1414" t="s">
        <v>41</v>
      </c>
      <c r="C1414" t="s">
        <v>17</v>
      </c>
      <c r="D1414" s="1">
        <v>45614</v>
      </c>
      <c r="E1414">
        <v>122900</v>
      </c>
      <c r="F1414">
        <v>7601</v>
      </c>
      <c r="G1414">
        <v>582</v>
      </c>
      <c r="H1414" s="4">
        <v>3836.77</v>
      </c>
      <c r="I1414" s="4">
        <v>52386.62</v>
      </c>
      <c r="J1414" s="7">
        <f>Table1[[#This Row],[Clicks]]/Table1[[#This Row],[Impressions]]</f>
        <v>6.1847030105777051E-2</v>
      </c>
      <c r="K1414" s="7">
        <f>IFERROR(Table1[[#This Row],[Conversions]]/Table1[[#This Row],[Clicks]],0)</f>
        <v>7.6568872516774106E-2</v>
      </c>
      <c r="L1414" s="6">
        <f>IF(Table1[[#This Row],[Conversions]]=0,0,Table1[[#This Row],[Ad Spend]]/Table1[[#This Row],[Conversions]])</f>
        <v>6.5923883161512027</v>
      </c>
      <c r="M1414" s="8">
        <f>IF(Table1[[#This Row],[Ad Spend]]=0,0,Table1[[#This Row],[Revenue]]/Table1[[#This Row],[Ad Spend]])</f>
        <v>13.653833823763218</v>
      </c>
      <c r="N1414">
        <f>YEAR(Table1[[#This Row],[Date]])</f>
        <v>2024</v>
      </c>
      <c r="O1414" t="str">
        <f>TEXT(Table1[[#This Row],[Date]],"mmm")</f>
        <v>Nov</v>
      </c>
      <c r="P1414">
        <f>MONTH(Table1[[#This Row],[Date]])</f>
        <v>11</v>
      </c>
    </row>
    <row r="1415" spans="1:16" x14ac:dyDescent="0.25">
      <c r="A1415" t="s">
        <v>1434</v>
      </c>
      <c r="B1415" t="s">
        <v>16</v>
      </c>
      <c r="C1415" t="s">
        <v>12</v>
      </c>
      <c r="D1415" s="1">
        <v>45711</v>
      </c>
      <c r="E1415">
        <v>138529</v>
      </c>
      <c r="F1415">
        <v>2197</v>
      </c>
      <c r="G1415">
        <v>299</v>
      </c>
      <c r="H1415" s="4">
        <v>3049.06</v>
      </c>
      <c r="I1415" s="4">
        <v>17039.23</v>
      </c>
      <c r="J1415" s="7">
        <f>Table1[[#This Row],[Clicks]]/Table1[[#This Row],[Impressions]]</f>
        <v>1.5859495123764698E-2</v>
      </c>
      <c r="K1415" s="7">
        <f>IFERROR(Table1[[#This Row],[Conversions]]/Table1[[#This Row],[Clicks]],0)</f>
        <v>0.13609467455621302</v>
      </c>
      <c r="L1415" s="6">
        <f>IF(Table1[[#This Row],[Conversions]]=0,0,Table1[[#This Row],[Ad Spend]]/Table1[[#This Row],[Conversions]])</f>
        <v>10.197525083612041</v>
      </c>
      <c r="M1415" s="8">
        <f>IF(Table1[[#This Row],[Ad Spend]]=0,0,Table1[[#This Row],[Revenue]]/Table1[[#This Row],[Ad Spend]])</f>
        <v>5.5883550996044686</v>
      </c>
      <c r="N1415">
        <f>YEAR(Table1[[#This Row],[Date]])</f>
        <v>2025</v>
      </c>
      <c r="O1415" t="str">
        <f>TEXT(Table1[[#This Row],[Date]],"mmm")</f>
        <v>Feb</v>
      </c>
      <c r="P1415">
        <f>MONTH(Table1[[#This Row],[Date]])</f>
        <v>2</v>
      </c>
    </row>
    <row r="1416" spans="1:16" x14ac:dyDescent="0.25">
      <c r="A1416" t="s">
        <v>1435</v>
      </c>
      <c r="B1416" t="s">
        <v>41</v>
      </c>
      <c r="C1416" t="s">
        <v>17</v>
      </c>
      <c r="D1416" s="1">
        <v>45456</v>
      </c>
      <c r="E1416">
        <v>119972</v>
      </c>
      <c r="F1416">
        <v>2683</v>
      </c>
      <c r="G1416">
        <v>305</v>
      </c>
      <c r="H1416" s="4">
        <v>1540.64</v>
      </c>
      <c r="I1416" s="4">
        <v>29676.69</v>
      </c>
      <c r="J1416" s="7">
        <f>Table1[[#This Row],[Clicks]]/Table1[[#This Row],[Impressions]]</f>
        <v>2.2363551495348914E-2</v>
      </c>
      <c r="K1416" s="7">
        <f>IFERROR(Table1[[#This Row],[Conversions]]/Table1[[#This Row],[Clicks]],0)</f>
        <v>0.11367871785314947</v>
      </c>
      <c r="L1416" s="6">
        <f>IF(Table1[[#This Row],[Conversions]]=0,0,Table1[[#This Row],[Ad Spend]]/Table1[[#This Row],[Conversions]])</f>
        <v>5.0512786885245902</v>
      </c>
      <c r="M1416" s="8">
        <f>IF(Table1[[#This Row],[Ad Spend]]=0,0,Table1[[#This Row],[Revenue]]/Table1[[#This Row],[Ad Spend]])</f>
        <v>19.262572697060961</v>
      </c>
      <c r="N1416">
        <f>YEAR(Table1[[#This Row],[Date]])</f>
        <v>2024</v>
      </c>
      <c r="O1416" t="str">
        <f>TEXT(Table1[[#This Row],[Date]],"mmm")</f>
        <v>Jun</v>
      </c>
      <c r="P1416">
        <f>MONTH(Table1[[#This Row],[Date]])</f>
        <v>6</v>
      </c>
    </row>
    <row r="1417" spans="1:16" x14ac:dyDescent="0.25">
      <c r="A1417" t="s">
        <v>1436</v>
      </c>
      <c r="B1417" t="s">
        <v>14</v>
      </c>
      <c r="C1417" t="s">
        <v>19</v>
      </c>
      <c r="D1417" s="1">
        <v>45544</v>
      </c>
      <c r="E1417">
        <v>94421</v>
      </c>
      <c r="F1417">
        <v>1263</v>
      </c>
      <c r="G1417">
        <v>110</v>
      </c>
      <c r="H1417" s="4">
        <v>2720.93</v>
      </c>
      <c r="I1417" s="4">
        <v>7790.51</v>
      </c>
      <c r="J1417" s="7">
        <f>Table1[[#This Row],[Clicks]]/Table1[[#This Row],[Impressions]]</f>
        <v>1.3376261636712171E-2</v>
      </c>
      <c r="K1417" s="7">
        <f>IFERROR(Table1[[#This Row],[Conversions]]/Table1[[#This Row],[Clicks]],0)</f>
        <v>8.7094220110847193E-2</v>
      </c>
      <c r="L1417" s="6">
        <f>IF(Table1[[#This Row],[Conversions]]=0,0,Table1[[#This Row],[Ad Spend]]/Table1[[#This Row],[Conversions]])</f>
        <v>24.735727272727271</v>
      </c>
      <c r="M1417" s="8">
        <f>IF(Table1[[#This Row],[Ad Spend]]=0,0,Table1[[#This Row],[Revenue]]/Table1[[#This Row],[Ad Spend]])</f>
        <v>2.8631791336050543</v>
      </c>
      <c r="N1417">
        <f>YEAR(Table1[[#This Row],[Date]])</f>
        <v>2024</v>
      </c>
      <c r="O1417" t="str">
        <f>TEXT(Table1[[#This Row],[Date]],"mmm")</f>
        <v>Sept</v>
      </c>
      <c r="P1417">
        <f>MONTH(Table1[[#This Row],[Date]])</f>
        <v>9</v>
      </c>
    </row>
    <row r="1418" spans="1:16" x14ac:dyDescent="0.25">
      <c r="A1418" t="s">
        <v>1437</v>
      </c>
      <c r="B1418" t="s">
        <v>21</v>
      </c>
      <c r="C1418" t="s">
        <v>19</v>
      </c>
      <c r="D1418" s="1">
        <v>45457</v>
      </c>
      <c r="E1418">
        <v>105681</v>
      </c>
      <c r="F1418">
        <v>3413</v>
      </c>
      <c r="G1418">
        <v>147</v>
      </c>
      <c r="H1418" s="4">
        <v>887.34</v>
      </c>
      <c r="I1418" s="4">
        <v>14905.61</v>
      </c>
      <c r="J1418" s="7">
        <f>Table1[[#This Row],[Clicks]]/Table1[[#This Row],[Impressions]]</f>
        <v>3.2295303791599249E-2</v>
      </c>
      <c r="K1418" s="7">
        <f>IFERROR(Table1[[#This Row],[Conversions]]/Table1[[#This Row],[Clicks]],0)</f>
        <v>4.3070612364488718E-2</v>
      </c>
      <c r="L1418" s="6">
        <f>IF(Table1[[#This Row],[Conversions]]=0,0,Table1[[#This Row],[Ad Spend]]/Table1[[#This Row],[Conversions]])</f>
        <v>6.0363265306122456</v>
      </c>
      <c r="M1418" s="8">
        <f>IF(Table1[[#This Row],[Ad Spend]]=0,0,Table1[[#This Row],[Revenue]]/Table1[[#This Row],[Ad Spend]])</f>
        <v>16.79808190772421</v>
      </c>
      <c r="N1418">
        <f>YEAR(Table1[[#This Row],[Date]])</f>
        <v>2024</v>
      </c>
      <c r="O1418" t="str">
        <f>TEXT(Table1[[#This Row],[Date]],"mmm")</f>
        <v>Jun</v>
      </c>
      <c r="P1418">
        <f>MONTH(Table1[[#This Row],[Date]])</f>
        <v>6</v>
      </c>
    </row>
    <row r="1419" spans="1:16" x14ac:dyDescent="0.25">
      <c r="A1419" t="s">
        <v>1438</v>
      </c>
      <c r="B1419" t="s">
        <v>14</v>
      </c>
      <c r="C1419" t="s">
        <v>17</v>
      </c>
      <c r="D1419" s="1">
        <v>45557</v>
      </c>
      <c r="E1419">
        <v>77943</v>
      </c>
      <c r="F1419">
        <v>3917</v>
      </c>
      <c r="G1419">
        <v>391</v>
      </c>
      <c r="H1419" s="4">
        <v>677.44</v>
      </c>
      <c r="I1419" s="4">
        <v>18955.330000000002</v>
      </c>
      <c r="J1419" s="7">
        <f>Table1[[#This Row],[Clicks]]/Table1[[#This Row],[Impressions]]</f>
        <v>5.0254673286889137E-2</v>
      </c>
      <c r="K1419" s="7">
        <f>IFERROR(Table1[[#This Row],[Conversions]]/Table1[[#This Row],[Clicks]],0)</f>
        <v>9.9821291804952764E-2</v>
      </c>
      <c r="L1419" s="6">
        <f>IF(Table1[[#This Row],[Conversions]]=0,0,Table1[[#This Row],[Ad Spend]]/Table1[[#This Row],[Conversions]])</f>
        <v>1.7325831202046038</v>
      </c>
      <c r="M1419" s="8">
        <f>IF(Table1[[#This Row],[Ad Spend]]=0,0,Table1[[#This Row],[Revenue]]/Table1[[#This Row],[Ad Spend]])</f>
        <v>27.980824870099198</v>
      </c>
      <c r="N1419">
        <f>YEAR(Table1[[#This Row],[Date]])</f>
        <v>2024</v>
      </c>
      <c r="O1419" t="str">
        <f>TEXT(Table1[[#This Row],[Date]],"mmm")</f>
        <v>Sept</v>
      </c>
      <c r="P1419">
        <f>MONTH(Table1[[#This Row],[Date]])</f>
        <v>9</v>
      </c>
    </row>
    <row r="1420" spans="1:16" x14ac:dyDescent="0.25">
      <c r="A1420" t="s">
        <v>1439</v>
      </c>
      <c r="B1420" t="s">
        <v>9</v>
      </c>
      <c r="C1420" t="s">
        <v>19</v>
      </c>
      <c r="D1420" s="1">
        <v>45432</v>
      </c>
      <c r="E1420">
        <v>132568</v>
      </c>
      <c r="F1420">
        <v>5398</v>
      </c>
      <c r="G1420">
        <v>729</v>
      </c>
      <c r="H1420" s="4">
        <v>1584.7</v>
      </c>
      <c r="I1420" s="4">
        <v>81479.820000000007</v>
      </c>
      <c r="J1420" s="7">
        <f>Table1[[#This Row],[Clicks]]/Table1[[#This Row],[Impressions]]</f>
        <v>4.0718725484279766E-2</v>
      </c>
      <c r="K1420" s="7">
        <f>IFERROR(Table1[[#This Row],[Conversions]]/Table1[[#This Row],[Clicks]],0)</f>
        <v>0.13505001852537976</v>
      </c>
      <c r="L1420" s="6">
        <f>IF(Table1[[#This Row],[Conversions]]=0,0,Table1[[#This Row],[Ad Spend]]/Table1[[#This Row],[Conversions]])</f>
        <v>2.1737997256515778</v>
      </c>
      <c r="M1420" s="8">
        <f>IF(Table1[[#This Row],[Ad Spend]]=0,0,Table1[[#This Row],[Revenue]]/Table1[[#This Row],[Ad Spend]])</f>
        <v>51.41655833911782</v>
      </c>
      <c r="N1420">
        <f>YEAR(Table1[[#This Row],[Date]])</f>
        <v>2024</v>
      </c>
      <c r="O1420" t="str">
        <f>TEXT(Table1[[#This Row],[Date]],"mmm")</f>
        <v>May</v>
      </c>
      <c r="P1420">
        <f>MONTH(Table1[[#This Row],[Date]])</f>
        <v>5</v>
      </c>
    </row>
    <row r="1421" spans="1:16" x14ac:dyDescent="0.25">
      <c r="A1421" t="s">
        <v>1440</v>
      </c>
      <c r="B1421" t="s">
        <v>9</v>
      </c>
      <c r="C1421" t="s">
        <v>37</v>
      </c>
      <c r="D1421" s="1">
        <v>45633</v>
      </c>
      <c r="E1421">
        <v>78040</v>
      </c>
      <c r="F1421">
        <v>1550</v>
      </c>
      <c r="G1421">
        <v>72</v>
      </c>
      <c r="H1421" s="4">
        <v>4226.1899999999996</v>
      </c>
      <c r="I1421" s="4">
        <v>6875.03</v>
      </c>
      <c r="J1421" s="7">
        <f>Table1[[#This Row],[Clicks]]/Table1[[#This Row],[Impressions]]</f>
        <v>1.9861609431060995E-2</v>
      </c>
      <c r="K1421" s="7">
        <f>IFERROR(Table1[[#This Row],[Conversions]]/Table1[[#This Row],[Clicks]],0)</f>
        <v>4.645161290322581E-2</v>
      </c>
      <c r="L1421" s="6">
        <f>IF(Table1[[#This Row],[Conversions]]=0,0,Table1[[#This Row],[Ad Spend]]/Table1[[#This Row],[Conversions]])</f>
        <v>58.697083333333325</v>
      </c>
      <c r="M1421" s="8">
        <f>IF(Table1[[#This Row],[Ad Spend]]=0,0,Table1[[#This Row],[Revenue]]/Table1[[#This Row],[Ad Spend]])</f>
        <v>1.6267678452696164</v>
      </c>
      <c r="N1421">
        <f>YEAR(Table1[[#This Row],[Date]])</f>
        <v>2024</v>
      </c>
      <c r="O1421" t="str">
        <f>TEXT(Table1[[#This Row],[Date]],"mmm")</f>
        <v>Dec</v>
      </c>
      <c r="P1421">
        <f>MONTH(Table1[[#This Row],[Date]])</f>
        <v>12</v>
      </c>
    </row>
    <row r="1422" spans="1:16" x14ac:dyDescent="0.25">
      <c r="A1422" t="s">
        <v>1441</v>
      </c>
      <c r="B1422" t="s">
        <v>31</v>
      </c>
      <c r="C1422" t="s">
        <v>12</v>
      </c>
      <c r="D1422" s="1">
        <v>45312</v>
      </c>
      <c r="E1422">
        <v>146513</v>
      </c>
      <c r="F1422">
        <v>6981</v>
      </c>
      <c r="G1422">
        <v>316</v>
      </c>
      <c r="H1422" s="4">
        <v>2544.16</v>
      </c>
      <c r="I1422" s="4">
        <v>32307.78</v>
      </c>
      <c r="J1422" s="7">
        <f>Table1[[#This Row],[Clicks]]/Table1[[#This Row],[Impressions]]</f>
        <v>4.7647649014080661E-2</v>
      </c>
      <c r="K1422" s="7">
        <f>IFERROR(Table1[[#This Row],[Conversions]]/Table1[[#This Row],[Clicks]],0)</f>
        <v>4.5265721243374878E-2</v>
      </c>
      <c r="L1422" s="6">
        <f>IF(Table1[[#This Row],[Conversions]]=0,0,Table1[[#This Row],[Ad Spend]]/Table1[[#This Row],[Conversions]])</f>
        <v>8.0511392405063287</v>
      </c>
      <c r="M1422" s="8">
        <f>IF(Table1[[#This Row],[Ad Spend]]=0,0,Table1[[#This Row],[Revenue]]/Table1[[#This Row],[Ad Spend]])</f>
        <v>12.698800389912584</v>
      </c>
      <c r="N1422">
        <f>YEAR(Table1[[#This Row],[Date]])</f>
        <v>2024</v>
      </c>
      <c r="O1422" t="str">
        <f>TEXT(Table1[[#This Row],[Date]],"mmm")</f>
        <v>Jan</v>
      </c>
      <c r="P1422">
        <f>MONTH(Table1[[#This Row],[Date]])</f>
        <v>1</v>
      </c>
    </row>
    <row r="1423" spans="1:16" x14ac:dyDescent="0.25">
      <c r="A1423" t="s">
        <v>1442</v>
      </c>
      <c r="B1423" t="s">
        <v>47</v>
      </c>
      <c r="C1423" t="s">
        <v>37</v>
      </c>
      <c r="D1423" s="1">
        <v>45436</v>
      </c>
      <c r="E1423">
        <v>116805</v>
      </c>
      <c r="F1423">
        <v>7153</v>
      </c>
      <c r="G1423">
        <v>627</v>
      </c>
      <c r="H1423" s="4">
        <v>4188.9799999999996</v>
      </c>
      <c r="I1423" s="4">
        <v>31032.84</v>
      </c>
      <c r="J1423" s="7">
        <f>Table1[[#This Row],[Clicks]]/Table1[[#This Row],[Impressions]]</f>
        <v>6.1238816831471254E-2</v>
      </c>
      <c r="K1423" s="7">
        <f>IFERROR(Table1[[#This Row],[Conversions]]/Table1[[#This Row],[Clicks]],0)</f>
        <v>8.7655529148608982E-2</v>
      </c>
      <c r="L1423" s="6">
        <f>IF(Table1[[#This Row],[Conversions]]=0,0,Table1[[#This Row],[Ad Spend]]/Table1[[#This Row],[Conversions]])</f>
        <v>6.6809888357256773</v>
      </c>
      <c r="M1423" s="8">
        <f>IF(Table1[[#This Row],[Ad Spend]]=0,0,Table1[[#This Row],[Revenue]]/Table1[[#This Row],[Ad Spend]])</f>
        <v>7.4082091583153904</v>
      </c>
      <c r="N1423">
        <f>YEAR(Table1[[#This Row],[Date]])</f>
        <v>2024</v>
      </c>
      <c r="O1423" t="str">
        <f>TEXT(Table1[[#This Row],[Date]],"mmm")</f>
        <v>May</v>
      </c>
      <c r="P1423">
        <f>MONTH(Table1[[#This Row],[Date]])</f>
        <v>5</v>
      </c>
    </row>
    <row r="1424" spans="1:16" x14ac:dyDescent="0.25">
      <c r="A1424" t="s">
        <v>1443</v>
      </c>
      <c r="B1424" t="s">
        <v>9</v>
      </c>
      <c r="C1424" t="s">
        <v>10</v>
      </c>
      <c r="D1424" s="1">
        <v>45519</v>
      </c>
      <c r="E1424">
        <v>118315</v>
      </c>
      <c r="F1424">
        <v>5268</v>
      </c>
      <c r="G1424">
        <v>164</v>
      </c>
      <c r="H1424" s="4">
        <v>856.73</v>
      </c>
      <c r="I1424" s="4">
        <v>7846.63</v>
      </c>
      <c r="J1424" s="7">
        <f>Table1[[#This Row],[Clicks]]/Table1[[#This Row],[Impressions]]</f>
        <v>4.4525208130837171E-2</v>
      </c>
      <c r="K1424" s="7">
        <f>IFERROR(Table1[[#This Row],[Conversions]]/Table1[[#This Row],[Clicks]],0)</f>
        <v>3.1131359149582385E-2</v>
      </c>
      <c r="L1424" s="6">
        <f>IF(Table1[[#This Row],[Conversions]]=0,0,Table1[[#This Row],[Ad Spend]]/Table1[[#This Row],[Conversions]])</f>
        <v>5.223963414634146</v>
      </c>
      <c r="M1424" s="8">
        <f>IF(Table1[[#This Row],[Ad Spend]]=0,0,Table1[[#This Row],[Revenue]]/Table1[[#This Row],[Ad Spend]])</f>
        <v>9.1588131616728727</v>
      </c>
      <c r="N1424">
        <f>YEAR(Table1[[#This Row],[Date]])</f>
        <v>2024</v>
      </c>
      <c r="O1424" t="str">
        <f>TEXT(Table1[[#This Row],[Date]],"mmm")</f>
        <v>Aug</v>
      </c>
      <c r="P1424">
        <f>MONTH(Table1[[#This Row],[Date]])</f>
        <v>8</v>
      </c>
    </row>
    <row r="1425" spans="1:16" x14ac:dyDescent="0.25">
      <c r="A1425" t="s">
        <v>1444</v>
      </c>
      <c r="B1425" t="s">
        <v>9</v>
      </c>
      <c r="C1425" t="s">
        <v>19</v>
      </c>
      <c r="D1425" s="1">
        <v>45703</v>
      </c>
      <c r="E1425">
        <v>25726</v>
      </c>
      <c r="F1425">
        <v>1597</v>
      </c>
      <c r="G1425">
        <v>78</v>
      </c>
      <c r="H1425" s="4">
        <v>556.88</v>
      </c>
      <c r="I1425" s="4">
        <v>2782.47</v>
      </c>
      <c r="J1425" s="7">
        <f>Table1[[#This Row],[Clicks]]/Table1[[#This Row],[Impressions]]</f>
        <v>6.2077275907642074E-2</v>
      </c>
      <c r="K1425" s="7">
        <f>IFERROR(Table1[[#This Row],[Conversions]]/Table1[[#This Row],[Clicks]],0)</f>
        <v>4.8841577958672514E-2</v>
      </c>
      <c r="L1425" s="6">
        <f>IF(Table1[[#This Row],[Conversions]]=0,0,Table1[[#This Row],[Ad Spend]]/Table1[[#This Row],[Conversions]])</f>
        <v>7.1394871794871797</v>
      </c>
      <c r="M1425" s="8">
        <f>IF(Table1[[#This Row],[Ad Spend]]=0,0,Table1[[#This Row],[Revenue]]/Table1[[#This Row],[Ad Spend]])</f>
        <v>4.9965342623186322</v>
      </c>
      <c r="N1425">
        <f>YEAR(Table1[[#This Row],[Date]])</f>
        <v>2025</v>
      </c>
      <c r="O1425" t="str">
        <f>TEXT(Table1[[#This Row],[Date]],"mmm")</f>
        <v>Feb</v>
      </c>
      <c r="P1425">
        <f>MONTH(Table1[[#This Row],[Date]])</f>
        <v>2</v>
      </c>
    </row>
    <row r="1426" spans="1:16" x14ac:dyDescent="0.25">
      <c r="A1426" t="s">
        <v>1445</v>
      </c>
      <c r="B1426" t="s">
        <v>47</v>
      </c>
      <c r="C1426" t="s">
        <v>19</v>
      </c>
      <c r="D1426" s="1">
        <v>45524</v>
      </c>
      <c r="E1426">
        <v>139439</v>
      </c>
      <c r="F1426">
        <v>7954</v>
      </c>
      <c r="G1426">
        <v>235</v>
      </c>
      <c r="H1426" s="4">
        <v>3502.1</v>
      </c>
      <c r="I1426" s="4">
        <v>25668.400000000001</v>
      </c>
      <c r="J1426" s="7">
        <f>Table1[[#This Row],[Clicks]]/Table1[[#This Row],[Impressions]]</f>
        <v>5.7042864621805953E-2</v>
      </c>
      <c r="K1426" s="7">
        <f>IFERROR(Table1[[#This Row],[Conversions]]/Table1[[#This Row],[Clicks]],0)</f>
        <v>2.9544883077696756E-2</v>
      </c>
      <c r="L1426" s="6">
        <f>IF(Table1[[#This Row],[Conversions]]=0,0,Table1[[#This Row],[Ad Spend]]/Table1[[#This Row],[Conversions]])</f>
        <v>14.902553191489361</v>
      </c>
      <c r="M1426" s="8">
        <f>IF(Table1[[#This Row],[Ad Spend]]=0,0,Table1[[#This Row],[Revenue]]/Table1[[#This Row],[Ad Spend]])</f>
        <v>7.3294309128808433</v>
      </c>
      <c r="N1426">
        <f>YEAR(Table1[[#This Row],[Date]])</f>
        <v>2024</v>
      </c>
      <c r="O1426" t="str">
        <f>TEXT(Table1[[#This Row],[Date]],"mmm")</f>
        <v>Aug</v>
      </c>
      <c r="P1426">
        <f>MONTH(Table1[[#This Row],[Date]])</f>
        <v>8</v>
      </c>
    </row>
    <row r="1427" spans="1:16" x14ac:dyDescent="0.25">
      <c r="A1427" t="s">
        <v>1446</v>
      </c>
      <c r="B1427" t="s">
        <v>31</v>
      </c>
      <c r="C1427" t="s">
        <v>17</v>
      </c>
      <c r="D1427" s="1">
        <v>45343</v>
      </c>
      <c r="E1427">
        <v>141654</v>
      </c>
      <c r="F1427">
        <v>4565</v>
      </c>
      <c r="G1427">
        <v>590</v>
      </c>
      <c r="H1427" s="4">
        <v>3373.43</v>
      </c>
      <c r="I1427" s="4">
        <v>63576.84</v>
      </c>
      <c r="J1427" s="7">
        <f>Table1[[#This Row],[Clicks]]/Table1[[#This Row],[Impressions]]</f>
        <v>3.2226410832027333E-2</v>
      </c>
      <c r="K1427" s="7">
        <f>IFERROR(Table1[[#This Row],[Conversions]]/Table1[[#This Row],[Clicks]],0)</f>
        <v>0.12924424972617743</v>
      </c>
      <c r="L1427" s="6">
        <f>IF(Table1[[#This Row],[Conversions]]=0,0,Table1[[#This Row],[Ad Spend]]/Table1[[#This Row],[Conversions]])</f>
        <v>5.7176779661016948</v>
      </c>
      <c r="M1427" s="8">
        <f>IF(Table1[[#This Row],[Ad Spend]]=0,0,Table1[[#This Row],[Revenue]]/Table1[[#This Row],[Ad Spend]])</f>
        <v>18.846349264694982</v>
      </c>
      <c r="N1427">
        <f>YEAR(Table1[[#This Row],[Date]])</f>
        <v>2024</v>
      </c>
      <c r="O1427" t="str">
        <f>TEXT(Table1[[#This Row],[Date]],"mmm")</f>
        <v>Feb</v>
      </c>
      <c r="P1427">
        <f>MONTH(Table1[[#This Row],[Date]])</f>
        <v>2</v>
      </c>
    </row>
    <row r="1428" spans="1:16" x14ac:dyDescent="0.25">
      <c r="A1428" t="s">
        <v>1447</v>
      </c>
      <c r="B1428" t="s">
        <v>31</v>
      </c>
      <c r="C1428" t="s">
        <v>10</v>
      </c>
      <c r="D1428" s="1">
        <v>45417</v>
      </c>
      <c r="E1428">
        <v>40880</v>
      </c>
      <c r="F1428">
        <v>2086</v>
      </c>
      <c r="G1428">
        <v>278</v>
      </c>
      <c r="H1428" s="4">
        <v>1257.01</v>
      </c>
      <c r="I1428" s="4">
        <v>10999.86</v>
      </c>
      <c r="J1428" s="7">
        <f>Table1[[#This Row],[Clicks]]/Table1[[#This Row],[Impressions]]</f>
        <v>5.1027397260273971E-2</v>
      </c>
      <c r="K1428" s="7">
        <f>IFERROR(Table1[[#This Row],[Conversions]]/Table1[[#This Row],[Clicks]],0)</f>
        <v>0.13326941514860979</v>
      </c>
      <c r="L1428" s="6">
        <f>IF(Table1[[#This Row],[Conversions]]=0,0,Table1[[#This Row],[Ad Spend]]/Table1[[#This Row],[Conversions]])</f>
        <v>4.5216187050359711</v>
      </c>
      <c r="M1428" s="8">
        <f>IF(Table1[[#This Row],[Ad Spend]]=0,0,Table1[[#This Row],[Revenue]]/Table1[[#This Row],[Ad Spend]])</f>
        <v>8.7508134382383602</v>
      </c>
      <c r="N1428">
        <f>YEAR(Table1[[#This Row],[Date]])</f>
        <v>2024</v>
      </c>
      <c r="O1428" t="str">
        <f>TEXT(Table1[[#This Row],[Date]],"mmm")</f>
        <v>May</v>
      </c>
      <c r="P1428">
        <f>MONTH(Table1[[#This Row],[Date]])</f>
        <v>5</v>
      </c>
    </row>
    <row r="1429" spans="1:16" x14ac:dyDescent="0.25">
      <c r="A1429" t="s">
        <v>1448</v>
      </c>
      <c r="B1429" t="s">
        <v>41</v>
      </c>
      <c r="C1429" t="s">
        <v>37</v>
      </c>
      <c r="D1429" s="1">
        <v>45540</v>
      </c>
      <c r="E1429">
        <v>54048</v>
      </c>
      <c r="F1429">
        <v>3315</v>
      </c>
      <c r="G1429">
        <v>188</v>
      </c>
      <c r="H1429" s="4">
        <v>1153.1500000000001</v>
      </c>
      <c r="I1429" s="4">
        <v>20226.240000000002</v>
      </c>
      <c r="J1429" s="7">
        <f>Table1[[#This Row],[Clicks]]/Table1[[#This Row],[Impressions]]</f>
        <v>6.1334369449378333E-2</v>
      </c>
      <c r="K1429" s="7">
        <f>IFERROR(Table1[[#This Row],[Conversions]]/Table1[[#This Row],[Clicks]],0)</f>
        <v>5.6711915535444947E-2</v>
      </c>
      <c r="L1429" s="6">
        <f>IF(Table1[[#This Row],[Conversions]]=0,0,Table1[[#This Row],[Ad Spend]]/Table1[[#This Row],[Conversions]])</f>
        <v>6.1337765957446813</v>
      </c>
      <c r="M1429" s="8">
        <f>IF(Table1[[#This Row],[Ad Spend]]=0,0,Table1[[#This Row],[Revenue]]/Table1[[#This Row],[Ad Spend]])</f>
        <v>17.539990460911415</v>
      </c>
      <c r="N1429">
        <f>YEAR(Table1[[#This Row],[Date]])</f>
        <v>2024</v>
      </c>
      <c r="O1429" t="str">
        <f>TEXT(Table1[[#This Row],[Date]],"mmm")</f>
        <v>Sept</v>
      </c>
      <c r="P1429">
        <f>MONTH(Table1[[#This Row],[Date]])</f>
        <v>9</v>
      </c>
    </row>
    <row r="1430" spans="1:16" x14ac:dyDescent="0.25">
      <c r="A1430" t="s">
        <v>1449</v>
      </c>
      <c r="B1430" t="s">
        <v>14</v>
      </c>
      <c r="C1430" t="s">
        <v>10</v>
      </c>
      <c r="D1430" s="1">
        <v>45514</v>
      </c>
      <c r="E1430">
        <v>22632</v>
      </c>
      <c r="F1430">
        <v>1003</v>
      </c>
      <c r="G1430">
        <v>99</v>
      </c>
      <c r="H1430" s="4">
        <v>3607.95</v>
      </c>
      <c r="I1430" s="4">
        <v>2364.25</v>
      </c>
      <c r="J1430" s="7">
        <f>Table1[[#This Row],[Clicks]]/Table1[[#This Row],[Impressions]]</f>
        <v>4.4317780134323081E-2</v>
      </c>
      <c r="K1430" s="7">
        <f>IFERROR(Table1[[#This Row],[Conversions]]/Table1[[#This Row],[Clicks]],0)</f>
        <v>9.8703888334995021E-2</v>
      </c>
      <c r="L1430" s="6">
        <f>IF(Table1[[#This Row],[Conversions]]=0,0,Table1[[#This Row],[Ad Spend]]/Table1[[#This Row],[Conversions]])</f>
        <v>36.443939393939395</v>
      </c>
      <c r="M1430" s="8">
        <f>IF(Table1[[#This Row],[Ad Spend]]=0,0,Table1[[#This Row],[Revenue]]/Table1[[#This Row],[Ad Spend]])</f>
        <v>0.65528901453734123</v>
      </c>
      <c r="N1430">
        <f>YEAR(Table1[[#This Row],[Date]])</f>
        <v>2024</v>
      </c>
      <c r="O1430" t="str">
        <f>TEXT(Table1[[#This Row],[Date]],"mmm")</f>
        <v>Aug</v>
      </c>
      <c r="P1430">
        <f>MONTH(Table1[[#This Row],[Date]])</f>
        <v>8</v>
      </c>
    </row>
    <row r="1431" spans="1:16" x14ac:dyDescent="0.25">
      <c r="A1431" t="s">
        <v>1450</v>
      </c>
      <c r="B1431" t="s">
        <v>34</v>
      </c>
      <c r="C1431" t="s">
        <v>12</v>
      </c>
      <c r="D1431" s="1">
        <v>45486</v>
      </c>
      <c r="E1431">
        <v>66529</v>
      </c>
      <c r="F1431">
        <v>3635</v>
      </c>
      <c r="G1431">
        <v>301</v>
      </c>
      <c r="H1431" s="4">
        <v>3353.32</v>
      </c>
      <c r="I1431" s="4">
        <v>11439.94</v>
      </c>
      <c r="J1431" s="7">
        <f>Table1[[#This Row],[Clicks]]/Table1[[#This Row],[Impressions]]</f>
        <v>5.463782711298832E-2</v>
      </c>
      <c r="K1431" s="7">
        <f>IFERROR(Table1[[#This Row],[Conversions]]/Table1[[#This Row],[Clicks]],0)</f>
        <v>8.2806052269601096E-2</v>
      </c>
      <c r="L1431" s="6">
        <f>IF(Table1[[#This Row],[Conversions]]=0,0,Table1[[#This Row],[Ad Spend]]/Table1[[#This Row],[Conversions]])</f>
        <v>11.140598006644518</v>
      </c>
      <c r="M1431" s="8">
        <f>IF(Table1[[#This Row],[Ad Spend]]=0,0,Table1[[#This Row],[Revenue]]/Table1[[#This Row],[Ad Spend]])</f>
        <v>3.4115264871828517</v>
      </c>
      <c r="N1431">
        <f>YEAR(Table1[[#This Row],[Date]])</f>
        <v>2024</v>
      </c>
      <c r="O1431" t="str">
        <f>TEXT(Table1[[#This Row],[Date]],"mmm")</f>
        <v>Jul</v>
      </c>
      <c r="P1431">
        <f>MONTH(Table1[[#This Row],[Date]])</f>
        <v>7</v>
      </c>
    </row>
    <row r="1432" spans="1:16" x14ac:dyDescent="0.25">
      <c r="A1432" t="s">
        <v>1451</v>
      </c>
      <c r="B1432" t="s">
        <v>34</v>
      </c>
      <c r="C1432" t="s">
        <v>37</v>
      </c>
      <c r="D1432" s="1">
        <v>45441</v>
      </c>
      <c r="E1432">
        <v>132155</v>
      </c>
      <c r="F1432">
        <v>5856</v>
      </c>
      <c r="G1432">
        <v>596</v>
      </c>
      <c r="H1432" s="4">
        <v>3069.64</v>
      </c>
      <c r="I1432" s="4">
        <v>44307.43</v>
      </c>
      <c r="J1432" s="7">
        <f>Table1[[#This Row],[Clicks]]/Table1[[#This Row],[Impressions]]</f>
        <v>4.4311603798569861E-2</v>
      </c>
      <c r="K1432" s="7">
        <f>IFERROR(Table1[[#This Row],[Conversions]]/Table1[[#This Row],[Clicks]],0)</f>
        <v>0.10177595628415301</v>
      </c>
      <c r="L1432" s="6">
        <f>IF(Table1[[#This Row],[Conversions]]=0,0,Table1[[#This Row],[Ad Spend]]/Table1[[#This Row],[Conversions]])</f>
        <v>5.1504026845637583</v>
      </c>
      <c r="M1432" s="8">
        <f>IF(Table1[[#This Row],[Ad Spend]]=0,0,Table1[[#This Row],[Revenue]]/Table1[[#This Row],[Ad Spend]])</f>
        <v>14.434080217875712</v>
      </c>
      <c r="N1432">
        <f>YEAR(Table1[[#This Row],[Date]])</f>
        <v>2024</v>
      </c>
      <c r="O1432" t="str">
        <f>TEXT(Table1[[#This Row],[Date]],"mmm")</f>
        <v>May</v>
      </c>
      <c r="P1432">
        <f>MONTH(Table1[[#This Row],[Date]])</f>
        <v>5</v>
      </c>
    </row>
    <row r="1433" spans="1:16" x14ac:dyDescent="0.25">
      <c r="A1433" t="s">
        <v>1452</v>
      </c>
      <c r="B1433" t="s">
        <v>34</v>
      </c>
      <c r="C1433" t="s">
        <v>10</v>
      </c>
      <c r="D1433" s="1">
        <v>45404</v>
      </c>
      <c r="E1433">
        <v>34456</v>
      </c>
      <c r="F1433">
        <v>2667</v>
      </c>
      <c r="G1433">
        <v>364</v>
      </c>
      <c r="H1433" s="4">
        <v>3866.9</v>
      </c>
      <c r="I1433" s="4">
        <v>22553.22</v>
      </c>
      <c r="J1433" s="7">
        <f>Table1[[#This Row],[Clicks]]/Table1[[#This Row],[Impressions]]</f>
        <v>7.740306477826793E-2</v>
      </c>
      <c r="K1433" s="7">
        <f>IFERROR(Table1[[#This Row],[Conversions]]/Table1[[#This Row],[Clicks]],0)</f>
        <v>0.13648293963254593</v>
      </c>
      <c r="L1433" s="6">
        <f>IF(Table1[[#This Row],[Conversions]]=0,0,Table1[[#This Row],[Ad Spend]]/Table1[[#This Row],[Conversions]])</f>
        <v>10.623351648351649</v>
      </c>
      <c r="M1433" s="8">
        <f>IF(Table1[[#This Row],[Ad Spend]]=0,0,Table1[[#This Row],[Revenue]]/Table1[[#This Row],[Ad Spend]])</f>
        <v>5.8323773565388297</v>
      </c>
      <c r="N1433">
        <f>YEAR(Table1[[#This Row],[Date]])</f>
        <v>2024</v>
      </c>
      <c r="O1433" t="str">
        <f>TEXT(Table1[[#This Row],[Date]],"mmm")</f>
        <v>Apr</v>
      </c>
      <c r="P1433">
        <f>MONTH(Table1[[#This Row],[Date]])</f>
        <v>4</v>
      </c>
    </row>
    <row r="1434" spans="1:16" x14ac:dyDescent="0.25">
      <c r="A1434" t="s">
        <v>1453</v>
      </c>
      <c r="B1434" t="s">
        <v>41</v>
      </c>
      <c r="C1434" t="s">
        <v>19</v>
      </c>
      <c r="D1434" s="1">
        <v>45418</v>
      </c>
      <c r="E1434">
        <v>116375</v>
      </c>
      <c r="F1434">
        <v>2107</v>
      </c>
      <c r="G1434">
        <v>169</v>
      </c>
      <c r="H1434" s="4">
        <v>1730.75</v>
      </c>
      <c r="I1434" s="4">
        <v>5298.76</v>
      </c>
      <c r="J1434" s="7">
        <f>Table1[[#This Row],[Clicks]]/Table1[[#This Row],[Impressions]]</f>
        <v>1.8105263157894735E-2</v>
      </c>
      <c r="K1434" s="7">
        <f>IFERROR(Table1[[#This Row],[Conversions]]/Table1[[#This Row],[Clicks]],0)</f>
        <v>8.0208827717133363E-2</v>
      </c>
      <c r="L1434" s="6">
        <f>IF(Table1[[#This Row],[Conversions]]=0,0,Table1[[#This Row],[Ad Spend]]/Table1[[#This Row],[Conversions]])</f>
        <v>10.241124260355029</v>
      </c>
      <c r="M1434" s="8">
        <f>IF(Table1[[#This Row],[Ad Spend]]=0,0,Table1[[#This Row],[Revenue]]/Table1[[#This Row],[Ad Spend]])</f>
        <v>3.0615397948866101</v>
      </c>
      <c r="N1434">
        <f>YEAR(Table1[[#This Row],[Date]])</f>
        <v>2024</v>
      </c>
      <c r="O1434" t="str">
        <f>TEXT(Table1[[#This Row],[Date]],"mmm")</f>
        <v>May</v>
      </c>
      <c r="P1434">
        <f>MONTH(Table1[[#This Row],[Date]])</f>
        <v>5</v>
      </c>
    </row>
    <row r="1435" spans="1:16" x14ac:dyDescent="0.25">
      <c r="A1435" t="s">
        <v>1454</v>
      </c>
      <c r="B1435" t="s">
        <v>21</v>
      </c>
      <c r="C1435" t="s">
        <v>37</v>
      </c>
      <c r="D1435" s="1">
        <v>45688</v>
      </c>
      <c r="E1435">
        <v>131809</v>
      </c>
      <c r="F1435">
        <v>9069</v>
      </c>
      <c r="G1435">
        <v>1200</v>
      </c>
      <c r="H1435" s="4">
        <v>3085.08</v>
      </c>
      <c r="I1435" s="4">
        <v>106466.63</v>
      </c>
      <c r="J1435" s="7">
        <f>Table1[[#This Row],[Clicks]]/Table1[[#This Row],[Impressions]]</f>
        <v>6.8804102906478315E-2</v>
      </c>
      <c r="K1435" s="7">
        <f>IFERROR(Table1[[#This Row],[Conversions]]/Table1[[#This Row],[Clicks]],0)</f>
        <v>0.13231888852133641</v>
      </c>
      <c r="L1435" s="6">
        <f>IF(Table1[[#This Row],[Conversions]]=0,0,Table1[[#This Row],[Ad Spend]]/Table1[[#This Row],[Conversions]])</f>
        <v>2.5709</v>
      </c>
      <c r="M1435" s="8">
        <f>IF(Table1[[#This Row],[Ad Spend]]=0,0,Table1[[#This Row],[Revenue]]/Table1[[#This Row],[Ad Spend]])</f>
        <v>34.510168293852999</v>
      </c>
      <c r="N1435">
        <f>YEAR(Table1[[#This Row],[Date]])</f>
        <v>2025</v>
      </c>
      <c r="O1435" t="str">
        <f>TEXT(Table1[[#This Row],[Date]],"mmm")</f>
        <v>Jan</v>
      </c>
      <c r="P1435">
        <f>MONTH(Table1[[#This Row],[Date]])</f>
        <v>1</v>
      </c>
    </row>
    <row r="1436" spans="1:16" x14ac:dyDescent="0.25">
      <c r="A1436" t="s">
        <v>1455</v>
      </c>
      <c r="B1436" t="s">
        <v>31</v>
      </c>
      <c r="C1436" t="s">
        <v>19</v>
      </c>
      <c r="D1436" s="1">
        <v>45429</v>
      </c>
      <c r="E1436">
        <v>138034</v>
      </c>
      <c r="F1436">
        <v>3458</v>
      </c>
      <c r="G1436">
        <v>451</v>
      </c>
      <c r="H1436" s="4">
        <v>2163.23</v>
      </c>
      <c r="I1436" s="4">
        <v>34377.800000000003</v>
      </c>
      <c r="J1436" s="7">
        <f>Table1[[#This Row],[Clicks]]/Table1[[#This Row],[Impressions]]</f>
        <v>2.5051798832171783E-2</v>
      </c>
      <c r="K1436" s="7">
        <f>IFERROR(Table1[[#This Row],[Conversions]]/Table1[[#This Row],[Clicks]],0)</f>
        <v>0.1304222093695778</v>
      </c>
      <c r="L1436" s="6">
        <f>IF(Table1[[#This Row],[Conversions]]=0,0,Table1[[#This Row],[Ad Spend]]/Table1[[#This Row],[Conversions]])</f>
        <v>4.7965188470066522</v>
      </c>
      <c r="M1436" s="8">
        <f>IF(Table1[[#This Row],[Ad Spend]]=0,0,Table1[[#This Row],[Revenue]]/Table1[[#This Row],[Ad Spend]])</f>
        <v>15.891883895840943</v>
      </c>
      <c r="N1436">
        <f>YEAR(Table1[[#This Row],[Date]])</f>
        <v>2024</v>
      </c>
      <c r="O1436" t="str">
        <f>TEXT(Table1[[#This Row],[Date]],"mmm")</f>
        <v>May</v>
      </c>
      <c r="P1436">
        <f>MONTH(Table1[[#This Row],[Date]])</f>
        <v>5</v>
      </c>
    </row>
    <row r="1437" spans="1:16" x14ac:dyDescent="0.25">
      <c r="A1437" t="s">
        <v>1456</v>
      </c>
      <c r="B1437" t="s">
        <v>47</v>
      </c>
      <c r="C1437" t="s">
        <v>19</v>
      </c>
      <c r="D1437" s="1">
        <v>45637</v>
      </c>
      <c r="E1437">
        <v>88261</v>
      </c>
      <c r="F1437">
        <v>3423</v>
      </c>
      <c r="G1437">
        <v>428</v>
      </c>
      <c r="H1437" s="4">
        <v>2240.96</v>
      </c>
      <c r="I1437" s="4">
        <v>19717.93</v>
      </c>
      <c r="J1437" s="7">
        <f>Table1[[#This Row],[Clicks]]/Table1[[#This Row],[Impressions]]</f>
        <v>3.8782701306352751E-2</v>
      </c>
      <c r="K1437" s="7">
        <f>IFERROR(Table1[[#This Row],[Conversions]]/Table1[[#This Row],[Clicks]],0)</f>
        <v>0.12503651767455448</v>
      </c>
      <c r="L1437" s="6">
        <f>IF(Table1[[#This Row],[Conversions]]=0,0,Table1[[#This Row],[Ad Spend]]/Table1[[#This Row],[Conversions]])</f>
        <v>5.2358878504672894</v>
      </c>
      <c r="M1437" s="8">
        <f>IF(Table1[[#This Row],[Ad Spend]]=0,0,Table1[[#This Row],[Revenue]]/Table1[[#This Row],[Ad Spend]])</f>
        <v>8.7988763744109662</v>
      </c>
      <c r="N1437">
        <f>YEAR(Table1[[#This Row],[Date]])</f>
        <v>2024</v>
      </c>
      <c r="O1437" t="str">
        <f>TEXT(Table1[[#This Row],[Date]],"mmm")</f>
        <v>Dec</v>
      </c>
      <c r="P1437">
        <f>MONTH(Table1[[#This Row],[Date]])</f>
        <v>12</v>
      </c>
    </row>
    <row r="1438" spans="1:16" x14ac:dyDescent="0.25">
      <c r="A1438" t="s">
        <v>1457</v>
      </c>
      <c r="B1438" t="s">
        <v>31</v>
      </c>
      <c r="C1438" t="s">
        <v>19</v>
      </c>
      <c r="D1438" s="1">
        <v>45540</v>
      </c>
      <c r="E1438">
        <v>62395</v>
      </c>
      <c r="F1438">
        <v>2108</v>
      </c>
      <c r="G1438">
        <v>266</v>
      </c>
      <c r="H1438" s="4">
        <v>1680.85</v>
      </c>
      <c r="I1438" s="4">
        <v>16220.99</v>
      </c>
      <c r="J1438" s="7">
        <f>Table1[[#This Row],[Clicks]]/Table1[[#This Row],[Impressions]]</f>
        <v>3.3784758394102089E-2</v>
      </c>
      <c r="K1438" s="7">
        <f>IFERROR(Table1[[#This Row],[Conversions]]/Table1[[#This Row],[Clicks]],0)</f>
        <v>0.12618595825426945</v>
      </c>
      <c r="L1438" s="6">
        <f>IF(Table1[[#This Row],[Conversions]]=0,0,Table1[[#This Row],[Ad Spend]]/Table1[[#This Row],[Conversions]])</f>
        <v>6.3189849624060148</v>
      </c>
      <c r="M1438" s="8">
        <f>IF(Table1[[#This Row],[Ad Spend]]=0,0,Table1[[#This Row],[Revenue]]/Table1[[#This Row],[Ad Spend]])</f>
        <v>9.6504685129547561</v>
      </c>
      <c r="N1438">
        <f>YEAR(Table1[[#This Row],[Date]])</f>
        <v>2024</v>
      </c>
      <c r="O1438" t="str">
        <f>TEXT(Table1[[#This Row],[Date]],"mmm")</f>
        <v>Sept</v>
      </c>
      <c r="P1438">
        <f>MONTH(Table1[[#This Row],[Date]])</f>
        <v>9</v>
      </c>
    </row>
    <row r="1439" spans="1:16" x14ac:dyDescent="0.25">
      <c r="A1439" t="s">
        <v>1458</v>
      </c>
      <c r="B1439" t="s">
        <v>16</v>
      </c>
      <c r="C1439" t="s">
        <v>12</v>
      </c>
      <c r="D1439" s="1">
        <v>45397</v>
      </c>
      <c r="E1439">
        <v>33918</v>
      </c>
      <c r="F1439">
        <v>2589</v>
      </c>
      <c r="G1439">
        <v>258</v>
      </c>
      <c r="H1439" s="4">
        <v>1782.48</v>
      </c>
      <c r="I1439" s="4">
        <v>20768</v>
      </c>
      <c r="J1439" s="7">
        <f>Table1[[#This Row],[Clicks]]/Table1[[#This Row],[Impressions]]</f>
        <v>7.6331151600919869E-2</v>
      </c>
      <c r="K1439" s="7">
        <f>IFERROR(Table1[[#This Row],[Conversions]]/Table1[[#This Row],[Clicks]],0)</f>
        <v>9.9652375434530704E-2</v>
      </c>
      <c r="L1439" s="6">
        <f>IF(Table1[[#This Row],[Conversions]]=0,0,Table1[[#This Row],[Ad Spend]]/Table1[[#This Row],[Conversions]])</f>
        <v>6.9088372093023258</v>
      </c>
      <c r="M1439" s="8">
        <f>IF(Table1[[#This Row],[Ad Spend]]=0,0,Table1[[#This Row],[Revenue]]/Table1[[#This Row],[Ad Spend]])</f>
        <v>11.651182621964903</v>
      </c>
      <c r="N1439">
        <f>YEAR(Table1[[#This Row],[Date]])</f>
        <v>2024</v>
      </c>
      <c r="O1439" t="str">
        <f>TEXT(Table1[[#This Row],[Date]],"mmm")</f>
        <v>Apr</v>
      </c>
      <c r="P1439">
        <f>MONTH(Table1[[#This Row],[Date]])</f>
        <v>4</v>
      </c>
    </row>
    <row r="1440" spans="1:16" x14ac:dyDescent="0.25">
      <c r="A1440" t="s">
        <v>1459</v>
      </c>
      <c r="B1440" t="s">
        <v>31</v>
      </c>
      <c r="C1440" t="s">
        <v>10</v>
      </c>
      <c r="D1440" s="1">
        <v>45702</v>
      </c>
      <c r="E1440">
        <v>104401</v>
      </c>
      <c r="F1440">
        <v>1703</v>
      </c>
      <c r="G1440">
        <v>190</v>
      </c>
      <c r="H1440" s="4">
        <v>4578.7</v>
      </c>
      <c r="I1440" s="4">
        <v>18370</v>
      </c>
      <c r="J1440" s="7">
        <f>Table1[[#This Row],[Clicks]]/Table1[[#This Row],[Impressions]]</f>
        <v>1.6312104290188791E-2</v>
      </c>
      <c r="K1440" s="7">
        <f>IFERROR(Table1[[#This Row],[Conversions]]/Table1[[#This Row],[Clicks]],0)</f>
        <v>0.11156782149148561</v>
      </c>
      <c r="L1440" s="6">
        <f>IF(Table1[[#This Row],[Conversions]]=0,0,Table1[[#This Row],[Ad Spend]]/Table1[[#This Row],[Conversions]])</f>
        <v>24.098421052631579</v>
      </c>
      <c r="M1440" s="8">
        <f>IF(Table1[[#This Row],[Ad Spend]]=0,0,Table1[[#This Row],[Revenue]]/Table1[[#This Row],[Ad Spend]])</f>
        <v>4.0120558237054187</v>
      </c>
      <c r="N1440">
        <f>YEAR(Table1[[#This Row],[Date]])</f>
        <v>2025</v>
      </c>
      <c r="O1440" t="str">
        <f>TEXT(Table1[[#This Row],[Date]],"mmm")</f>
        <v>Feb</v>
      </c>
      <c r="P1440">
        <f>MONTH(Table1[[#This Row],[Date]])</f>
        <v>2</v>
      </c>
    </row>
    <row r="1441" spans="1:16" x14ac:dyDescent="0.25">
      <c r="A1441" t="s">
        <v>1460</v>
      </c>
      <c r="B1441" t="s">
        <v>9</v>
      </c>
      <c r="C1441" t="s">
        <v>10</v>
      </c>
      <c r="D1441" s="1">
        <v>45557</v>
      </c>
      <c r="E1441">
        <v>60171</v>
      </c>
      <c r="F1441">
        <v>2126</v>
      </c>
      <c r="G1441">
        <v>97</v>
      </c>
      <c r="H1441" s="4">
        <v>953.57</v>
      </c>
      <c r="I1441" s="4">
        <v>7136.28</v>
      </c>
      <c r="J1441" s="7">
        <f>Table1[[#This Row],[Clicks]]/Table1[[#This Row],[Impressions]]</f>
        <v>3.5332635322663744E-2</v>
      </c>
      <c r="K1441" s="7">
        <f>IFERROR(Table1[[#This Row],[Conversions]]/Table1[[#This Row],[Clicks]],0)</f>
        <v>4.5625587958607716E-2</v>
      </c>
      <c r="L1441" s="6">
        <f>IF(Table1[[#This Row],[Conversions]]=0,0,Table1[[#This Row],[Ad Spend]]/Table1[[#This Row],[Conversions]])</f>
        <v>9.8306185567010314</v>
      </c>
      <c r="M1441" s="8">
        <f>IF(Table1[[#This Row],[Ad Spend]]=0,0,Table1[[#This Row],[Revenue]]/Table1[[#This Row],[Ad Spend]])</f>
        <v>7.4837505374539877</v>
      </c>
      <c r="N1441">
        <f>YEAR(Table1[[#This Row],[Date]])</f>
        <v>2024</v>
      </c>
      <c r="O1441" t="str">
        <f>TEXT(Table1[[#This Row],[Date]],"mmm")</f>
        <v>Sept</v>
      </c>
      <c r="P1441">
        <f>MONTH(Table1[[#This Row],[Date]])</f>
        <v>9</v>
      </c>
    </row>
    <row r="1442" spans="1:16" x14ac:dyDescent="0.25">
      <c r="A1442" t="s">
        <v>1461</v>
      </c>
      <c r="B1442" t="s">
        <v>14</v>
      </c>
      <c r="C1442" t="s">
        <v>19</v>
      </c>
      <c r="D1442" s="1">
        <v>45702</v>
      </c>
      <c r="E1442">
        <v>47311</v>
      </c>
      <c r="F1442">
        <v>3488</v>
      </c>
      <c r="G1442">
        <v>220</v>
      </c>
      <c r="H1442" s="4">
        <v>1234.95</v>
      </c>
      <c r="I1442" s="4">
        <v>20533.36</v>
      </c>
      <c r="J1442" s="7">
        <f>Table1[[#This Row],[Clicks]]/Table1[[#This Row],[Impressions]]</f>
        <v>7.372492654985098E-2</v>
      </c>
      <c r="K1442" s="7">
        <f>IFERROR(Table1[[#This Row],[Conversions]]/Table1[[#This Row],[Clicks]],0)</f>
        <v>6.3073394495412841E-2</v>
      </c>
      <c r="L1442" s="6">
        <f>IF(Table1[[#This Row],[Conversions]]=0,0,Table1[[#This Row],[Ad Spend]]/Table1[[#This Row],[Conversions]])</f>
        <v>5.6134090909090908</v>
      </c>
      <c r="M1442" s="8">
        <f>IF(Table1[[#This Row],[Ad Spend]]=0,0,Table1[[#This Row],[Revenue]]/Table1[[#This Row],[Ad Spend]])</f>
        <v>16.626875582007369</v>
      </c>
      <c r="N1442">
        <f>YEAR(Table1[[#This Row],[Date]])</f>
        <v>2025</v>
      </c>
      <c r="O1442" t="str">
        <f>TEXT(Table1[[#This Row],[Date]],"mmm")</f>
        <v>Feb</v>
      </c>
      <c r="P1442">
        <f>MONTH(Table1[[#This Row],[Date]])</f>
        <v>2</v>
      </c>
    </row>
    <row r="1443" spans="1:16" x14ac:dyDescent="0.25">
      <c r="A1443" t="s">
        <v>1462</v>
      </c>
      <c r="B1443" t="s">
        <v>31</v>
      </c>
      <c r="C1443" t="s">
        <v>10</v>
      </c>
      <c r="D1443" s="1">
        <v>45302</v>
      </c>
      <c r="E1443">
        <v>143033</v>
      </c>
      <c r="F1443">
        <v>2456</v>
      </c>
      <c r="G1443">
        <v>176</v>
      </c>
      <c r="H1443" s="4">
        <v>2527.52</v>
      </c>
      <c r="I1443" s="4">
        <v>6282.24</v>
      </c>
      <c r="J1443" s="7">
        <f>Table1[[#This Row],[Clicks]]/Table1[[#This Row],[Impressions]]</f>
        <v>1.7170862668055623E-2</v>
      </c>
      <c r="K1443" s="7">
        <f>IFERROR(Table1[[#This Row],[Conversions]]/Table1[[#This Row],[Clicks]],0)</f>
        <v>7.1661237785016291E-2</v>
      </c>
      <c r="L1443" s="6">
        <f>IF(Table1[[#This Row],[Conversions]]=0,0,Table1[[#This Row],[Ad Spend]]/Table1[[#This Row],[Conversions]])</f>
        <v>14.360909090909091</v>
      </c>
      <c r="M1443" s="8">
        <f>IF(Table1[[#This Row],[Ad Spend]]=0,0,Table1[[#This Row],[Revenue]]/Table1[[#This Row],[Ad Spend]])</f>
        <v>2.4855352282078873</v>
      </c>
      <c r="N1443">
        <f>YEAR(Table1[[#This Row],[Date]])</f>
        <v>2024</v>
      </c>
      <c r="O1443" t="str">
        <f>TEXT(Table1[[#This Row],[Date]],"mmm")</f>
        <v>Jan</v>
      </c>
      <c r="P1443">
        <f>MONTH(Table1[[#This Row],[Date]])</f>
        <v>1</v>
      </c>
    </row>
    <row r="1444" spans="1:16" x14ac:dyDescent="0.25">
      <c r="A1444" t="s">
        <v>1463</v>
      </c>
      <c r="B1444" t="s">
        <v>34</v>
      </c>
      <c r="C1444" t="s">
        <v>10</v>
      </c>
      <c r="D1444" s="1">
        <v>45409</v>
      </c>
      <c r="E1444">
        <v>69830</v>
      </c>
      <c r="F1444">
        <v>863</v>
      </c>
      <c r="G1444">
        <v>101</v>
      </c>
      <c r="H1444" s="4">
        <v>4102.38</v>
      </c>
      <c r="I1444" s="4">
        <v>5836.35</v>
      </c>
      <c r="J1444" s="7">
        <f>Table1[[#This Row],[Clicks]]/Table1[[#This Row],[Impressions]]</f>
        <v>1.2358585135328655E-2</v>
      </c>
      <c r="K1444" s="7">
        <f>IFERROR(Table1[[#This Row],[Conversions]]/Table1[[#This Row],[Clicks]],0)</f>
        <v>0.11703360370799537</v>
      </c>
      <c r="L1444" s="6">
        <f>IF(Table1[[#This Row],[Conversions]]=0,0,Table1[[#This Row],[Ad Spend]]/Table1[[#This Row],[Conversions]])</f>
        <v>40.61762376237624</v>
      </c>
      <c r="M1444" s="8">
        <f>IF(Table1[[#This Row],[Ad Spend]]=0,0,Table1[[#This Row],[Revenue]]/Table1[[#This Row],[Ad Spend]])</f>
        <v>1.4226741550027058</v>
      </c>
      <c r="N1444">
        <f>YEAR(Table1[[#This Row],[Date]])</f>
        <v>2024</v>
      </c>
      <c r="O1444" t="str">
        <f>TEXT(Table1[[#This Row],[Date]],"mmm")</f>
        <v>Apr</v>
      </c>
      <c r="P1444">
        <f>MONTH(Table1[[#This Row],[Date]])</f>
        <v>4</v>
      </c>
    </row>
    <row r="1445" spans="1:16" x14ac:dyDescent="0.25">
      <c r="A1445" t="s">
        <v>1464</v>
      </c>
      <c r="B1445" t="s">
        <v>21</v>
      </c>
      <c r="C1445" t="s">
        <v>37</v>
      </c>
      <c r="D1445" s="1">
        <v>45710</v>
      </c>
      <c r="E1445">
        <v>75778</v>
      </c>
      <c r="F1445">
        <v>5330</v>
      </c>
      <c r="G1445">
        <v>159</v>
      </c>
      <c r="H1445" s="4">
        <v>2621.65</v>
      </c>
      <c r="I1445" s="4">
        <v>14365.48</v>
      </c>
      <c r="J1445" s="7">
        <f>Table1[[#This Row],[Clicks]]/Table1[[#This Row],[Impressions]]</f>
        <v>7.0337037134788463E-2</v>
      </c>
      <c r="K1445" s="7">
        <f>IFERROR(Table1[[#This Row],[Conversions]]/Table1[[#This Row],[Clicks]],0)</f>
        <v>2.9831144465290806E-2</v>
      </c>
      <c r="L1445" s="6">
        <f>IF(Table1[[#This Row],[Conversions]]=0,0,Table1[[#This Row],[Ad Spend]]/Table1[[#This Row],[Conversions]])</f>
        <v>16.488364779874214</v>
      </c>
      <c r="M1445" s="8">
        <f>IF(Table1[[#This Row],[Ad Spend]]=0,0,Table1[[#This Row],[Revenue]]/Table1[[#This Row],[Ad Spend]])</f>
        <v>5.479556767684473</v>
      </c>
      <c r="N1445">
        <f>YEAR(Table1[[#This Row],[Date]])</f>
        <v>2025</v>
      </c>
      <c r="O1445" t="str">
        <f>TEXT(Table1[[#This Row],[Date]],"mmm")</f>
        <v>Feb</v>
      </c>
      <c r="P1445">
        <f>MONTH(Table1[[#This Row],[Date]])</f>
        <v>2</v>
      </c>
    </row>
    <row r="1446" spans="1:16" x14ac:dyDescent="0.25">
      <c r="A1446" t="s">
        <v>1465</v>
      </c>
      <c r="B1446" t="s">
        <v>21</v>
      </c>
      <c r="C1446" t="s">
        <v>10</v>
      </c>
      <c r="D1446" s="1">
        <v>45299</v>
      </c>
      <c r="E1446">
        <v>147002</v>
      </c>
      <c r="F1446">
        <v>7694</v>
      </c>
      <c r="G1446">
        <v>305</v>
      </c>
      <c r="H1446" s="4">
        <v>3732.19</v>
      </c>
      <c r="I1446" s="4">
        <v>30274.91</v>
      </c>
      <c r="J1446" s="7">
        <f>Table1[[#This Row],[Clicks]]/Table1[[#This Row],[Impressions]]</f>
        <v>5.2339423953415599E-2</v>
      </c>
      <c r="K1446" s="7">
        <f>IFERROR(Table1[[#This Row],[Conversions]]/Table1[[#This Row],[Clicks]],0)</f>
        <v>3.9641278918637897E-2</v>
      </c>
      <c r="L1446" s="6">
        <f>IF(Table1[[#This Row],[Conversions]]=0,0,Table1[[#This Row],[Ad Spend]]/Table1[[#This Row],[Conversions]])</f>
        <v>12.236688524590164</v>
      </c>
      <c r="M1446" s="8">
        <f>IF(Table1[[#This Row],[Ad Spend]]=0,0,Table1[[#This Row],[Revenue]]/Table1[[#This Row],[Ad Spend]])</f>
        <v>8.1118351423694932</v>
      </c>
      <c r="N1446">
        <f>YEAR(Table1[[#This Row],[Date]])</f>
        <v>2024</v>
      </c>
      <c r="O1446" t="str">
        <f>TEXT(Table1[[#This Row],[Date]],"mmm")</f>
        <v>Jan</v>
      </c>
      <c r="P1446">
        <f>MONTH(Table1[[#This Row],[Date]])</f>
        <v>1</v>
      </c>
    </row>
    <row r="1447" spans="1:16" x14ac:dyDescent="0.25">
      <c r="A1447" t="s">
        <v>1466</v>
      </c>
      <c r="B1447" t="s">
        <v>14</v>
      </c>
      <c r="C1447" t="s">
        <v>12</v>
      </c>
      <c r="D1447" s="1">
        <v>45451</v>
      </c>
      <c r="E1447">
        <v>89863</v>
      </c>
      <c r="F1447">
        <v>3573</v>
      </c>
      <c r="G1447">
        <v>416</v>
      </c>
      <c r="H1447" s="4">
        <v>1650.34</v>
      </c>
      <c r="I1447" s="4">
        <v>27410.47</v>
      </c>
      <c r="J1447" s="7">
        <f>Table1[[#This Row],[Clicks]]/Table1[[#This Row],[Impressions]]</f>
        <v>3.9760524353738468E-2</v>
      </c>
      <c r="K1447" s="7">
        <f>IFERROR(Table1[[#This Row],[Conversions]]/Table1[[#This Row],[Clicks]],0)</f>
        <v>0.11642877134061014</v>
      </c>
      <c r="L1447" s="6">
        <f>IF(Table1[[#This Row],[Conversions]]=0,0,Table1[[#This Row],[Ad Spend]]/Table1[[#This Row],[Conversions]])</f>
        <v>3.9671634615384614</v>
      </c>
      <c r="M1447" s="8">
        <f>IF(Table1[[#This Row],[Ad Spend]]=0,0,Table1[[#This Row],[Revenue]]/Table1[[#This Row],[Ad Spend]])</f>
        <v>16.6089836033787</v>
      </c>
      <c r="N1447">
        <f>YEAR(Table1[[#This Row],[Date]])</f>
        <v>2024</v>
      </c>
      <c r="O1447" t="str">
        <f>TEXT(Table1[[#This Row],[Date]],"mmm")</f>
        <v>Jun</v>
      </c>
      <c r="P1447">
        <f>MONTH(Table1[[#This Row],[Date]])</f>
        <v>6</v>
      </c>
    </row>
    <row r="1448" spans="1:16" x14ac:dyDescent="0.25">
      <c r="A1448" t="s">
        <v>1467</v>
      </c>
      <c r="B1448" t="s">
        <v>9</v>
      </c>
      <c r="C1448" t="s">
        <v>19</v>
      </c>
      <c r="D1448" s="1">
        <v>45627</v>
      </c>
      <c r="E1448">
        <v>128574</v>
      </c>
      <c r="F1448">
        <v>4675</v>
      </c>
      <c r="G1448">
        <v>354</v>
      </c>
      <c r="H1448" s="4">
        <v>1266.81</v>
      </c>
      <c r="I1448" s="4">
        <v>21464.11</v>
      </c>
      <c r="J1448" s="7">
        <f>Table1[[#This Row],[Clicks]]/Table1[[#This Row],[Impressions]]</f>
        <v>3.636038390343304E-2</v>
      </c>
      <c r="K1448" s="7">
        <f>IFERROR(Table1[[#This Row],[Conversions]]/Table1[[#This Row],[Clicks]],0)</f>
        <v>7.5721925133689846E-2</v>
      </c>
      <c r="L1448" s="6">
        <f>IF(Table1[[#This Row],[Conversions]]=0,0,Table1[[#This Row],[Ad Spend]]/Table1[[#This Row],[Conversions]])</f>
        <v>3.578559322033898</v>
      </c>
      <c r="M1448" s="8">
        <f>IF(Table1[[#This Row],[Ad Spend]]=0,0,Table1[[#This Row],[Revenue]]/Table1[[#This Row],[Ad Spend]])</f>
        <v>16.943432716824152</v>
      </c>
      <c r="N1448">
        <f>YEAR(Table1[[#This Row],[Date]])</f>
        <v>2024</v>
      </c>
      <c r="O1448" t="str">
        <f>TEXT(Table1[[#This Row],[Date]],"mmm")</f>
        <v>Dec</v>
      </c>
      <c r="P1448">
        <f>MONTH(Table1[[#This Row],[Date]])</f>
        <v>12</v>
      </c>
    </row>
    <row r="1449" spans="1:16" x14ac:dyDescent="0.25">
      <c r="A1449" t="s">
        <v>1468</v>
      </c>
      <c r="B1449" t="s">
        <v>34</v>
      </c>
      <c r="C1449" t="s">
        <v>17</v>
      </c>
      <c r="D1449" s="1">
        <v>45437</v>
      </c>
      <c r="E1449">
        <v>144776</v>
      </c>
      <c r="F1449">
        <v>6581</v>
      </c>
      <c r="G1449">
        <v>458</v>
      </c>
      <c r="H1449" s="4">
        <v>4967.1400000000003</v>
      </c>
      <c r="I1449" s="4">
        <v>42482.13</v>
      </c>
      <c r="J1449" s="7">
        <f>Table1[[#This Row],[Clicks]]/Table1[[#This Row],[Impressions]]</f>
        <v>4.5456429242415872E-2</v>
      </c>
      <c r="K1449" s="7">
        <f>IFERROR(Table1[[#This Row],[Conversions]]/Table1[[#This Row],[Clicks]],0)</f>
        <v>6.9594286582586234E-2</v>
      </c>
      <c r="L1449" s="6">
        <f>IF(Table1[[#This Row],[Conversions]]=0,0,Table1[[#This Row],[Ad Spend]]/Table1[[#This Row],[Conversions]])</f>
        <v>10.84528384279476</v>
      </c>
      <c r="M1449" s="8">
        <f>IF(Table1[[#This Row],[Ad Spend]]=0,0,Table1[[#This Row],[Revenue]]/Table1[[#This Row],[Ad Spend]])</f>
        <v>8.5526339100568922</v>
      </c>
      <c r="N1449">
        <f>YEAR(Table1[[#This Row],[Date]])</f>
        <v>2024</v>
      </c>
      <c r="O1449" t="str">
        <f>TEXT(Table1[[#This Row],[Date]],"mmm")</f>
        <v>May</v>
      </c>
      <c r="P1449">
        <f>MONTH(Table1[[#This Row],[Date]])</f>
        <v>5</v>
      </c>
    </row>
    <row r="1450" spans="1:16" x14ac:dyDescent="0.25">
      <c r="A1450" t="s">
        <v>1469</v>
      </c>
      <c r="B1450" t="s">
        <v>47</v>
      </c>
      <c r="C1450" t="s">
        <v>12</v>
      </c>
      <c r="D1450" s="1">
        <v>45657</v>
      </c>
      <c r="E1450">
        <v>33391</v>
      </c>
      <c r="F1450">
        <v>1391</v>
      </c>
      <c r="G1450">
        <v>132</v>
      </c>
      <c r="H1450" s="4">
        <v>319.48</v>
      </c>
      <c r="I1450" s="4">
        <v>12819.92</v>
      </c>
      <c r="J1450" s="7">
        <f>Table1[[#This Row],[Clicks]]/Table1[[#This Row],[Impressions]]</f>
        <v>4.1657931778024015E-2</v>
      </c>
      <c r="K1450" s="7">
        <f>IFERROR(Table1[[#This Row],[Conversions]]/Table1[[#This Row],[Clicks]],0)</f>
        <v>9.4895758447160319E-2</v>
      </c>
      <c r="L1450" s="6">
        <f>IF(Table1[[#This Row],[Conversions]]=0,0,Table1[[#This Row],[Ad Spend]]/Table1[[#This Row],[Conversions]])</f>
        <v>2.4203030303030304</v>
      </c>
      <c r="M1450" s="8">
        <f>IF(Table1[[#This Row],[Ad Spend]]=0,0,Table1[[#This Row],[Revenue]]/Table1[[#This Row],[Ad Spend]])</f>
        <v>40.127457117816448</v>
      </c>
      <c r="N1450">
        <f>YEAR(Table1[[#This Row],[Date]])</f>
        <v>2024</v>
      </c>
      <c r="O1450" t="str">
        <f>TEXT(Table1[[#This Row],[Date]],"mmm")</f>
        <v>Dec</v>
      </c>
      <c r="P1450">
        <f>MONTH(Table1[[#This Row],[Date]])</f>
        <v>12</v>
      </c>
    </row>
    <row r="1451" spans="1:16" x14ac:dyDescent="0.25">
      <c r="A1451" t="s">
        <v>1470</v>
      </c>
      <c r="B1451" t="s">
        <v>41</v>
      </c>
      <c r="C1451" t="s">
        <v>19</v>
      </c>
      <c r="D1451" s="1">
        <v>45536</v>
      </c>
      <c r="E1451">
        <v>33560</v>
      </c>
      <c r="F1451">
        <v>1845</v>
      </c>
      <c r="G1451">
        <v>116</v>
      </c>
      <c r="H1451" s="4">
        <v>4086.47</v>
      </c>
      <c r="I1451" s="4">
        <v>13639.48</v>
      </c>
      <c r="J1451" s="7">
        <f>Table1[[#This Row],[Clicks]]/Table1[[#This Row],[Impressions]]</f>
        <v>5.4976162097735398E-2</v>
      </c>
      <c r="K1451" s="7">
        <f>IFERROR(Table1[[#This Row],[Conversions]]/Table1[[#This Row],[Clicks]],0)</f>
        <v>6.2872628726287266E-2</v>
      </c>
      <c r="L1451" s="6">
        <f>IF(Table1[[#This Row],[Conversions]]=0,0,Table1[[#This Row],[Ad Spend]]/Table1[[#This Row],[Conversions]])</f>
        <v>35.228189655172415</v>
      </c>
      <c r="M1451" s="8">
        <f>IF(Table1[[#This Row],[Ad Spend]]=0,0,Table1[[#This Row],[Revenue]]/Table1[[#This Row],[Ad Spend]])</f>
        <v>3.337716904810264</v>
      </c>
      <c r="N1451">
        <f>YEAR(Table1[[#This Row],[Date]])</f>
        <v>2024</v>
      </c>
      <c r="O1451" t="str">
        <f>TEXT(Table1[[#This Row],[Date]],"mmm")</f>
        <v>Sept</v>
      </c>
      <c r="P1451">
        <f>MONTH(Table1[[#This Row],[Date]])</f>
        <v>9</v>
      </c>
    </row>
    <row r="1452" spans="1:16" x14ac:dyDescent="0.25">
      <c r="A1452" t="s">
        <v>1471</v>
      </c>
      <c r="B1452" t="s">
        <v>9</v>
      </c>
      <c r="C1452" t="s">
        <v>12</v>
      </c>
      <c r="D1452" s="1">
        <v>45378</v>
      </c>
      <c r="E1452">
        <v>59442</v>
      </c>
      <c r="F1452">
        <v>4192</v>
      </c>
      <c r="G1452">
        <v>350</v>
      </c>
      <c r="H1452" s="4">
        <v>1399.85</v>
      </c>
      <c r="I1452" s="4">
        <v>11946.57</v>
      </c>
      <c r="J1452" s="7">
        <f>Table1[[#This Row],[Clicks]]/Table1[[#This Row],[Impressions]]</f>
        <v>7.0522526159954246E-2</v>
      </c>
      <c r="K1452" s="7">
        <f>IFERROR(Table1[[#This Row],[Conversions]]/Table1[[#This Row],[Clicks]],0)</f>
        <v>8.3492366412213734E-2</v>
      </c>
      <c r="L1452" s="6">
        <f>IF(Table1[[#This Row],[Conversions]]=0,0,Table1[[#This Row],[Ad Spend]]/Table1[[#This Row],[Conversions]])</f>
        <v>3.9995714285714281</v>
      </c>
      <c r="M1452" s="8">
        <f>IF(Table1[[#This Row],[Ad Spend]]=0,0,Table1[[#This Row],[Revenue]]/Table1[[#This Row],[Ad Spend]])</f>
        <v>8.5341786619994995</v>
      </c>
      <c r="N1452">
        <f>YEAR(Table1[[#This Row],[Date]])</f>
        <v>2024</v>
      </c>
      <c r="O1452" t="str">
        <f>TEXT(Table1[[#This Row],[Date]],"mmm")</f>
        <v>Mar</v>
      </c>
      <c r="P1452">
        <f>MONTH(Table1[[#This Row],[Date]])</f>
        <v>3</v>
      </c>
    </row>
    <row r="1453" spans="1:16" x14ac:dyDescent="0.25">
      <c r="A1453" t="s">
        <v>1472</v>
      </c>
      <c r="B1453" t="s">
        <v>41</v>
      </c>
      <c r="C1453" t="s">
        <v>12</v>
      </c>
      <c r="D1453" s="1">
        <v>45662</v>
      </c>
      <c r="E1453">
        <v>65930</v>
      </c>
      <c r="F1453">
        <v>931</v>
      </c>
      <c r="G1453">
        <v>78</v>
      </c>
      <c r="H1453" s="4">
        <v>2176.92</v>
      </c>
      <c r="I1453" s="4">
        <v>7335.99</v>
      </c>
      <c r="J1453" s="7">
        <f>Table1[[#This Row],[Clicks]]/Table1[[#This Row],[Impressions]]</f>
        <v>1.4121037463976945E-2</v>
      </c>
      <c r="K1453" s="7">
        <f>IFERROR(Table1[[#This Row],[Conversions]]/Table1[[#This Row],[Clicks]],0)</f>
        <v>8.3780880773361974E-2</v>
      </c>
      <c r="L1453" s="6">
        <f>IF(Table1[[#This Row],[Conversions]]=0,0,Table1[[#This Row],[Ad Spend]]/Table1[[#This Row],[Conversions]])</f>
        <v>27.909230769230771</v>
      </c>
      <c r="M1453" s="8">
        <f>IF(Table1[[#This Row],[Ad Spend]]=0,0,Table1[[#This Row],[Revenue]]/Table1[[#This Row],[Ad Spend]])</f>
        <v>3.3698941623945755</v>
      </c>
      <c r="N1453">
        <f>YEAR(Table1[[#This Row],[Date]])</f>
        <v>2025</v>
      </c>
      <c r="O1453" t="str">
        <f>TEXT(Table1[[#This Row],[Date]],"mmm")</f>
        <v>Jan</v>
      </c>
      <c r="P1453">
        <f>MONTH(Table1[[#This Row],[Date]])</f>
        <v>1</v>
      </c>
    </row>
    <row r="1454" spans="1:16" x14ac:dyDescent="0.25">
      <c r="A1454" t="s">
        <v>1473</v>
      </c>
      <c r="B1454" t="s">
        <v>16</v>
      </c>
      <c r="C1454" t="s">
        <v>10</v>
      </c>
      <c r="D1454" s="1">
        <v>45456</v>
      </c>
      <c r="E1454">
        <v>111570</v>
      </c>
      <c r="F1454">
        <v>7921</v>
      </c>
      <c r="G1454">
        <v>434</v>
      </c>
      <c r="H1454" s="4">
        <v>1204.28</v>
      </c>
      <c r="I1454" s="4">
        <v>33088.57</v>
      </c>
      <c r="J1454" s="7">
        <f>Table1[[#This Row],[Clicks]]/Table1[[#This Row],[Impressions]]</f>
        <v>7.0995787398046073E-2</v>
      </c>
      <c r="K1454" s="7">
        <f>IFERROR(Table1[[#This Row],[Conversions]]/Table1[[#This Row],[Clicks]],0)</f>
        <v>5.4791061734629463E-2</v>
      </c>
      <c r="L1454" s="6">
        <f>IF(Table1[[#This Row],[Conversions]]=0,0,Table1[[#This Row],[Ad Spend]]/Table1[[#This Row],[Conversions]])</f>
        <v>2.7748387096774194</v>
      </c>
      <c r="M1454" s="8">
        <f>IF(Table1[[#This Row],[Ad Spend]]=0,0,Table1[[#This Row],[Revenue]]/Table1[[#This Row],[Ad Spend]])</f>
        <v>27.475811273125853</v>
      </c>
      <c r="N1454">
        <f>YEAR(Table1[[#This Row],[Date]])</f>
        <v>2024</v>
      </c>
      <c r="O1454" t="str">
        <f>TEXT(Table1[[#This Row],[Date]],"mmm")</f>
        <v>Jun</v>
      </c>
      <c r="P1454">
        <f>MONTH(Table1[[#This Row],[Date]])</f>
        <v>6</v>
      </c>
    </row>
    <row r="1455" spans="1:16" x14ac:dyDescent="0.25">
      <c r="A1455" t="s">
        <v>1474</v>
      </c>
      <c r="B1455" t="s">
        <v>41</v>
      </c>
      <c r="C1455" t="s">
        <v>12</v>
      </c>
      <c r="D1455" s="1">
        <v>45547</v>
      </c>
      <c r="E1455">
        <v>87055</v>
      </c>
      <c r="F1455">
        <v>6717</v>
      </c>
      <c r="G1455">
        <v>340</v>
      </c>
      <c r="H1455" s="4">
        <v>2414.59</v>
      </c>
      <c r="I1455" s="4">
        <v>23221.88</v>
      </c>
      <c r="J1455" s="7">
        <f>Table1[[#This Row],[Clicks]]/Table1[[#This Row],[Impressions]]</f>
        <v>7.7158118430877026E-2</v>
      </c>
      <c r="K1455" s="7">
        <f>IFERROR(Table1[[#This Row],[Conversions]]/Table1[[#This Row],[Clicks]],0)</f>
        <v>5.0617835343159147E-2</v>
      </c>
      <c r="L1455" s="6">
        <f>IF(Table1[[#This Row],[Conversions]]=0,0,Table1[[#This Row],[Ad Spend]]/Table1[[#This Row],[Conversions]])</f>
        <v>7.1017352941176473</v>
      </c>
      <c r="M1455" s="8">
        <f>IF(Table1[[#This Row],[Ad Spend]]=0,0,Table1[[#This Row],[Revenue]]/Table1[[#This Row],[Ad Spend]])</f>
        <v>9.617318053996744</v>
      </c>
      <c r="N1455">
        <f>YEAR(Table1[[#This Row],[Date]])</f>
        <v>2024</v>
      </c>
      <c r="O1455" t="str">
        <f>TEXT(Table1[[#This Row],[Date]],"mmm")</f>
        <v>Sept</v>
      </c>
      <c r="P1455">
        <f>MONTH(Table1[[#This Row],[Date]])</f>
        <v>9</v>
      </c>
    </row>
    <row r="1456" spans="1:16" x14ac:dyDescent="0.25">
      <c r="A1456" t="s">
        <v>1475</v>
      </c>
      <c r="B1456" t="s">
        <v>9</v>
      </c>
      <c r="C1456" t="s">
        <v>10</v>
      </c>
      <c r="D1456" s="1">
        <v>45509</v>
      </c>
      <c r="E1456">
        <v>25317</v>
      </c>
      <c r="F1456">
        <v>918</v>
      </c>
      <c r="G1456">
        <v>108</v>
      </c>
      <c r="H1456" s="4">
        <v>978.05</v>
      </c>
      <c r="I1456" s="4">
        <v>10240.01</v>
      </c>
      <c r="J1456" s="7">
        <f>Table1[[#This Row],[Clicks]]/Table1[[#This Row],[Impressions]]</f>
        <v>3.6260220405261286E-2</v>
      </c>
      <c r="K1456" s="7">
        <f>IFERROR(Table1[[#This Row],[Conversions]]/Table1[[#This Row],[Clicks]],0)</f>
        <v>0.11764705882352941</v>
      </c>
      <c r="L1456" s="6">
        <f>IF(Table1[[#This Row],[Conversions]]=0,0,Table1[[#This Row],[Ad Spend]]/Table1[[#This Row],[Conversions]])</f>
        <v>9.0560185185185187</v>
      </c>
      <c r="M1456" s="8">
        <f>IF(Table1[[#This Row],[Ad Spend]]=0,0,Table1[[#This Row],[Revenue]]/Table1[[#This Row],[Ad Spend]])</f>
        <v>10.469822606206227</v>
      </c>
      <c r="N1456">
        <f>YEAR(Table1[[#This Row],[Date]])</f>
        <v>2024</v>
      </c>
      <c r="O1456" t="str">
        <f>TEXT(Table1[[#This Row],[Date]],"mmm")</f>
        <v>Aug</v>
      </c>
      <c r="P1456">
        <f>MONTH(Table1[[#This Row],[Date]])</f>
        <v>8</v>
      </c>
    </row>
    <row r="1457" spans="1:16" x14ac:dyDescent="0.25">
      <c r="A1457" t="s">
        <v>1476</v>
      </c>
      <c r="B1457" t="s">
        <v>16</v>
      </c>
      <c r="C1457" t="s">
        <v>37</v>
      </c>
      <c r="D1457" s="1">
        <v>45516</v>
      </c>
      <c r="E1457">
        <v>34796</v>
      </c>
      <c r="F1457">
        <v>443</v>
      </c>
      <c r="G1457">
        <v>33</v>
      </c>
      <c r="H1457" s="4">
        <v>1019.47</v>
      </c>
      <c r="I1457" s="4">
        <v>3310.41</v>
      </c>
      <c r="J1457" s="7">
        <f>Table1[[#This Row],[Clicks]]/Table1[[#This Row],[Impressions]]</f>
        <v>1.2731348430854121E-2</v>
      </c>
      <c r="K1457" s="7">
        <f>IFERROR(Table1[[#This Row],[Conversions]]/Table1[[#This Row],[Clicks]],0)</f>
        <v>7.4492099322799099E-2</v>
      </c>
      <c r="L1457" s="6">
        <f>IF(Table1[[#This Row],[Conversions]]=0,0,Table1[[#This Row],[Ad Spend]]/Table1[[#This Row],[Conversions]])</f>
        <v>30.893030303030304</v>
      </c>
      <c r="M1457" s="8">
        <f>IF(Table1[[#This Row],[Ad Spend]]=0,0,Table1[[#This Row],[Revenue]]/Table1[[#This Row],[Ad Spend]])</f>
        <v>3.2471872639704942</v>
      </c>
      <c r="N1457">
        <f>YEAR(Table1[[#This Row],[Date]])</f>
        <v>2024</v>
      </c>
      <c r="O1457" t="str">
        <f>TEXT(Table1[[#This Row],[Date]],"mmm")</f>
        <v>Aug</v>
      </c>
      <c r="P1457">
        <f>MONTH(Table1[[#This Row],[Date]])</f>
        <v>8</v>
      </c>
    </row>
    <row r="1458" spans="1:16" x14ac:dyDescent="0.25">
      <c r="A1458" t="s">
        <v>1477</v>
      </c>
      <c r="B1458" t="s">
        <v>41</v>
      </c>
      <c r="C1458" t="s">
        <v>37</v>
      </c>
      <c r="D1458" s="1">
        <v>45675</v>
      </c>
      <c r="E1458">
        <v>148415</v>
      </c>
      <c r="F1458">
        <v>5828</v>
      </c>
      <c r="G1458">
        <v>123</v>
      </c>
      <c r="H1458" s="4">
        <v>764.4</v>
      </c>
      <c r="I1458" s="4">
        <v>14707.66</v>
      </c>
      <c r="J1458" s="7">
        <f>Table1[[#This Row],[Clicks]]/Table1[[#This Row],[Impressions]]</f>
        <v>3.9268268032206989E-2</v>
      </c>
      <c r="K1458" s="7">
        <f>IFERROR(Table1[[#This Row],[Conversions]]/Table1[[#This Row],[Clicks]],0)</f>
        <v>2.1105010295126972E-2</v>
      </c>
      <c r="L1458" s="6">
        <f>IF(Table1[[#This Row],[Conversions]]=0,0,Table1[[#This Row],[Ad Spend]]/Table1[[#This Row],[Conversions]])</f>
        <v>6.2146341463414636</v>
      </c>
      <c r="M1458" s="8">
        <f>IF(Table1[[#This Row],[Ad Spend]]=0,0,Table1[[#This Row],[Revenue]]/Table1[[#This Row],[Ad Spend]])</f>
        <v>19.240790162218733</v>
      </c>
      <c r="N1458">
        <f>YEAR(Table1[[#This Row],[Date]])</f>
        <v>2025</v>
      </c>
      <c r="O1458" t="str">
        <f>TEXT(Table1[[#This Row],[Date]],"mmm")</f>
        <v>Jan</v>
      </c>
      <c r="P1458">
        <f>MONTH(Table1[[#This Row],[Date]])</f>
        <v>1</v>
      </c>
    </row>
    <row r="1459" spans="1:16" x14ac:dyDescent="0.25">
      <c r="A1459" t="s">
        <v>1478</v>
      </c>
      <c r="B1459" t="s">
        <v>34</v>
      </c>
      <c r="C1459" t="s">
        <v>12</v>
      </c>
      <c r="D1459" s="1">
        <v>45457</v>
      </c>
      <c r="E1459">
        <v>102421</v>
      </c>
      <c r="F1459">
        <v>5066</v>
      </c>
      <c r="G1459">
        <v>210</v>
      </c>
      <c r="H1459" s="4">
        <v>1592.94</v>
      </c>
      <c r="I1459" s="4">
        <v>18585.5</v>
      </c>
      <c r="J1459" s="7">
        <f>Table1[[#This Row],[Clicks]]/Table1[[#This Row],[Impressions]]</f>
        <v>4.9462512570664217E-2</v>
      </c>
      <c r="K1459" s="7">
        <f>IFERROR(Table1[[#This Row],[Conversions]]/Table1[[#This Row],[Clicks]],0)</f>
        <v>4.1452822739834187E-2</v>
      </c>
      <c r="L1459" s="6">
        <f>IF(Table1[[#This Row],[Conversions]]=0,0,Table1[[#This Row],[Ad Spend]]/Table1[[#This Row],[Conversions]])</f>
        <v>7.5854285714285714</v>
      </c>
      <c r="M1459" s="8">
        <f>IF(Table1[[#This Row],[Ad Spend]]=0,0,Table1[[#This Row],[Revenue]]/Table1[[#This Row],[Ad Spend]])</f>
        <v>11.667419990709003</v>
      </c>
      <c r="N1459">
        <f>YEAR(Table1[[#This Row],[Date]])</f>
        <v>2024</v>
      </c>
      <c r="O1459" t="str">
        <f>TEXT(Table1[[#This Row],[Date]],"mmm")</f>
        <v>Jun</v>
      </c>
      <c r="P1459">
        <f>MONTH(Table1[[#This Row],[Date]])</f>
        <v>6</v>
      </c>
    </row>
    <row r="1460" spans="1:16" x14ac:dyDescent="0.25">
      <c r="A1460" t="s">
        <v>1479</v>
      </c>
      <c r="B1460" t="s">
        <v>47</v>
      </c>
      <c r="C1460" t="s">
        <v>12</v>
      </c>
      <c r="D1460" s="1">
        <v>45601</v>
      </c>
      <c r="E1460">
        <v>70860</v>
      </c>
      <c r="F1460">
        <v>3050</v>
      </c>
      <c r="G1460">
        <v>144</v>
      </c>
      <c r="H1460" s="4">
        <v>1784.85</v>
      </c>
      <c r="I1460" s="4">
        <v>13633.41</v>
      </c>
      <c r="J1460" s="7">
        <f>Table1[[#This Row],[Clicks]]/Table1[[#This Row],[Impressions]]</f>
        <v>4.3042619249223819E-2</v>
      </c>
      <c r="K1460" s="7">
        <f>IFERROR(Table1[[#This Row],[Conversions]]/Table1[[#This Row],[Clicks]],0)</f>
        <v>4.7213114754098361E-2</v>
      </c>
      <c r="L1460" s="6">
        <f>IF(Table1[[#This Row],[Conversions]]=0,0,Table1[[#This Row],[Ad Spend]]/Table1[[#This Row],[Conversions]])</f>
        <v>12.394791666666666</v>
      </c>
      <c r="M1460" s="8">
        <f>IF(Table1[[#This Row],[Ad Spend]]=0,0,Table1[[#This Row],[Revenue]]/Table1[[#This Row],[Ad Spend]])</f>
        <v>7.6384065887889738</v>
      </c>
      <c r="N1460">
        <f>YEAR(Table1[[#This Row],[Date]])</f>
        <v>2024</v>
      </c>
      <c r="O1460" t="str">
        <f>TEXT(Table1[[#This Row],[Date]],"mmm")</f>
        <v>Nov</v>
      </c>
      <c r="P1460">
        <f>MONTH(Table1[[#This Row],[Date]])</f>
        <v>11</v>
      </c>
    </row>
    <row r="1461" spans="1:16" x14ac:dyDescent="0.25">
      <c r="A1461" t="s">
        <v>1480</v>
      </c>
      <c r="B1461" t="s">
        <v>16</v>
      </c>
      <c r="C1461" t="s">
        <v>37</v>
      </c>
      <c r="D1461" s="1">
        <v>45560</v>
      </c>
      <c r="E1461">
        <v>129222</v>
      </c>
      <c r="F1461">
        <v>1381</v>
      </c>
      <c r="G1461">
        <v>102</v>
      </c>
      <c r="H1461" s="4">
        <v>921.68</v>
      </c>
      <c r="I1461" s="4">
        <v>2723.89</v>
      </c>
      <c r="J1461" s="7">
        <f>Table1[[#This Row],[Clicks]]/Table1[[#This Row],[Impressions]]</f>
        <v>1.0687034715450929E-2</v>
      </c>
      <c r="K1461" s="7">
        <f>IFERROR(Table1[[#This Row],[Conversions]]/Table1[[#This Row],[Clicks]],0)</f>
        <v>7.3859522085445328E-2</v>
      </c>
      <c r="L1461" s="6">
        <f>IF(Table1[[#This Row],[Conversions]]=0,0,Table1[[#This Row],[Ad Spend]]/Table1[[#This Row],[Conversions]])</f>
        <v>9.0360784313725482</v>
      </c>
      <c r="M1461" s="8">
        <f>IF(Table1[[#This Row],[Ad Spend]]=0,0,Table1[[#This Row],[Revenue]]/Table1[[#This Row],[Ad Spend]])</f>
        <v>2.9553532679454908</v>
      </c>
      <c r="N1461">
        <f>YEAR(Table1[[#This Row],[Date]])</f>
        <v>2024</v>
      </c>
      <c r="O1461" t="str">
        <f>TEXT(Table1[[#This Row],[Date]],"mmm")</f>
        <v>Sept</v>
      </c>
      <c r="P1461">
        <f>MONTH(Table1[[#This Row],[Date]])</f>
        <v>9</v>
      </c>
    </row>
    <row r="1462" spans="1:16" x14ac:dyDescent="0.25">
      <c r="A1462" t="s">
        <v>1481</v>
      </c>
      <c r="B1462" t="s">
        <v>31</v>
      </c>
      <c r="C1462" t="s">
        <v>19</v>
      </c>
      <c r="D1462" s="1">
        <v>45651</v>
      </c>
      <c r="E1462">
        <v>54197</v>
      </c>
      <c r="F1462">
        <v>1297</v>
      </c>
      <c r="G1462">
        <v>41</v>
      </c>
      <c r="H1462" s="4">
        <v>2401.25</v>
      </c>
      <c r="I1462" s="4">
        <v>1208.33</v>
      </c>
      <c r="J1462" s="7">
        <f>Table1[[#This Row],[Clicks]]/Table1[[#This Row],[Impressions]]</f>
        <v>2.3931213904828681E-2</v>
      </c>
      <c r="K1462" s="7">
        <f>IFERROR(Table1[[#This Row],[Conversions]]/Table1[[#This Row],[Clicks]],0)</f>
        <v>3.1611410948342328E-2</v>
      </c>
      <c r="L1462" s="6">
        <f>IF(Table1[[#This Row],[Conversions]]=0,0,Table1[[#This Row],[Ad Spend]]/Table1[[#This Row],[Conversions]])</f>
        <v>58.56707317073171</v>
      </c>
      <c r="M1462" s="8">
        <f>IF(Table1[[#This Row],[Ad Spend]]=0,0,Table1[[#This Row],[Revenue]]/Table1[[#This Row],[Ad Spend]])</f>
        <v>0.50320874544508065</v>
      </c>
      <c r="N1462">
        <f>YEAR(Table1[[#This Row],[Date]])</f>
        <v>2024</v>
      </c>
      <c r="O1462" t="str">
        <f>TEXT(Table1[[#This Row],[Date]],"mmm")</f>
        <v>Dec</v>
      </c>
      <c r="P1462">
        <f>MONTH(Table1[[#This Row],[Date]])</f>
        <v>12</v>
      </c>
    </row>
    <row r="1463" spans="1:16" x14ac:dyDescent="0.25">
      <c r="A1463" t="s">
        <v>1482</v>
      </c>
      <c r="B1463" t="s">
        <v>41</v>
      </c>
      <c r="C1463" t="s">
        <v>12</v>
      </c>
      <c r="D1463" s="1">
        <v>45372</v>
      </c>
      <c r="E1463">
        <v>22503</v>
      </c>
      <c r="F1463">
        <v>777</v>
      </c>
      <c r="G1463">
        <v>72</v>
      </c>
      <c r="H1463" s="4">
        <v>1284.94</v>
      </c>
      <c r="I1463" s="4">
        <v>5967.52</v>
      </c>
      <c r="J1463" s="7">
        <f>Table1[[#This Row],[Clicks]]/Table1[[#This Row],[Impressions]]</f>
        <v>3.4528729502732967E-2</v>
      </c>
      <c r="K1463" s="7">
        <f>IFERROR(Table1[[#This Row],[Conversions]]/Table1[[#This Row],[Clicks]],0)</f>
        <v>9.2664092664092659E-2</v>
      </c>
      <c r="L1463" s="6">
        <f>IF(Table1[[#This Row],[Conversions]]=0,0,Table1[[#This Row],[Ad Spend]]/Table1[[#This Row],[Conversions]])</f>
        <v>17.846388888888889</v>
      </c>
      <c r="M1463" s="8">
        <f>IF(Table1[[#This Row],[Ad Spend]]=0,0,Table1[[#This Row],[Revenue]]/Table1[[#This Row],[Ad Spend]])</f>
        <v>4.6442012856631436</v>
      </c>
      <c r="N1463">
        <f>YEAR(Table1[[#This Row],[Date]])</f>
        <v>2024</v>
      </c>
      <c r="O1463" t="str">
        <f>TEXT(Table1[[#This Row],[Date]],"mmm")</f>
        <v>Mar</v>
      </c>
      <c r="P1463">
        <f>MONTH(Table1[[#This Row],[Date]])</f>
        <v>3</v>
      </c>
    </row>
    <row r="1464" spans="1:16" x14ac:dyDescent="0.25">
      <c r="A1464" t="s">
        <v>1483</v>
      </c>
      <c r="B1464" t="s">
        <v>14</v>
      </c>
      <c r="C1464" t="s">
        <v>19</v>
      </c>
      <c r="D1464" s="1">
        <v>45437</v>
      </c>
      <c r="E1464">
        <v>116716</v>
      </c>
      <c r="F1464">
        <v>5942</v>
      </c>
      <c r="G1464">
        <v>355</v>
      </c>
      <c r="H1464" s="4">
        <v>3197.6</v>
      </c>
      <c r="I1464" s="4">
        <v>21416.03</v>
      </c>
      <c r="J1464" s="7">
        <f>Table1[[#This Row],[Clicks]]/Table1[[#This Row],[Impressions]]</f>
        <v>5.0909900956167105E-2</v>
      </c>
      <c r="K1464" s="7">
        <f>IFERROR(Table1[[#This Row],[Conversions]]/Table1[[#This Row],[Clicks]],0)</f>
        <v>5.9744193874116461E-2</v>
      </c>
      <c r="L1464" s="6">
        <f>IF(Table1[[#This Row],[Conversions]]=0,0,Table1[[#This Row],[Ad Spend]]/Table1[[#This Row],[Conversions]])</f>
        <v>9.0073239436619712</v>
      </c>
      <c r="M1464" s="8">
        <f>IF(Table1[[#This Row],[Ad Spend]]=0,0,Table1[[#This Row],[Revenue]]/Table1[[#This Row],[Ad Spend]])</f>
        <v>6.6975325243932948</v>
      </c>
      <c r="N1464">
        <f>YEAR(Table1[[#This Row],[Date]])</f>
        <v>2024</v>
      </c>
      <c r="O1464" t="str">
        <f>TEXT(Table1[[#This Row],[Date]],"mmm")</f>
        <v>May</v>
      </c>
      <c r="P1464">
        <f>MONTH(Table1[[#This Row],[Date]])</f>
        <v>5</v>
      </c>
    </row>
    <row r="1465" spans="1:16" x14ac:dyDescent="0.25">
      <c r="A1465" t="s">
        <v>1484</v>
      </c>
      <c r="B1465" t="s">
        <v>34</v>
      </c>
      <c r="C1465" t="s">
        <v>12</v>
      </c>
      <c r="D1465" s="1">
        <v>45569</v>
      </c>
      <c r="E1465">
        <v>58107</v>
      </c>
      <c r="F1465">
        <v>896</v>
      </c>
      <c r="G1465">
        <v>35</v>
      </c>
      <c r="H1465" s="4">
        <v>3707.16</v>
      </c>
      <c r="I1465" s="4">
        <v>1679.95</v>
      </c>
      <c r="J1465" s="7">
        <f>Table1[[#This Row],[Clicks]]/Table1[[#This Row],[Impressions]]</f>
        <v>1.5419828936272738E-2</v>
      </c>
      <c r="K1465" s="7">
        <f>IFERROR(Table1[[#This Row],[Conversions]]/Table1[[#This Row],[Clicks]],0)</f>
        <v>3.90625E-2</v>
      </c>
      <c r="L1465" s="6">
        <f>IF(Table1[[#This Row],[Conversions]]=0,0,Table1[[#This Row],[Ad Spend]]/Table1[[#This Row],[Conversions]])</f>
        <v>105.91885714285714</v>
      </c>
      <c r="M1465" s="8">
        <f>IF(Table1[[#This Row],[Ad Spend]]=0,0,Table1[[#This Row],[Revenue]]/Table1[[#This Row],[Ad Spend]])</f>
        <v>0.45316360772127456</v>
      </c>
      <c r="N1465">
        <f>YEAR(Table1[[#This Row],[Date]])</f>
        <v>2024</v>
      </c>
      <c r="O1465" t="str">
        <f>TEXT(Table1[[#This Row],[Date]],"mmm")</f>
        <v>Oct</v>
      </c>
      <c r="P1465">
        <f>MONTH(Table1[[#This Row],[Date]])</f>
        <v>10</v>
      </c>
    </row>
    <row r="1466" spans="1:16" x14ac:dyDescent="0.25">
      <c r="A1466" t="s">
        <v>1485</v>
      </c>
      <c r="B1466" t="s">
        <v>34</v>
      </c>
      <c r="C1466" t="s">
        <v>12</v>
      </c>
      <c r="D1466" s="1">
        <v>45344</v>
      </c>
      <c r="E1466">
        <v>38214</v>
      </c>
      <c r="F1466">
        <v>2513</v>
      </c>
      <c r="G1466">
        <v>242</v>
      </c>
      <c r="H1466" s="4">
        <v>3877.06</v>
      </c>
      <c r="I1466" s="4">
        <v>12829.88</v>
      </c>
      <c r="J1466" s="7">
        <f>Table1[[#This Row],[Clicks]]/Table1[[#This Row],[Impressions]]</f>
        <v>6.5761239336368876E-2</v>
      </c>
      <c r="K1466" s="7">
        <f>IFERROR(Table1[[#This Row],[Conversions]]/Table1[[#This Row],[Clicks]],0)</f>
        <v>9.6299243931555908E-2</v>
      </c>
      <c r="L1466" s="6">
        <f>IF(Table1[[#This Row],[Conversions]]=0,0,Table1[[#This Row],[Ad Spend]]/Table1[[#This Row],[Conversions]])</f>
        <v>16.02090909090909</v>
      </c>
      <c r="M1466" s="8">
        <f>IF(Table1[[#This Row],[Ad Spend]]=0,0,Table1[[#This Row],[Revenue]]/Table1[[#This Row],[Ad Spend]])</f>
        <v>3.3091775726968371</v>
      </c>
      <c r="N1466">
        <f>YEAR(Table1[[#This Row],[Date]])</f>
        <v>2024</v>
      </c>
      <c r="O1466" t="str">
        <f>TEXT(Table1[[#This Row],[Date]],"mmm")</f>
        <v>Feb</v>
      </c>
      <c r="P1466">
        <f>MONTH(Table1[[#This Row],[Date]])</f>
        <v>2</v>
      </c>
    </row>
    <row r="1467" spans="1:16" x14ac:dyDescent="0.25">
      <c r="A1467" t="s">
        <v>1486</v>
      </c>
      <c r="B1467" t="s">
        <v>34</v>
      </c>
      <c r="C1467" t="s">
        <v>12</v>
      </c>
      <c r="D1467" s="1">
        <v>45634</v>
      </c>
      <c r="E1467">
        <v>129100</v>
      </c>
      <c r="F1467">
        <v>3182</v>
      </c>
      <c r="G1467">
        <v>64</v>
      </c>
      <c r="H1467" s="4">
        <v>1312.79</v>
      </c>
      <c r="I1467" s="4">
        <v>2665.24</v>
      </c>
      <c r="J1467" s="7">
        <f>Table1[[#This Row],[Clicks]]/Table1[[#This Row],[Impressions]]</f>
        <v>2.4647560030983732E-2</v>
      </c>
      <c r="K1467" s="7">
        <f>IFERROR(Table1[[#This Row],[Conversions]]/Table1[[#This Row],[Clicks]],0)</f>
        <v>2.011313639220616E-2</v>
      </c>
      <c r="L1467" s="6">
        <f>IF(Table1[[#This Row],[Conversions]]=0,0,Table1[[#This Row],[Ad Spend]]/Table1[[#This Row],[Conversions]])</f>
        <v>20.512343749999999</v>
      </c>
      <c r="M1467" s="8">
        <f>IF(Table1[[#This Row],[Ad Spend]]=0,0,Table1[[#This Row],[Revenue]]/Table1[[#This Row],[Ad Spend]])</f>
        <v>2.0302104677823567</v>
      </c>
      <c r="N1467">
        <f>YEAR(Table1[[#This Row],[Date]])</f>
        <v>2024</v>
      </c>
      <c r="O1467" t="str">
        <f>TEXT(Table1[[#This Row],[Date]],"mmm")</f>
        <v>Dec</v>
      </c>
      <c r="P1467">
        <f>MONTH(Table1[[#This Row],[Date]])</f>
        <v>12</v>
      </c>
    </row>
    <row r="1468" spans="1:16" x14ac:dyDescent="0.25">
      <c r="A1468" t="s">
        <v>1487</v>
      </c>
      <c r="B1468" t="s">
        <v>16</v>
      </c>
      <c r="C1468" t="s">
        <v>37</v>
      </c>
      <c r="D1468" s="1">
        <v>45376</v>
      </c>
      <c r="E1468">
        <v>129640</v>
      </c>
      <c r="F1468">
        <v>9233</v>
      </c>
      <c r="G1468">
        <v>572</v>
      </c>
      <c r="H1468" s="4">
        <v>4500.58</v>
      </c>
      <c r="I1468" s="4">
        <v>14425.22</v>
      </c>
      <c r="J1468" s="7">
        <f>Table1[[#This Row],[Clicks]]/Table1[[#This Row],[Impressions]]</f>
        <v>7.1220302375809938E-2</v>
      </c>
      <c r="K1468" s="7">
        <f>IFERROR(Table1[[#This Row],[Conversions]]/Table1[[#This Row],[Clicks]],0)</f>
        <v>6.1951695007039967E-2</v>
      </c>
      <c r="L1468" s="6">
        <f>IF(Table1[[#This Row],[Conversions]]=0,0,Table1[[#This Row],[Ad Spend]]/Table1[[#This Row],[Conversions]])</f>
        <v>7.868146853146853</v>
      </c>
      <c r="M1468" s="8">
        <f>IF(Table1[[#This Row],[Ad Spend]]=0,0,Table1[[#This Row],[Revenue]]/Table1[[#This Row],[Ad Spend]])</f>
        <v>3.2051913308951292</v>
      </c>
      <c r="N1468">
        <f>YEAR(Table1[[#This Row],[Date]])</f>
        <v>2024</v>
      </c>
      <c r="O1468" t="str">
        <f>TEXT(Table1[[#This Row],[Date]],"mmm")</f>
        <v>Mar</v>
      </c>
      <c r="P1468">
        <f>MONTH(Table1[[#This Row],[Date]])</f>
        <v>3</v>
      </c>
    </row>
    <row r="1469" spans="1:16" x14ac:dyDescent="0.25">
      <c r="A1469" t="s">
        <v>1488</v>
      </c>
      <c r="B1469" t="s">
        <v>41</v>
      </c>
      <c r="C1469" t="s">
        <v>17</v>
      </c>
      <c r="D1469" s="1">
        <v>45632</v>
      </c>
      <c r="E1469">
        <v>128650</v>
      </c>
      <c r="F1469">
        <v>4232</v>
      </c>
      <c r="G1469">
        <v>359</v>
      </c>
      <c r="H1469" s="4">
        <v>763.02</v>
      </c>
      <c r="I1469" s="4">
        <v>27289.21</v>
      </c>
      <c r="J1469" s="7">
        <f>Table1[[#This Row],[Clicks]]/Table1[[#This Row],[Impressions]]</f>
        <v>3.2895452778857366E-2</v>
      </c>
      <c r="K1469" s="7">
        <f>IFERROR(Table1[[#This Row],[Conversions]]/Table1[[#This Row],[Clicks]],0)</f>
        <v>8.4829867674858228E-2</v>
      </c>
      <c r="L1469" s="6">
        <f>IF(Table1[[#This Row],[Conversions]]=0,0,Table1[[#This Row],[Ad Spend]]/Table1[[#This Row],[Conversions]])</f>
        <v>2.1254038997214484</v>
      </c>
      <c r="M1469" s="8">
        <f>IF(Table1[[#This Row],[Ad Spend]]=0,0,Table1[[#This Row],[Revenue]]/Table1[[#This Row],[Ad Spend]])</f>
        <v>35.764737490498284</v>
      </c>
      <c r="N1469">
        <f>YEAR(Table1[[#This Row],[Date]])</f>
        <v>2024</v>
      </c>
      <c r="O1469" t="str">
        <f>TEXT(Table1[[#This Row],[Date]],"mmm")</f>
        <v>Dec</v>
      </c>
      <c r="P1469">
        <f>MONTH(Table1[[#This Row],[Date]])</f>
        <v>12</v>
      </c>
    </row>
    <row r="1470" spans="1:16" x14ac:dyDescent="0.25">
      <c r="A1470" t="s">
        <v>1489</v>
      </c>
      <c r="B1470" t="s">
        <v>21</v>
      </c>
      <c r="C1470" t="s">
        <v>17</v>
      </c>
      <c r="D1470" s="1">
        <v>45653</v>
      </c>
      <c r="E1470">
        <v>129381</v>
      </c>
      <c r="F1470">
        <v>4508</v>
      </c>
      <c r="G1470">
        <v>581</v>
      </c>
      <c r="H1470" s="4">
        <v>1721.47</v>
      </c>
      <c r="I1470" s="4">
        <v>16163.4</v>
      </c>
      <c r="J1470" s="7">
        <f>Table1[[#This Row],[Clicks]]/Table1[[#This Row],[Impressions]]</f>
        <v>3.4842828545149598E-2</v>
      </c>
      <c r="K1470" s="7">
        <f>IFERROR(Table1[[#This Row],[Conversions]]/Table1[[#This Row],[Clicks]],0)</f>
        <v>0.12888198757763975</v>
      </c>
      <c r="L1470" s="6">
        <f>IF(Table1[[#This Row],[Conversions]]=0,0,Table1[[#This Row],[Ad Spend]]/Table1[[#This Row],[Conversions]])</f>
        <v>2.9629432013769366</v>
      </c>
      <c r="M1470" s="8">
        <f>IF(Table1[[#This Row],[Ad Spend]]=0,0,Table1[[#This Row],[Revenue]]/Table1[[#This Row],[Ad Spend]])</f>
        <v>9.3893010043741683</v>
      </c>
      <c r="N1470">
        <f>YEAR(Table1[[#This Row],[Date]])</f>
        <v>2024</v>
      </c>
      <c r="O1470" t="str">
        <f>TEXT(Table1[[#This Row],[Date]],"mmm")</f>
        <v>Dec</v>
      </c>
      <c r="P1470">
        <f>MONTH(Table1[[#This Row],[Date]])</f>
        <v>12</v>
      </c>
    </row>
    <row r="1471" spans="1:16" x14ac:dyDescent="0.25">
      <c r="A1471" t="s">
        <v>1490</v>
      </c>
      <c r="B1471" t="s">
        <v>14</v>
      </c>
      <c r="C1471" t="s">
        <v>37</v>
      </c>
      <c r="D1471" s="1">
        <v>45616</v>
      </c>
      <c r="E1471">
        <v>77807</v>
      </c>
      <c r="F1471">
        <v>4652</v>
      </c>
      <c r="G1471">
        <v>600</v>
      </c>
      <c r="H1471" s="4">
        <v>2890.33</v>
      </c>
      <c r="I1471" s="4">
        <v>41405.61</v>
      </c>
      <c r="J1471" s="7">
        <f>Table1[[#This Row],[Clicks]]/Table1[[#This Row],[Impressions]]</f>
        <v>5.9788965003148814E-2</v>
      </c>
      <c r="K1471" s="7">
        <f>IFERROR(Table1[[#This Row],[Conversions]]/Table1[[#This Row],[Clicks]],0)</f>
        <v>0.12897678417884781</v>
      </c>
      <c r="L1471" s="6">
        <f>IF(Table1[[#This Row],[Conversions]]=0,0,Table1[[#This Row],[Ad Spend]]/Table1[[#This Row],[Conversions]])</f>
        <v>4.8172166666666669</v>
      </c>
      <c r="M1471" s="8">
        <f>IF(Table1[[#This Row],[Ad Spend]]=0,0,Table1[[#This Row],[Revenue]]/Table1[[#This Row],[Ad Spend]])</f>
        <v>14.325564900893671</v>
      </c>
      <c r="N1471">
        <f>YEAR(Table1[[#This Row],[Date]])</f>
        <v>2024</v>
      </c>
      <c r="O1471" t="str">
        <f>TEXT(Table1[[#This Row],[Date]],"mmm")</f>
        <v>Nov</v>
      </c>
      <c r="P1471">
        <f>MONTH(Table1[[#This Row],[Date]])</f>
        <v>11</v>
      </c>
    </row>
    <row r="1472" spans="1:16" x14ac:dyDescent="0.25">
      <c r="A1472" t="s">
        <v>1491</v>
      </c>
      <c r="B1472" t="s">
        <v>34</v>
      </c>
      <c r="C1472" t="s">
        <v>10</v>
      </c>
      <c r="D1472" s="1">
        <v>45577</v>
      </c>
      <c r="E1472">
        <v>119141</v>
      </c>
      <c r="F1472">
        <v>6629</v>
      </c>
      <c r="G1472">
        <v>285</v>
      </c>
      <c r="H1472" s="4">
        <v>4357.46</v>
      </c>
      <c r="I1472" s="4">
        <v>30078.11</v>
      </c>
      <c r="J1472" s="7">
        <f>Table1[[#This Row],[Clicks]]/Table1[[#This Row],[Impressions]]</f>
        <v>5.5639956018499089E-2</v>
      </c>
      <c r="K1472" s="7">
        <f>IFERROR(Table1[[#This Row],[Conversions]]/Table1[[#This Row],[Clicks]],0)</f>
        <v>4.2992909941167598E-2</v>
      </c>
      <c r="L1472" s="6">
        <f>IF(Table1[[#This Row],[Conversions]]=0,0,Table1[[#This Row],[Ad Spend]]/Table1[[#This Row],[Conversions]])</f>
        <v>15.289333333333333</v>
      </c>
      <c r="M1472" s="8">
        <f>IF(Table1[[#This Row],[Ad Spend]]=0,0,Table1[[#This Row],[Revenue]]/Table1[[#This Row],[Ad Spend]])</f>
        <v>6.9026703630096433</v>
      </c>
      <c r="N1472">
        <f>YEAR(Table1[[#This Row],[Date]])</f>
        <v>2024</v>
      </c>
      <c r="O1472" t="str">
        <f>TEXT(Table1[[#This Row],[Date]],"mmm")</f>
        <v>Oct</v>
      </c>
      <c r="P1472">
        <f>MONTH(Table1[[#This Row],[Date]])</f>
        <v>10</v>
      </c>
    </row>
    <row r="1473" spans="1:16" x14ac:dyDescent="0.25">
      <c r="A1473" t="s">
        <v>1492</v>
      </c>
      <c r="B1473" t="s">
        <v>47</v>
      </c>
      <c r="C1473" t="s">
        <v>17</v>
      </c>
      <c r="D1473" s="1">
        <v>45401</v>
      </c>
      <c r="E1473">
        <v>55065</v>
      </c>
      <c r="F1473">
        <v>2024</v>
      </c>
      <c r="G1473">
        <v>87</v>
      </c>
      <c r="H1473" s="4">
        <v>3788.62</v>
      </c>
      <c r="I1473" s="4">
        <v>1832.85</v>
      </c>
      <c r="J1473" s="7">
        <f>Table1[[#This Row],[Clicks]]/Table1[[#This Row],[Impressions]]</f>
        <v>3.6756560428584398E-2</v>
      </c>
      <c r="K1473" s="7">
        <f>IFERROR(Table1[[#This Row],[Conversions]]/Table1[[#This Row],[Clicks]],0)</f>
        <v>4.298418972332016E-2</v>
      </c>
      <c r="L1473" s="6">
        <f>IF(Table1[[#This Row],[Conversions]]=0,0,Table1[[#This Row],[Ad Spend]]/Table1[[#This Row],[Conversions]])</f>
        <v>43.547356321839082</v>
      </c>
      <c r="M1473" s="8">
        <f>IF(Table1[[#This Row],[Ad Spend]]=0,0,Table1[[#This Row],[Revenue]]/Table1[[#This Row],[Ad Spend]])</f>
        <v>0.48377773437293792</v>
      </c>
      <c r="N1473">
        <f>YEAR(Table1[[#This Row],[Date]])</f>
        <v>2024</v>
      </c>
      <c r="O1473" t="str">
        <f>TEXT(Table1[[#This Row],[Date]],"mmm")</f>
        <v>Apr</v>
      </c>
      <c r="P1473">
        <f>MONTH(Table1[[#This Row],[Date]])</f>
        <v>4</v>
      </c>
    </row>
    <row r="1474" spans="1:16" x14ac:dyDescent="0.25">
      <c r="A1474" t="s">
        <v>1493</v>
      </c>
      <c r="B1474" t="s">
        <v>41</v>
      </c>
      <c r="C1474" t="s">
        <v>19</v>
      </c>
      <c r="D1474" s="1">
        <v>45561</v>
      </c>
      <c r="E1474">
        <v>56088</v>
      </c>
      <c r="F1474">
        <v>582</v>
      </c>
      <c r="G1474">
        <v>35</v>
      </c>
      <c r="H1474" s="4">
        <v>651.72</v>
      </c>
      <c r="I1474" s="4">
        <v>1991.04</v>
      </c>
      <c r="J1474" s="7">
        <f>Table1[[#This Row],[Clicks]]/Table1[[#This Row],[Impressions]]</f>
        <v>1.0376551133932392E-2</v>
      </c>
      <c r="K1474" s="7">
        <f>IFERROR(Table1[[#This Row],[Conversions]]/Table1[[#This Row],[Clicks]],0)</f>
        <v>6.0137457044673541E-2</v>
      </c>
      <c r="L1474" s="6">
        <f>IF(Table1[[#This Row],[Conversions]]=0,0,Table1[[#This Row],[Ad Spend]]/Table1[[#This Row],[Conversions]])</f>
        <v>18.620571428571431</v>
      </c>
      <c r="M1474" s="8">
        <f>IF(Table1[[#This Row],[Ad Spend]]=0,0,Table1[[#This Row],[Revenue]]/Table1[[#This Row],[Ad Spend]])</f>
        <v>3.0550543178051921</v>
      </c>
      <c r="N1474">
        <f>YEAR(Table1[[#This Row],[Date]])</f>
        <v>2024</v>
      </c>
      <c r="O1474" t="str">
        <f>TEXT(Table1[[#This Row],[Date]],"mmm")</f>
        <v>Sept</v>
      </c>
      <c r="P1474">
        <f>MONTH(Table1[[#This Row],[Date]])</f>
        <v>9</v>
      </c>
    </row>
    <row r="1475" spans="1:16" x14ac:dyDescent="0.25">
      <c r="A1475" t="s">
        <v>1494</v>
      </c>
      <c r="B1475" t="s">
        <v>34</v>
      </c>
      <c r="C1475" t="s">
        <v>12</v>
      </c>
      <c r="D1475" s="1">
        <v>45298</v>
      </c>
      <c r="E1475">
        <v>76572</v>
      </c>
      <c r="F1475">
        <v>945</v>
      </c>
      <c r="G1475">
        <v>52</v>
      </c>
      <c r="H1475" s="4">
        <v>2497.9299999999998</v>
      </c>
      <c r="I1475" s="4">
        <v>1268.3699999999999</v>
      </c>
      <c r="J1475" s="7">
        <f>Table1[[#This Row],[Clicks]]/Table1[[#This Row],[Impressions]]</f>
        <v>1.234132581100141E-2</v>
      </c>
      <c r="K1475" s="7">
        <f>IFERROR(Table1[[#This Row],[Conversions]]/Table1[[#This Row],[Clicks]],0)</f>
        <v>5.5026455026455028E-2</v>
      </c>
      <c r="L1475" s="6">
        <f>IF(Table1[[#This Row],[Conversions]]=0,0,Table1[[#This Row],[Ad Spend]]/Table1[[#This Row],[Conversions]])</f>
        <v>48.037115384615383</v>
      </c>
      <c r="M1475" s="8">
        <f>IF(Table1[[#This Row],[Ad Spend]]=0,0,Table1[[#This Row],[Revenue]]/Table1[[#This Row],[Ad Spend]])</f>
        <v>0.50776843226191282</v>
      </c>
      <c r="N1475">
        <f>YEAR(Table1[[#This Row],[Date]])</f>
        <v>2024</v>
      </c>
      <c r="O1475" t="str">
        <f>TEXT(Table1[[#This Row],[Date]],"mmm")</f>
        <v>Jan</v>
      </c>
      <c r="P1475">
        <f>MONTH(Table1[[#This Row],[Date]])</f>
        <v>1</v>
      </c>
    </row>
    <row r="1476" spans="1:16" x14ac:dyDescent="0.25">
      <c r="A1476" t="s">
        <v>1495</v>
      </c>
      <c r="B1476" t="s">
        <v>34</v>
      </c>
      <c r="C1476" t="s">
        <v>19</v>
      </c>
      <c r="D1476" s="1">
        <v>45612</v>
      </c>
      <c r="E1476">
        <v>20001</v>
      </c>
      <c r="F1476">
        <v>1559</v>
      </c>
      <c r="G1476">
        <v>198</v>
      </c>
      <c r="H1476" s="4">
        <v>4343.29</v>
      </c>
      <c r="I1476" s="4">
        <v>22325.98</v>
      </c>
      <c r="J1476" s="7">
        <f>Table1[[#This Row],[Clicks]]/Table1[[#This Row],[Impressions]]</f>
        <v>7.7946102694865252E-2</v>
      </c>
      <c r="K1476" s="7">
        <f>IFERROR(Table1[[#This Row],[Conversions]]/Table1[[#This Row],[Clicks]],0)</f>
        <v>0.12700449005772932</v>
      </c>
      <c r="L1476" s="6">
        <f>IF(Table1[[#This Row],[Conversions]]=0,0,Table1[[#This Row],[Ad Spend]]/Table1[[#This Row],[Conversions]])</f>
        <v>21.93580808080808</v>
      </c>
      <c r="M1476" s="8">
        <f>IF(Table1[[#This Row],[Ad Spend]]=0,0,Table1[[#This Row],[Revenue]]/Table1[[#This Row],[Ad Spend]])</f>
        <v>5.1403383149640023</v>
      </c>
      <c r="N1476">
        <f>YEAR(Table1[[#This Row],[Date]])</f>
        <v>2024</v>
      </c>
      <c r="O1476" t="str">
        <f>TEXT(Table1[[#This Row],[Date]],"mmm")</f>
        <v>Nov</v>
      </c>
      <c r="P1476">
        <f>MONTH(Table1[[#This Row],[Date]])</f>
        <v>11</v>
      </c>
    </row>
    <row r="1477" spans="1:16" x14ac:dyDescent="0.25">
      <c r="A1477" t="s">
        <v>1496</v>
      </c>
      <c r="B1477" t="s">
        <v>41</v>
      </c>
      <c r="C1477" t="s">
        <v>17</v>
      </c>
      <c r="D1477" s="1">
        <v>45380</v>
      </c>
      <c r="E1477">
        <v>129111</v>
      </c>
      <c r="F1477">
        <v>8068</v>
      </c>
      <c r="G1477">
        <v>840</v>
      </c>
      <c r="H1477" s="4">
        <v>2818.82</v>
      </c>
      <c r="I1477" s="4">
        <v>25526.53</v>
      </c>
      <c r="J1477" s="7">
        <f>Table1[[#This Row],[Clicks]]/Table1[[#This Row],[Impressions]]</f>
        <v>6.2488866169420114E-2</v>
      </c>
      <c r="K1477" s="7">
        <f>IFERROR(Table1[[#This Row],[Conversions]]/Table1[[#This Row],[Clicks]],0)</f>
        <v>0.10411502231036192</v>
      </c>
      <c r="L1477" s="6">
        <f>IF(Table1[[#This Row],[Conversions]]=0,0,Table1[[#This Row],[Ad Spend]]/Table1[[#This Row],[Conversions]])</f>
        <v>3.3557380952380953</v>
      </c>
      <c r="M1477" s="8">
        <f>IF(Table1[[#This Row],[Ad Spend]]=0,0,Table1[[#This Row],[Revenue]]/Table1[[#This Row],[Ad Spend]])</f>
        <v>9.0557502784853234</v>
      </c>
      <c r="N1477">
        <f>YEAR(Table1[[#This Row],[Date]])</f>
        <v>2024</v>
      </c>
      <c r="O1477" t="str">
        <f>TEXT(Table1[[#This Row],[Date]],"mmm")</f>
        <v>Mar</v>
      </c>
      <c r="P1477">
        <f>MONTH(Table1[[#This Row],[Date]])</f>
        <v>3</v>
      </c>
    </row>
    <row r="1478" spans="1:16" x14ac:dyDescent="0.25">
      <c r="A1478" t="s">
        <v>1497</v>
      </c>
      <c r="B1478" t="s">
        <v>47</v>
      </c>
      <c r="C1478" t="s">
        <v>10</v>
      </c>
      <c r="D1478" s="1">
        <v>45605</v>
      </c>
      <c r="E1478">
        <v>45158</v>
      </c>
      <c r="F1478">
        <v>2682</v>
      </c>
      <c r="G1478">
        <v>115</v>
      </c>
      <c r="H1478" s="4">
        <v>4284.53</v>
      </c>
      <c r="I1478" s="4">
        <v>3252.48</v>
      </c>
      <c r="J1478" s="7">
        <f>Table1[[#This Row],[Clicks]]/Table1[[#This Row],[Impressions]]</f>
        <v>5.9391469949953493E-2</v>
      </c>
      <c r="K1478" s="7">
        <f>IFERROR(Table1[[#This Row],[Conversions]]/Table1[[#This Row],[Clicks]],0)</f>
        <v>4.2878448918717373E-2</v>
      </c>
      <c r="L1478" s="6">
        <f>IF(Table1[[#This Row],[Conversions]]=0,0,Table1[[#This Row],[Ad Spend]]/Table1[[#This Row],[Conversions]])</f>
        <v>37.256782608695652</v>
      </c>
      <c r="M1478" s="8">
        <f>IF(Table1[[#This Row],[Ad Spend]]=0,0,Table1[[#This Row],[Revenue]]/Table1[[#This Row],[Ad Spend]])</f>
        <v>0.75912177064928943</v>
      </c>
      <c r="N1478">
        <f>YEAR(Table1[[#This Row],[Date]])</f>
        <v>2024</v>
      </c>
      <c r="O1478" t="str">
        <f>TEXT(Table1[[#This Row],[Date]],"mmm")</f>
        <v>Nov</v>
      </c>
      <c r="P1478">
        <f>MONTH(Table1[[#This Row],[Date]])</f>
        <v>11</v>
      </c>
    </row>
    <row r="1479" spans="1:16" x14ac:dyDescent="0.25">
      <c r="A1479" t="s">
        <v>1498</v>
      </c>
      <c r="B1479" t="s">
        <v>9</v>
      </c>
      <c r="C1479" t="s">
        <v>10</v>
      </c>
      <c r="D1479" s="1">
        <v>45519</v>
      </c>
      <c r="E1479">
        <v>21338</v>
      </c>
      <c r="F1479">
        <v>682</v>
      </c>
      <c r="G1479">
        <v>89</v>
      </c>
      <c r="H1479" s="4">
        <v>1531.9</v>
      </c>
      <c r="I1479" s="4">
        <v>9367.93</v>
      </c>
      <c r="J1479" s="7">
        <f>Table1[[#This Row],[Clicks]]/Table1[[#This Row],[Impressions]]</f>
        <v>3.1961758365357577E-2</v>
      </c>
      <c r="K1479" s="7">
        <f>IFERROR(Table1[[#This Row],[Conversions]]/Table1[[#This Row],[Clicks]],0)</f>
        <v>0.13049853372434017</v>
      </c>
      <c r="L1479" s="6">
        <f>IF(Table1[[#This Row],[Conversions]]=0,0,Table1[[#This Row],[Ad Spend]]/Table1[[#This Row],[Conversions]])</f>
        <v>17.2123595505618</v>
      </c>
      <c r="M1479" s="8">
        <f>IF(Table1[[#This Row],[Ad Spend]]=0,0,Table1[[#This Row],[Revenue]]/Table1[[#This Row],[Ad Spend]])</f>
        <v>6.1152359814609305</v>
      </c>
      <c r="N1479">
        <f>YEAR(Table1[[#This Row],[Date]])</f>
        <v>2024</v>
      </c>
      <c r="O1479" t="str">
        <f>TEXT(Table1[[#This Row],[Date]],"mmm")</f>
        <v>Aug</v>
      </c>
      <c r="P1479">
        <f>MONTH(Table1[[#This Row],[Date]])</f>
        <v>8</v>
      </c>
    </row>
    <row r="1480" spans="1:16" x14ac:dyDescent="0.25">
      <c r="A1480" t="s">
        <v>1499</v>
      </c>
      <c r="B1480" t="s">
        <v>31</v>
      </c>
      <c r="C1480" t="s">
        <v>19</v>
      </c>
      <c r="D1480" s="1">
        <v>45636</v>
      </c>
      <c r="E1480">
        <v>87963</v>
      </c>
      <c r="F1480">
        <v>6407</v>
      </c>
      <c r="G1480">
        <v>269</v>
      </c>
      <c r="H1480" s="4">
        <v>4934.1000000000004</v>
      </c>
      <c r="I1480" s="4">
        <v>24805.45</v>
      </c>
      <c r="J1480" s="7">
        <f>Table1[[#This Row],[Clicks]]/Table1[[#This Row],[Impressions]]</f>
        <v>7.2837443015813463E-2</v>
      </c>
      <c r="K1480" s="7">
        <f>IFERROR(Table1[[#This Row],[Conversions]]/Table1[[#This Row],[Clicks]],0)</f>
        <v>4.1985328546901825E-2</v>
      </c>
      <c r="L1480" s="6">
        <f>IF(Table1[[#This Row],[Conversions]]=0,0,Table1[[#This Row],[Ad Spend]]/Table1[[#This Row],[Conversions]])</f>
        <v>18.342379182156137</v>
      </c>
      <c r="M1480" s="8">
        <f>IF(Table1[[#This Row],[Ad Spend]]=0,0,Table1[[#This Row],[Revenue]]/Table1[[#This Row],[Ad Spend]])</f>
        <v>5.0273504793174029</v>
      </c>
      <c r="N1480">
        <f>YEAR(Table1[[#This Row],[Date]])</f>
        <v>2024</v>
      </c>
      <c r="O1480" t="str">
        <f>TEXT(Table1[[#This Row],[Date]],"mmm")</f>
        <v>Dec</v>
      </c>
      <c r="P1480">
        <f>MONTH(Table1[[#This Row],[Date]])</f>
        <v>12</v>
      </c>
    </row>
    <row r="1481" spans="1:16" x14ac:dyDescent="0.25">
      <c r="A1481" t="s">
        <v>1500</v>
      </c>
      <c r="B1481" t="s">
        <v>47</v>
      </c>
      <c r="C1481" t="s">
        <v>12</v>
      </c>
      <c r="D1481" s="1">
        <v>45299</v>
      </c>
      <c r="E1481">
        <v>110689</v>
      </c>
      <c r="F1481">
        <v>4333</v>
      </c>
      <c r="G1481">
        <v>462</v>
      </c>
      <c r="H1481" s="4">
        <v>495.12</v>
      </c>
      <c r="I1481" s="4">
        <v>18153.830000000002</v>
      </c>
      <c r="J1481" s="7">
        <f>Table1[[#This Row],[Clicks]]/Table1[[#This Row],[Impressions]]</f>
        <v>3.9145714569650103E-2</v>
      </c>
      <c r="K1481" s="7">
        <f>IFERROR(Table1[[#This Row],[Conversions]]/Table1[[#This Row],[Clicks]],0)</f>
        <v>0.10662358642972536</v>
      </c>
      <c r="L1481" s="6">
        <f>IF(Table1[[#This Row],[Conversions]]=0,0,Table1[[#This Row],[Ad Spend]]/Table1[[#This Row],[Conversions]])</f>
        <v>1.0716883116883118</v>
      </c>
      <c r="M1481" s="8">
        <f>IF(Table1[[#This Row],[Ad Spend]]=0,0,Table1[[#This Row],[Revenue]]/Table1[[#This Row],[Ad Spend]])</f>
        <v>36.665515430602689</v>
      </c>
      <c r="N1481">
        <f>YEAR(Table1[[#This Row],[Date]])</f>
        <v>2024</v>
      </c>
      <c r="O1481" t="str">
        <f>TEXT(Table1[[#This Row],[Date]],"mmm")</f>
        <v>Jan</v>
      </c>
      <c r="P1481">
        <f>MONTH(Table1[[#This Row],[Date]])</f>
        <v>1</v>
      </c>
    </row>
    <row r="1482" spans="1:16" x14ac:dyDescent="0.25">
      <c r="A1482" t="s">
        <v>1501</v>
      </c>
      <c r="B1482" t="s">
        <v>16</v>
      </c>
      <c r="C1482" t="s">
        <v>19</v>
      </c>
      <c r="D1482" s="1">
        <v>45334</v>
      </c>
      <c r="E1482">
        <v>50242</v>
      </c>
      <c r="F1482">
        <v>2061</v>
      </c>
      <c r="G1482">
        <v>115</v>
      </c>
      <c r="H1482" s="4">
        <v>1153.68</v>
      </c>
      <c r="I1482" s="4">
        <v>8112.86</v>
      </c>
      <c r="J1482" s="7">
        <f>Table1[[#This Row],[Clicks]]/Table1[[#This Row],[Impressions]]</f>
        <v>4.1021456152223239E-2</v>
      </c>
      <c r="K1482" s="7">
        <f>IFERROR(Table1[[#This Row],[Conversions]]/Table1[[#This Row],[Clicks]],0)</f>
        <v>5.5798156234837457E-2</v>
      </c>
      <c r="L1482" s="6">
        <f>IF(Table1[[#This Row],[Conversions]]=0,0,Table1[[#This Row],[Ad Spend]]/Table1[[#This Row],[Conversions]])</f>
        <v>10.032</v>
      </c>
      <c r="M1482" s="8">
        <f>IF(Table1[[#This Row],[Ad Spend]]=0,0,Table1[[#This Row],[Revenue]]/Table1[[#This Row],[Ad Spend]])</f>
        <v>7.0321579640801604</v>
      </c>
      <c r="N1482">
        <f>YEAR(Table1[[#This Row],[Date]])</f>
        <v>2024</v>
      </c>
      <c r="O1482" t="str">
        <f>TEXT(Table1[[#This Row],[Date]],"mmm")</f>
        <v>Feb</v>
      </c>
      <c r="P1482">
        <f>MONTH(Table1[[#This Row],[Date]])</f>
        <v>2</v>
      </c>
    </row>
    <row r="1483" spans="1:16" x14ac:dyDescent="0.25">
      <c r="A1483" t="s">
        <v>1502</v>
      </c>
      <c r="B1483" t="s">
        <v>16</v>
      </c>
      <c r="C1483" t="s">
        <v>10</v>
      </c>
      <c r="D1483" s="1">
        <v>45451</v>
      </c>
      <c r="E1483">
        <v>76765</v>
      </c>
      <c r="F1483">
        <v>3779</v>
      </c>
      <c r="G1483">
        <v>133</v>
      </c>
      <c r="H1483" s="4">
        <v>2438.0100000000002</v>
      </c>
      <c r="I1483" s="4">
        <v>13780.2</v>
      </c>
      <c r="J1483" s="7">
        <f>Table1[[#This Row],[Clicks]]/Table1[[#This Row],[Impressions]]</f>
        <v>4.9228163876766755E-2</v>
      </c>
      <c r="K1483" s="7">
        <f>IFERROR(Table1[[#This Row],[Conversions]]/Table1[[#This Row],[Clicks]],0)</f>
        <v>3.5194495898385816E-2</v>
      </c>
      <c r="L1483" s="6">
        <f>IF(Table1[[#This Row],[Conversions]]=0,0,Table1[[#This Row],[Ad Spend]]/Table1[[#This Row],[Conversions]])</f>
        <v>18.330902255639099</v>
      </c>
      <c r="M1483" s="8">
        <f>IF(Table1[[#This Row],[Ad Spend]]=0,0,Table1[[#This Row],[Revenue]]/Table1[[#This Row],[Ad Spend]])</f>
        <v>5.652232763606384</v>
      </c>
      <c r="N1483">
        <f>YEAR(Table1[[#This Row],[Date]])</f>
        <v>2024</v>
      </c>
      <c r="O1483" t="str">
        <f>TEXT(Table1[[#This Row],[Date]],"mmm")</f>
        <v>Jun</v>
      </c>
      <c r="P1483">
        <f>MONTH(Table1[[#This Row],[Date]])</f>
        <v>6</v>
      </c>
    </row>
    <row r="1484" spans="1:16" x14ac:dyDescent="0.25">
      <c r="A1484" t="s">
        <v>1503</v>
      </c>
      <c r="B1484" t="s">
        <v>9</v>
      </c>
      <c r="C1484" t="s">
        <v>12</v>
      </c>
      <c r="D1484" s="1">
        <v>45529</v>
      </c>
      <c r="E1484">
        <v>28111</v>
      </c>
      <c r="F1484">
        <v>509</v>
      </c>
      <c r="G1484">
        <v>16</v>
      </c>
      <c r="H1484" s="4">
        <v>3701.84</v>
      </c>
      <c r="I1484" s="4">
        <v>617.04999999999995</v>
      </c>
      <c r="J1484" s="7">
        <f>Table1[[#This Row],[Clicks]]/Table1[[#This Row],[Impressions]]</f>
        <v>1.8106790935932555E-2</v>
      </c>
      <c r="K1484" s="7">
        <f>IFERROR(Table1[[#This Row],[Conversions]]/Table1[[#This Row],[Clicks]],0)</f>
        <v>3.1434184675834968E-2</v>
      </c>
      <c r="L1484" s="6">
        <f>IF(Table1[[#This Row],[Conversions]]=0,0,Table1[[#This Row],[Ad Spend]]/Table1[[#This Row],[Conversions]])</f>
        <v>231.36500000000001</v>
      </c>
      <c r="M1484" s="8">
        <f>IF(Table1[[#This Row],[Ad Spend]]=0,0,Table1[[#This Row],[Revenue]]/Table1[[#This Row],[Ad Spend]])</f>
        <v>0.16668737708815073</v>
      </c>
      <c r="N1484">
        <f>YEAR(Table1[[#This Row],[Date]])</f>
        <v>2024</v>
      </c>
      <c r="O1484" t="str">
        <f>TEXT(Table1[[#This Row],[Date]],"mmm")</f>
        <v>Aug</v>
      </c>
      <c r="P1484">
        <f>MONTH(Table1[[#This Row],[Date]])</f>
        <v>8</v>
      </c>
    </row>
    <row r="1485" spans="1:16" x14ac:dyDescent="0.25">
      <c r="A1485" t="s">
        <v>1504</v>
      </c>
      <c r="B1485" t="s">
        <v>31</v>
      </c>
      <c r="C1485" t="s">
        <v>37</v>
      </c>
      <c r="D1485" s="1">
        <v>45695</v>
      </c>
      <c r="E1485">
        <v>7736</v>
      </c>
      <c r="F1485">
        <v>195</v>
      </c>
      <c r="G1485">
        <v>13</v>
      </c>
      <c r="H1485" s="4">
        <v>590.12</v>
      </c>
      <c r="I1485" s="4">
        <v>1201.56</v>
      </c>
      <c r="J1485" s="7">
        <f>Table1[[#This Row],[Clicks]]/Table1[[#This Row],[Impressions]]</f>
        <v>2.5206825232678386E-2</v>
      </c>
      <c r="K1485" s="7">
        <f>IFERROR(Table1[[#This Row],[Conversions]]/Table1[[#This Row],[Clicks]],0)</f>
        <v>6.6666666666666666E-2</v>
      </c>
      <c r="L1485" s="6">
        <f>IF(Table1[[#This Row],[Conversions]]=0,0,Table1[[#This Row],[Ad Spend]]/Table1[[#This Row],[Conversions]])</f>
        <v>45.393846153846155</v>
      </c>
      <c r="M1485" s="8">
        <f>IF(Table1[[#This Row],[Ad Spend]]=0,0,Table1[[#This Row],[Revenue]]/Table1[[#This Row],[Ad Spend]])</f>
        <v>2.0361282451026907</v>
      </c>
      <c r="N1485">
        <f>YEAR(Table1[[#This Row],[Date]])</f>
        <v>2025</v>
      </c>
      <c r="O1485" t="str">
        <f>TEXT(Table1[[#This Row],[Date]],"mmm")</f>
        <v>Feb</v>
      </c>
      <c r="P1485">
        <f>MONTH(Table1[[#This Row],[Date]])</f>
        <v>2</v>
      </c>
    </row>
    <row r="1486" spans="1:16" x14ac:dyDescent="0.25">
      <c r="A1486" t="s">
        <v>1505</v>
      </c>
      <c r="B1486" t="s">
        <v>14</v>
      </c>
      <c r="C1486" t="s">
        <v>19</v>
      </c>
      <c r="D1486" s="1">
        <v>45640</v>
      </c>
      <c r="E1486">
        <v>55092</v>
      </c>
      <c r="F1486">
        <v>3433</v>
      </c>
      <c r="G1486">
        <v>398</v>
      </c>
      <c r="H1486" s="4">
        <v>1690.34</v>
      </c>
      <c r="I1486" s="4">
        <v>23056.560000000001</v>
      </c>
      <c r="J1486" s="7">
        <f>Table1[[#This Row],[Clicks]]/Table1[[#This Row],[Impressions]]</f>
        <v>6.2313947578595805E-2</v>
      </c>
      <c r="K1486" s="7">
        <f>IFERROR(Table1[[#This Row],[Conversions]]/Table1[[#This Row],[Clicks]],0)</f>
        <v>0.11593358578502767</v>
      </c>
      <c r="L1486" s="6">
        <f>IF(Table1[[#This Row],[Conversions]]=0,0,Table1[[#This Row],[Ad Spend]]/Table1[[#This Row],[Conversions]])</f>
        <v>4.2470854271356782</v>
      </c>
      <c r="M1486" s="8">
        <f>IF(Table1[[#This Row],[Ad Spend]]=0,0,Table1[[#This Row],[Revenue]]/Table1[[#This Row],[Ad Spend]])</f>
        <v>13.640190730858881</v>
      </c>
      <c r="N1486">
        <f>YEAR(Table1[[#This Row],[Date]])</f>
        <v>2024</v>
      </c>
      <c r="O1486" t="str">
        <f>TEXT(Table1[[#This Row],[Date]],"mmm")</f>
        <v>Dec</v>
      </c>
      <c r="P1486">
        <f>MONTH(Table1[[#This Row],[Date]])</f>
        <v>12</v>
      </c>
    </row>
    <row r="1487" spans="1:16" x14ac:dyDescent="0.25">
      <c r="A1487" t="s">
        <v>1506</v>
      </c>
      <c r="B1487" t="s">
        <v>34</v>
      </c>
      <c r="C1487" t="s">
        <v>37</v>
      </c>
      <c r="D1487" s="1">
        <v>45434</v>
      </c>
      <c r="E1487">
        <v>41811</v>
      </c>
      <c r="F1487">
        <v>2071</v>
      </c>
      <c r="G1487">
        <v>152</v>
      </c>
      <c r="H1487" s="4">
        <v>4209.32</v>
      </c>
      <c r="I1487" s="4">
        <v>7186.55</v>
      </c>
      <c r="J1487" s="7">
        <f>Table1[[#This Row],[Clicks]]/Table1[[#This Row],[Impressions]]</f>
        <v>4.9532419698165554E-2</v>
      </c>
      <c r="K1487" s="7">
        <f>IFERROR(Table1[[#This Row],[Conversions]]/Table1[[#This Row],[Clicks]],0)</f>
        <v>7.3394495412844041E-2</v>
      </c>
      <c r="L1487" s="6">
        <f>IF(Table1[[#This Row],[Conversions]]=0,0,Table1[[#This Row],[Ad Spend]]/Table1[[#This Row],[Conversions]])</f>
        <v>27.692894736842103</v>
      </c>
      <c r="M1487" s="8">
        <f>IF(Table1[[#This Row],[Ad Spend]]=0,0,Table1[[#This Row],[Revenue]]/Table1[[#This Row],[Ad Spend]])</f>
        <v>1.7072947649501584</v>
      </c>
      <c r="N1487">
        <f>YEAR(Table1[[#This Row],[Date]])</f>
        <v>2024</v>
      </c>
      <c r="O1487" t="str">
        <f>TEXT(Table1[[#This Row],[Date]],"mmm")</f>
        <v>May</v>
      </c>
      <c r="P1487">
        <f>MONTH(Table1[[#This Row],[Date]])</f>
        <v>5</v>
      </c>
    </row>
    <row r="1488" spans="1:16" x14ac:dyDescent="0.25">
      <c r="A1488" t="s">
        <v>1507</v>
      </c>
      <c r="B1488" t="s">
        <v>14</v>
      </c>
      <c r="C1488" t="s">
        <v>37</v>
      </c>
      <c r="D1488" s="1">
        <v>45443</v>
      </c>
      <c r="E1488">
        <v>72988</v>
      </c>
      <c r="F1488">
        <v>4293</v>
      </c>
      <c r="G1488">
        <v>233</v>
      </c>
      <c r="H1488" s="4">
        <v>2551.4499999999998</v>
      </c>
      <c r="I1488" s="4">
        <v>18143.62</v>
      </c>
      <c r="J1488" s="7">
        <f>Table1[[#This Row],[Clicks]]/Table1[[#This Row],[Impressions]]</f>
        <v>5.8817887871978954E-2</v>
      </c>
      <c r="K1488" s="7">
        <f>IFERROR(Table1[[#This Row],[Conversions]]/Table1[[#This Row],[Clicks]],0)</f>
        <v>5.4274400186349873E-2</v>
      </c>
      <c r="L1488" s="6">
        <f>IF(Table1[[#This Row],[Conversions]]=0,0,Table1[[#This Row],[Ad Spend]]/Table1[[#This Row],[Conversions]])</f>
        <v>10.950429184549355</v>
      </c>
      <c r="M1488" s="8">
        <f>IF(Table1[[#This Row],[Ad Spend]]=0,0,Table1[[#This Row],[Revenue]]/Table1[[#This Row],[Ad Spend]])</f>
        <v>7.1111015305022631</v>
      </c>
      <c r="N1488">
        <f>YEAR(Table1[[#This Row],[Date]])</f>
        <v>2024</v>
      </c>
      <c r="O1488" t="str">
        <f>TEXT(Table1[[#This Row],[Date]],"mmm")</f>
        <v>May</v>
      </c>
      <c r="P1488">
        <f>MONTH(Table1[[#This Row],[Date]])</f>
        <v>5</v>
      </c>
    </row>
    <row r="1489" spans="1:16" x14ac:dyDescent="0.25">
      <c r="A1489" t="s">
        <v>1508</v>
      </c>
      <c r="B1489" t="s">
        <v>47</v>
      </c>
      <c r="C1489" t="s">
        <v>12</v>
      </c>
      <c r="D1489" s="1">
        <v>45522</v>
      </c>
      <c r="E1489">
        <v>49688</v>
      </c>
      <c r="F1489">
        <v>624</v>
      </c>
      <c r="G1489">
        <v>80</v>
      </c>
      <c r="H1489" s="4">
        <v>2051.27</v>
      </c>
      <c r="I1489" s="4">
        <v>5903.59</v>
      </c>
      <c r="J1489" s="7">
        <f>Table1[[#This Row],[Clicks]]/Table1[[#This Row],[Impressions]]</f>
        <v>1.2558364192561584E-2</v>
      </c>
      <c r="K1489" s="7">
        <f>IFERROR(Table1[[#This Row],[Conversions]]/Table1[[#This Row],[Clicks]],0)</f>
        <v>0.12820512820512819</v>
      </c>
      <c r="L1489" s="6">
        <f>IF(Table1[[#This Row],[Conversions]]=0,0,Table1[[#This Row],[Ad Spend]]/Table1[[#This Row],[Conversions]])</f>
        <v>25.640875000000001</v>
      </c>
      <c r="M1489" s="8">
        <f>IF(Table1[[#This Row],[Ad Spend]]=0,0,Table1[[#This Row],[Revenue]]/Table1[[#This Row],[Ad Spend]])</f>
        <v>2.878017033350071</v>
      </c>
      <c r="N1489">
        <f>YEAR(Table1[[#This Row],[Date]])</f>
        <v>2024</v>
      </c>
      <c r="O1489" t="str">
        <f>TEXT(Table1[[#This Row],[Date]],"mmm")</f>
        <v>Aug</v>
      </c>
      <c r="P1489">
        <f>MONTH(Table1[[#This Row],[Date]])</f>
        <v>8</v>
      </c>
    </row>
    <row r="1490" spans="1:16" x14ac:dyDescent="0.25">
      <c r="A1490" t="s">
        <v>1509</v>
      </c>
      <c r="B1490" t="s">
        <v>14</v>
      </c>
      <c r="C1490" t="s">
        <v>17</v>
      </c>
      <c r="D1490" s="1">
        <v>45469</v>
      </c>
      <c r="E1490">
        <v>80678</v>
      </c>
      <c r="F1490">
        <v>1978</v>
      </c>
      <c r="G1490">
        <v>219</v>
      </c>
      <c r="H1490" s="4">
        <v>2618.0700000000002</v>
      </c>
      <c r="I1490" s="4">
        <v>22553.88</v>
      </c>
      <c r="J1490" s="7">
        <f>Table1[[#This Row],[Clicks]]/Table1[[#This Row],[Impressions]]</f>
        <v>2.4517216589404794E-2</v>
      </c>
      <c r="K1490" s="7">
        <f>IFERROR(Table1[[#This Row],[Conversions]]/Table1[[#This Row],[Clicks]],0)</f>
        <v>0.11071789686552073</v>
      </c>
      <c r="L1490" s="6">
        <f>IF(Table1[[#This Row],[Conversions]]=0,0,Table1[[#This Row],[Ad Spend]]/Table1[[#This Row],[Conversions]])</f>
        <v>11.954657534246577</v>
      </c>
      <c r="M1490" s="8">
        <f>IF(Table1[[#This Row],[Ad Spend]]=0,0,Table1[[#This Row],[Revenue]]/Table1[[#This Row],[Ad Spend]])</f>
        <v>8.6146970860213816</v>
      </c>
      <c r="N1490">
        <f>YEAR(Table1[[#This Row],[Date]])</f>
        <v>2024</v>
      </c>
      <c r="O1490" t="str">
        <f>TEXT(Table1[[#This Row],[Date]],"mmm")</f>
        <v>Jun</v>
      </c>
      <c r="P1490">
        <f>MONTH(Table1[[#This Row],[Date]])</f>
        <v>6</v>
      </c>
    </row>
    <row r="1491" spans="1:16" x14ac:dyDescent="0.25">
      <c r="A1491" t="s">
        <v>1510</v>
      </c>
      <c r="B1491" t="s">
        <v>34</v>
      </c>
      <c r="C1491" t="s">
        <v>10</v>
      </c>
      <c r="D1491" s="1">
        <v>45554</v>
      </c>
      <c r="E1491">
        <v>60239</v>
      </c>
      <c r="F1491">
        <v>1691</v>
      </c>
      <c r="G1491">
        <v>136</v>
      </c>
      <c r="H1491" s="4">
        <v>350.95</v>
      </c>
      <c r="I1491" s="4">
        <v>4288.0600000000004</v>
      </c>
      <c r="J1491" s="7">
        <f>Table1[[#This Row],[Clicks]]/Table1[[#This Row],[Impressions]]</f>
        <v>2.8071515131393283E-2</v>
      </c>
      <c r="K1491" s="7">
        <f>IFERROR(Table1[[#This Row],[Conversions]]/Table1[[#This Row],[Clicks]],0)</f>
        <v>8.0425783560023653E-2</v>
      </c>
      <c r="L1491" s="6">
        <f>IF(Table1[[#This Row],[Conversions]]=0,0,Table1[[#This Row],[Ad Spend]]/Table1[[#This Row],[Conversions]])</f>
        <v>2.580514705882353</v>
      </c>
      <c r="M1491" s="8">
        <f>IF(Table1[[#This Row],[Ad Spend]]=0,0,Table1[[#This Row],[Revenue]]/Table1[[#This Row],[Ad Spend]])</f>
        <v>12.218435674597522</v>
      </c>
      <c r="N1491">
        <f>YEAR(Table1[[#This Row],[Date]])</f>
        <v>2024</v>
      </c>
      <c r="O1491" t="str">
        <f>TEXT(Table1[[#This Row],[Date]],"mmm")</f>
        <v>Sept</v>
      </c>
      <c r="P1491">
        <f>MONTH(Table1[[#This Row],[Date]])</f>
        <v>9</v>
      </c>
    </row>
    <row r="1492" spans="1:16" x14ac:dyDescent="0.25">
      <c r="A1492" t="s">
        <v>1511</v>
      </c>
      <c r="B1492" t="s">
        <v>16</v>
      </c>
      <c r="C1492" t="s">
        <v>17</v>
      </c>
      <c r="D1492" s="1">
        <v>45363</v>
      </c>
      <c r="E1492">
        <v>127485</v>
      </c>
      <c r="F1492">
        <v>6511</v>
      </c>
      <c r="G1492">
        <v>445</v>
      </c>
      <c r="H1492" s="4">
        <v>2013.97</v>
      </c>
      <c r="I1492" s="4">
        <v>35083.39</v>
      </c>
      <c r="J1492" s="7">
        <f>Table1[[#This Row],[Clicks]]/Table1[[#This Row],[Impressions]]</f>
        <v>5.1072675216692162E-2</v>
      </c>
      <c r="K1492" s="7">
        <f>IFERROR(Table1[[#This Row],[Conversions]]/Table1[[#This Row],[Clicks]],0)</f>
        <v>6.8345876209491632E-2</v>
      </c>
      <c r="L1492" s="6">
        <f>IF(Table1[[#This Row],[Conversions]]=0,0,Table1[[#This Row],[Ad Spend]]/Table1[[#This Row],[Conversions]])</f>
        <v>4.525775280898876</v>
      </c>
      <c r="M1492" s="8">
        <f>IF(Table1[[#This Row],[Ad Spend]]=0,0,Table1[[#This Row],[Revenue]]/Table1[[#This Row],[Ad Spend]])</f>
        <v>17.420016186934262</v>
      </c>
      <c r="N1492">
        <f>YEAR(Table1[[#This Row],[Date]])</f>
        <v>2024</v>
      </c>
      <c r="O1492" t="str">
        <f>TEXT(Table1[[#This Row],[Date]],"mmm")</f>
        <v>Mar</v>
      </c>
      <c r="P1492">
        <f>MONTH(Table1[[#This Row],[Date]])</f>
        <v>3</v>
      </c>
    </row>
    <row r="1493" spans="1:16" x14ac:dyDescent="0.25">
      <c r="A1493" t="s">
        <v>1512</v>
      </c>
      <c r="B1493" t="s">
        <v>31</v>
      </c>
      <c r="C1493" t="s">
        <v>19</v>
      </c>
      <c r="D1493" s="1">
        <v>45651</v>
      </c>
      <c r="E1493">
        <v>32423</v>
      </c>
      <c r="F1493">
        <v>1752</v>
      </c>
      <c r="G1493">
        <v>233</v>
      </c>
      <c r="H1493" s="4">
        <v>237.91</v>
      </c>
      <c r="I1493" s="4">
        <v>14478.8</v>
      </c>
      <c r="J1493" s="7">
        <f>Table1[[#This Row],[Clicks]]/Table1[[#This Row],[Impressions]]</f>
        <v>5.4035715387225118E-2</v>
      </c>
      <c r="K1493" s="7">
        <f>IFERROR(Table1[[#This Row],[Conversions]]/Table1[[#This Row],[Clicks]],0)</f>
        <v>0.13299086757990869</v>
      </c>
      <c r="L1493" s="6">
        <f>IF(Table1[[#This Row],[Conversions]]=0,0,Table1[[#This Row],[Ad Spend]]/Table1[[#This Row],[Conversions]])</f>
        <v>1.0210729613733907</v>
      </c>
      <c r="M1493" s="8">
        <f>IF(Table1[[#This Row],[Ad Spend]]=0,0,Table1[[#This Row],[Revenue]]/Table1[[#This Row],[Ad Spend]])</f>
        <v>60.858307763439953</v>
      </c>
      <c r="N1493">
        <f>YEAR(Table1[[#This Row],[Date]])</f>
        <v>2024</v>
      </c>
      <c r="O1493" t="str">
        <f>TEXT(Table1[[#This Row],[Date]],"mmm")</f>
        <v>Dec</v>
      </c>
      <c r="P1493">
        <f>MONTH(Table1[[#This Row],[Date]])</f>
        <v>12</v>
      </c>
    </row>
    <row r="1494" spans="1:16" x14ac:dyDescent="0.25">
      <c r="A1494" t="s">
        <v>1513</v>
      </c>
      <c r="B1494" t="s">
        <v>47</v>
      </c>
      <c r="C1494" t="s">
        <v>19</v>
      </c>
      <c r="D1494" s="1">
        <v>45623</v>
      </c>
      <c r="E1494">
        <v>31268</v>
      </c>
      <c r="F1494">
        <v>722</v>
      </c>
      <c r="G1494">
        <v>48</v>
      </c>
      <c r="H1494" s="4">
        <v>981.18</v>
      </c>
      <c r="I1494" s="4">
        <v>3584.53</v>
      </c>
      <c r="J1494" s="7">
        <f>Table1[[#This Row],[Clicks]]/Table1[[#This Row],[Impressions]]</f>
        <v>2.3090699756940003E-2</v>
      </c>
      <c r="K1494" s="7">
        <f>IFERROR(Table1[[#This Row],[Conversions]]/Table1[[#This Row],[Clicks]],0)</f>
        <v>6.6481994459833799E-2</v>
      </c>
      <c r="L1494" s="6">
        <f>IF(Table1[[#This Row],[Conversions]]=0,0,Table1[[#This Row],[Ad Spend]]/Table1[[#This Row],[Conversions]])</f>
        <v>20.44125</v>
      </c>
      <c r="M1494" s="8">
        <f>IF(Table1[[#This Row],[Ad Spend]]=0,0,Table1[[#This Row],[Revenue]]/Table1[[#This Row],[Ad Spend]])</f>
        <v>3.6532848203183925</v>
      </c>
      <c r="N1494">
        <f>YEAR(Table1[[#This Row],[Date]])</f>
        <v>2024</v>
      </c>
      <c r="O1494" t="str">
        <f>TEXT(Table1[[#This Row],[Date]],"mmm")</f>
        <v>Nov</v>
      </c>
      <c r="P1494">
        <f>MONTH(Table1[[#This Row],[Date]])</f>
        <v>11</v>
      </c>
    </row>
    <row r="1495" spans="1:16" x14ac:dyDescent="0.25">
      <c r="A1495" t="s">
        <v>1514</v>
      </c>
      <c r="B1495" t="s">
        <v>31</v>
      </c>
      <c r="C1495" t="s">
        <v>17</v>
      </c>
      <c r="D1495" s="1">
        <v>45706</v>
      </c>
      <c r="E1495">
        <v>124654</v>
      </c>
      <c r="F1495">
        <v>6425</v>
      </c>
      <c r="G1495">
        <v>708</v>
      </c>
      <c r="H1495" s="4">
        <v>3708.58</v>
      </c>
      <c r="I1495" s="4">
        <v>47688.9</v>
      </c>
      <c r="J1495" s="7">
        <f>Table1[[#This Row],[Clicks]]/Table1[[#This Row],[Impressions]]</f>
        <v>5.1542670110866877E-2</v>
      </c>
      <c r="K1495" s="7">
        <f>IFERROR(Table1[[#This Row],[Conversions]]/Table1[[#This Row],[Clicks]],0)</f>
        <v>0.11019455252918288</v>
      </c>
      <c r="L1495" s="6">
        <f>IF(Table1[[#This Row],[Conversions]]=0,0,Table1[[#This Row],[Ad Spend]]/Table1[[#This Row],[Conversions]])</f>
        <v>5.2381073446327679</v>
      </c>
      <c r="M1495" s="8">
        <f>IF(Table1[[#This Row],[Ad Spend]]=0,0,Table1[[#This Row],[Revenue]]/Table1[[#This Row],[Ad Spend]])</f>
        <v>12.859072744824164</v>
      </c>
      <c r="N1495">
        <f>YEAR(Table1[[#This Row],[Date]])</f>
        <v>2025</v>
      </c>
      <c r="O1495" t="str">
        <f>TEXT(Table1[[#This Row],[Date]],"mmm")</f>
        <v>Feb</v>
      </c>
      <c r="P1495">
        <f>MONTH(Table1[[#This Row],[Date]])</f>
        <v>2</v>
      </c>
    </row>
    <row r="1496" spans="1:16" x14ac:dyDescent="0.25">
      <c r="A1496" t="s">
        <v>1515</v>
      </c>
      <c r="B1496" t="s">
        <v>14</v>
      </c>
      <c r="C1496" t="s">
        <v>19</v>
      </c>
      <c r="D1496" s="1">
        <v>45662</v>
      </c>
      <c r="E1496">
        <v>102836</v>
      </c>
      <c r="F1496">
        <v>5354</v>
      </c>
      <c r="G1496">
        <v>442</v>
      </c>
      <c r="H1496" s="4">
        <v>2125.5300000000002</v>
      </c>
      <c r="I1496" s="4">
        <v>10613.7</v>
      </c>
      <c r="J1496" s="7">
        <f>Table1[[#This Row],[Clicks]]/Table1[[#This Row],[Impressions]]</f>
        <v>5.2063479715274807E-2</v>
      </c>
      <c r="K1496" s="7">
        <f>IFERROR(Table1[[#This Row],[Conversions]]/Table1[[#This Row],[Clicks]],0)</f>
        <v>8.2555098991408296E-2</v>
      </c>
      <c r="L1496" s="6">
        <f>IF(Table1[[#This Row],[Conversions]]=0,0,Table1[[#This Row],[Ad Spend]]/Table1[[#This Row],[Conversions]])</f>
        <v>4.8088914027149325</v>
      </c>
      <c r="M1496" s="8">
        <f>IF(Table1[[#This Row],[Ad Spend]]=0,0,Table1[[#This Row],[Revenue]]/Table1[[#This Row],[Ad Spend]])</f>
        <v>4.9934369310242621</v>
      </c>
      <c r="N1496">
        <f>YEAR(Table1[[#This Row],[Date]])</f>
        <v>2025</v>
      </c>
      <c r="O1496" t="str">
        <f>TEXT(Table1[[#This Row],[Date]],"mmm")</f>
        <v>Jan</v>
      </c>
      <c r="P1496">
        <f>MONTH(Table1[[#This Row],[Date]])</f>
        <v>1</v>
      </c>
    </row>
    <row r="1497" spans="1:16" x14ac:dyDescent="0.25">
      <c r="A1497" t="s">
        <v>1516</v>
      </c>
      <c r="B1497" t="s">
        <v>14</v>
      </c>
      <c r="C1497" t="s">
        <v>12</v>
      </c>
      <c r="D1497" s="1">
        <v>45347</v>
      </c>
      <c r="E1497">
        <v>115358</v>
      </c>
      <c r="F1497">
        <v>4592</v>
      </c>
      <c r="G1497">
        <v>252</v>
      </c>
      <c r="H1497" s="4">
        <v>2971.94</v>
      </c>
      <c r="I1497" s="4">
        <v>19985.52</v>
      </c>
      <c r="J1497" s="7">
        <f>Table1[[#This Row],[Clicks]]/Table1[[#This Row],[Impressions]]</f>
        <v>3.9806515369545242E-2</v>
      </c>
      <c r="K1497" s="7">
        <f>IFERROR(Table1[[#This Row],[Conversions]]/Table1[[#This Row],[Clicks]],0)</f>
        <v>5.4878048780487805E-2</v>
      </c>
      <c r="L1497" s="6">
        <f>IF(Table1[[#This Row],[Conversions]]=0,0,Table1[[#This Row],[Ad Spend]]/Table1[[#This Row],[Conversions]])</f>
        <v>11.793412698412698</v>
      </c>
      <c r="M1497" s="8">
        <f>IF(Table1[[#This Row],[Ad Spend]]=0,0,Table1[[#This Row],[Revenue]]/Table1[[#This Row],[Ad Spend]])</f>
        <v>6.7247387228544317</v>
      </c>
      <c r="N1497">
        <f>YEAR(Table1[[#This Row],[Date]])</f>
        <v>2024</v>
      </c>
      <c r="O1497" t="str">
        <f>TEXT(Table1[[#This Row],[Date]],"mmm")</f>
        <v>Feb</v>
      </c>
      <c r="P1497">
        <f>MONTH(Table1[[#This Row],[Date]])</f>
        <v>2</v>
      </c>
    </row>
    <row r="1498" spans="1:16" x14ac:dyDescent="0.25">
      <c r="A1498" t="s">
        <v>1517</v>
      </c>
      <c r="B1498" t="s">
        <v>16</v>
      </c>
      <c r="C1498" t="s">
        <v>12</v>
      </c>
      <c r="D1498" s="1">
        <v>45377</v>
      </c>
      <c r="E1498">
        <v>83795</v>
      </c>
      <c r="F1498">
        <v>6038</v>
      </c>
      <c r="G1498">
        <v>878</v>
      </c>
      <c r="H1498" s="4">
        <v>4725.66</v>
      </c>
      <c r="I1498" s="4">
        <v>34984.980000000003</v>
      </c>
      <c r="J1498" s="7">
        <f>Table1[[#This Row],[Clicks]]/Table1[[#This Row],[Impressions]]</f>
        <v>7.2056805298645499E-2</v>
      </c>
      <c r="K1498" s="7">
        <f>IFERROR(Table1[[#This Row],[Conversions]]/Table1[[#This Row],[Clicks]],0)</f>
        <v>0.14541238820801589</v>
      </c>
      <c r="L1498" s="6">
        <f>IF(Table1[[#This Row],[Conversions]]=0,0,Table1[[#This Row],[Ad Spend]]/Table1[[#This Row],[Conversions]])</f>
        <v>5.3823006833712981</v>
      </c>
      <c r="M1498" s="8">
        <f>IF(Table1[[#This Row],[Ad Spend]]=0,0,Table1[[#This Row],[Revenue]]/Table1[[#This Row],[Ad Spend]])</f>
        <v>7.4031944744226212</v>
      </c>
      <c r="N1498">
        <f>YEAR(Table1[[#This Row],[Date]])</f>
        <v>2024</v>
      </c>
      <c r="O1498" t="str">
        <f>TEXT(Table1[[#This Row],[Date]],"mmm")</f>
        <v>Mar</v>
      </c>
      <c r="P1498">
        <f>MONTH(Table1[[#This Row],[Date]])</f>
        <v>3</v>
      </c>
    </row>
    <row r="1499" spans="1:16" x14ac:dyDescent="0.25">
      <c r="A1499" t="s">
        <v>1518</v>
      </c>
      <c r="B1499" t="s">
        <v>16</v>
      </c>
      <c r="C1499" t="s">
        <v>37</v>
      </c>
      <c r="D1499" s="1">
        <v>45631</v>
      </c>
      <c r="E1499">
        <v>92332</v>
      </c>
      <c r="F1499">
        <v>6020</v>
      </c>
      <c r="G1499">
        <v>162</v>
      </c>
      <c r="H1499" s="4">
        <v>633.91</v>
      </c>
      <c r="I1499" s="4">
        <v>16084.39</v>
      </c>
      <c r="J1499" s="7">
        <f>Table1[[#This Row],[Clicks]]/Table1[[#This Row],[Impressions]]</f>
        <v>6.5199497465667375E-2</v>
      </c>
      <c r="K1499" s="7">
        <f>IFERROR(Table1[[#This Row],[Conversions]]/Table1[[#This Row],[Clicks]],0)</f>
        <v>2.6910299003322258E-2</v>
      </c>
      <c r="L1499" s="6">
        <f>IF(Table1[[#This Row],[Conversions]]=0,0,Table1[[#This Row],[Ad Spend]]/Table1[[#This Row],[Conversions]])</f>
        <v>3.9130246913580247</v>
      </c>
      <c r="M1499" s="8">
        <f>IF(Table1[[#This Row],[Ad Spend]]=0,0,Table1[[#This Row],[Revenue]]/Table1[[#This Row],[Ad Spend]])</f>
        <v>25.37330220378287</v>
      </c>
      <c r="N1499">
        <f>YEAR(Table1[[#This Row],[Date]])</f>
        <v>2024</v>
      </c>
      <c r="O1499" t="str">
        <f>TEXT(Table1[[#This Row],[Date]],"mmm")</f>
        <v>Dec</v>
      </c>
      <c r="P1499">
        <f>MONTH(Table1[[#This Row],[Date]])</f>
        <v>12</v>
      </c>
    </row>
    <row r="1500" spans="1:16" x14ac:dyDescent="0.25">
      <c r="A1500" t="s">
        <v>1519</v>
      </c>
      <c r="B1500" t="s">
        <v>16</v>
      </c>
      <c r="C1500" t="s">
        <v>19</v>
      </c>
      <c r="D1500" s="1">
        <v>45526</v>
      </c>
      <c r="E1500">
        <v>108807</v>
      </c>
      <c r="F1500">
        <v>2347</v>
      </c>
      <c r="G1500">
        <v>47</v>
      </c>
      <c r="H1500" s="4">
        <v>907.96</v>
      </c>
      <c r="I1500" s="4">
        <v>5089.8900000000003</v>
      </c>
      <c r="J1500" s="7">
        <f>Table1[[#This Row],[Clicks]]/Table1[[#This Row],[Impressions]]</f>
        <v>2.1570303381216283E-2</v>
      </c>
      <c r="K1500" s="7">
        <f>IFERROR(Table1[[#This Row],[Conversions]]/Table1[[#This Row],[Clicks]],0)</f>
        <v>2.0025564550489986E-2</v>
      </c>
      <c r="L1500" s="6">
        <f>IF(Table1[[#This Row],[Conversions]]=0,0,Table1[[#This Row],[Ad Spend]]/Table1[[#This Row],[Conversions]])</f>
        <v>19.318297872340427</v>
      </c>
      <c r="M1500" s="8">
        <f>IF(Table1[[#This Row],[Ad Spend]]=0,0,Table1[[#This Row],[Revenue]]/Table1[[#This Row],[Ad Spend]])</f>
        <v>5.6058526807348343</v>
      </c>
      <c r="N1500">
        <f>YEAR(Table1[[#This Row],[Date]])</f>
        <v>2024</v>
      </c>
      <c r="O1500" t="str">
        <f>TEXT(Table1[[#This Row],[Date]],"mmm")</f>
        <v>Aug</v>
      </c>
      <c r="P1500">
        <f>MONTH(Table1[[#This Row],[Date]])</f>
        <v>8</v>
      </c>
    </row>
    <row r="1501" spans="1:16" x14ac:dyDescent="0.25">
      <c r="A1501" t="s">
        <v>1520</v>
      </c>
      <c r="B1501" t="s">
        <v>34</v>
      </c>
      <c r="C1501" t="s">
        <v>19</v>
      </c>
      <c r="D1501" s="1">
        <v>45333</v>
      </c>
      <c r="E1501">
        <v>53390</v>
      </c>
      <c r="F1501">
        <v>1416</v>
      </c>
      <c r="G1501">
        <v>65</v>
      </c>
      <c r="H1501" s="4">
        <v>632.79999999999995</v>
      </c>
      <c r="I1501" s="4">
        <v>2890.76</v>
      </c>
      <c r="J1501" s="7">
        <f>Table1[[#This Row],[Clicks]]/Table1[[#This Row],[Impressions]]</f>
        <v>2.6521820565648998E-2</v>
      </c>
      <c r="K1501" s="7">
        <f>IFERROR(Table1[[#This Row],[Conversions]]/Table1[[#This Row],[Clicks]],0)</f>
        <v>4.5903954802259887E-2</v>
      </c>
      <c r="L1501" s="6">
        <f>IF(Table1[[#This Row],[Conversions]]=0,0,Table1[[#This Row],[Ad Spend]]/Table1[[#This Row],[Conversions]])</f>
        <v>9.7353846153846142</v>
      </c>
      <c r="M1501" s="8">
        <f>IF(Table1[[#This Row],[Ad Spend]]=0,0,Table1[[#This Row],[Revenue]]/Table1[[#This Row],[Ad Spend]])</f>
        <v>4.5682048040455125</v>
      </c>
      <c r="N1501">
        <f>YEAR(Table1[[#This Row],[Date]])</f>
        <v>2024</v>
      </c>
      <c r="O1501" t="str">
        <f>TEXT(Table1[[#This Row],[Date]],"mmm")</f>
        <v>Feb</v>
      </c>
      <c r="P1501">
        <f>MONTH(Table1[[#This Row],[Date]])</f>
        <v>2</v>
      </c>
    </row>
    <row r="1502" spans="1:16" x14ac:dyDescent="0.25">
      <c r="A1502" t="s">
        <v>1521</v>
      </c>
      <c r="B1502" t="s">
        <v>47</v>
      </c>
      <c r="C1502" t="s">
        <v>10</v>
      </c>
      <c r="D1502" s="1">
        <v>45536</v>
      </c>
      <c r="E1502">
        <v>46767</v>
      </c>
      <c r="F1502">
        <v>1596</v>
      </c>
      <c r="G1502">
        <v>129</v>
      </c>
      <c r="H1502" s="4">
        <v>3496.57</v>
      </c>
      <c r="I1502" s="4">
        <v>11594.26</v>
      </c>
      <c r="J1502" s="7">
        <f>Table1[[#This Row],[Clicks]]/Table1[[#This Row],[Impressions]]</f>
        <v>3.4126627750336778E-2</v>
      </c>
      <c r="K1502" s="7">
        <f>IFERROR(Table1[[#This Row],[Conversions]]/Table1[[#This Row],[Clicks]],0)</f>
        <v>8.0827067669172928E-2</v>
      </c>
      <c r="L1502" s="6">
        <f>IF(Table1[[#This Row],[Conversions]]=0,0,Table1[[#This Row],[Ad Spend]]/Table1[[#This Row],[Conversions]])</f>
        <v>27.105193798449612</v>
      </c>
      <c r="M1502" s="8">
        <f>IF(Table1[[#This Row],[Ad Spend]]=0,0,Table1[[#This Row],[Revenue]]/Table1[[#This Row],[Ad Spend]])</f>
        <v>3.3158952916715525</v>
      </c>
      <c r="N1502">
        <f>YEAR(Table1[[#This Row],[Date]])</f>
        <v>2024</v>
      </c>
      <c r="O1502" t="str">
        <f>TEXT(Table1[[#This Row],[Date]],"mmm")</f>
        <v>Sept</v>
      </c>
      <c r="P1502">
        <f>MONTH(Table1[[#This Row],[Date]])</f>
        <v>9</v>
      </c>
    </row>
    <row r="1503" spans="1:16" x14ac:dyDescent="0.25">
      <c r="A1503" t="s">
        <v>1522</v>
      </c>
      <c r="B1503" t="s">
        <v>41</v>
      </c>
      <c r="C1503" t="s">
        <v>17</v>
      </c>
      <c r="D1503" s="1">
        <v>45717</v>
      </c>
      <c r="E1503">
        <v>126499</v>
      </c>
      <c r="F1503">
        <v>7518</v>
      </c>
      <c r="G1503">
        <v>896</v>
      </c>
      <c r="H1503" s="4">
        <v>659.96</v>
      </c>
      <c r="I1503" s="4">
        <v>29433.81</v>
      </c>
      <c r="J1503" s="7">
        <f>Table1[[#This Row],[Clicks]]/Table1[[#This Row],[Impressions]]</f>
        <v>5.9431299852172742E-2</v>
      </c>
      <c r="K1503" s="7">
        <f>IFERROR(Table1[[#This Row],[Conversions]]/Table1[[#This Row],[Clicks]],0)</f>
        <v>0.11918063314711359</v>
      </c>
      <c r="L1503" s="6">
        <f>IF(Table1[[#This Row],[Conversions]]=0,0,Table1[[#This Row],[Ad Spend]]/Table1[[#This Row],[Conversions]])</f>
        <v>0.73656250000000001</v>
      </c>
      <c r="M1503" s="8">
        <f>IF(Table1[[#This Row],[Ad Spend]]=0,0,Table1[[#This Row],[Revenue]]/Table1[[#This Row],[Ad Spend]])</f>
        <v>44.599384811200679</v>
      </c>
      <c r="N1503">
        <f>YEAR(Table1[[#This Row],[Date]])</f>
        <v>2025</v>
      </c>
      <c r="O1503" t="str">
        <f>TEXT(Table1[[#This Row],[Date]],"mmm")</f>
        <v>Mar</v>
      </c>
      <c r="P1503">
        <f>MONTH(Table1[[#This Row],[Date]])</f>
        <v>3</v>
      </c>
    </row>
    <row r="1504" spans="1:16" x14ac:dyDescent="0.25">
      <c r="A1504" t="s">
        <v>1523</v>
      </c>
      <c r="B1504" t="s">
        <v>16</v>
      </c>
      <c r="C1504" t="s">
        <v>17</v>
      </c>
      <c r="D1504" s="1">
        <v>45687</v>
      </c>
      <c r="E1504">
        <v>90750</v>
      </c>
      <c r="F1504">
        <v>6612</v>
      </c>
      <c r="G1504">
        <v>836</v>
      </c>
      <c r="H1504" s="4">
        <v>3705.79</v>
      </c>
      <c r="I1504" s="4">
        <v>52215.93</v>
      </c>
      <c r="J1504" s="7">
        <f>Table1[[#This Row],[Clicks]]/Table1[[#This Row],[Impressions]]</f>
        <v>7.2859504132231412E-2</v>
      </c>
      <c r="K1504" s="7">
        <f>IFERROR(Table1[[#This Row],[Conversions]]/Table1[[#This Row],[Clicks]],0)</f>
        <v>0.12643678160919541</v>
      </c>
      <c r="L1504" s="6">
        <f>IF(Table1[[#This Row],[Conversions]]=0,0,Table1[[#This Row],[Ad Spend]]/Table1[[#This Row],[Conversions]])</f>
        <v>4.4327631578947368</v>
      </c>
      <c r="M1504" s="8">
        <f>IF(Table1[[#This Row],[Ad Spend]]=0,0,Table1[[#This Row],[Revenue]]/Table1[[#This Row],[Ad Spend]])</f>
        <v>14.090363997959949</v>
      </c>
      <c r="N1504">
        <f>YEAR(Table1[[#This Row],[Date]])</f>
        <v>2025</v>
      </c>
      <c r="O1504" t="str">
        <f>TEXT(Table1[[#This Row],[Date]],"mmm")</f>
        <v>Jan</v>
      </c>
      <c r="P1504">
        <f>MONTH(Table1[[#This Row],[Date]])</f>
        <v>1</v>
      </c>
    </row>
    <row r="1505" spans="1:16" x14ac:dyDescent="0.25">
      <c r="A1505" t="s">
        <v>1524</v>
      </c>
      <c r="B1505" t="s">
        <v>21</v>
      </c>
      <c r="C1505" t="s">
        <v>12</v>
      </c>
      <c r="D1505" s="1">
        <v>45328</v>
      </c>
      <c r="E1505">
        <v>95929</v>
      </c>
      <c r="F1505">
        <v>4238</v>
      </c>
      <c r="G1505">
        <v>492</v>
      </c>
      <c r="H1505" s="4">
        <v>3014.86</v>
      </c>
      <c r="I1505" s="4">
        <v>20747.349999999999</v>
      </c>
      <c r="J1505" s="7">
        <f>Table1[[#This Row],[Clicks]]/Table1[[#This Row],[Impressions]]</f>
        <v>4.4178507020817478E-2</v>
      </c>
      <c r="K1505" s="7">
        <f>IFERROR(Table1[[#This Row],[Conversions]]/Table1[[#This Row],[Clicks]],0)</f>
        <v>0.11609249646059462</v>
      </c>
      <c r="L1505" s="6">
        <f>IF(Table1[[#This Row],[Conversions]]=0,0,Table1[[#This Row],[Ad Spend]]/Table1[[#This Row],[Conversions]])</f>
        <v>6.1277642276422766</v>
      </c>
      <c r="M1505" s="8">
        <f>IF(Table1[[#This Row],[Ad Spend]]=0,0,Table1[[#This Row],[Revenue]]/Table1[[#This Row],[Ad Spend]])</f>
        <v>6.8816959991508719</v>
      </c>
      <c r="N1505">
        <f>YEAR(Table1[[#This Row],[Date]])</f>
        <v>2024</v>
      </c>
      <c r="O1505" t="str">
        <f>TEXT(Table1[[#This Row],[Date]],"mmm")</f>
        <v>Feb</v>
      </c>
      <c r="P1505">
        <f>MONTH(Table1[[#This Row],[Date]])</f>
        <v>2</v>
      </c>
    </row>
    <row r="1506" spans="1:16" x14ac:dyDescent="0.25">
      <c r="A1506" t="s">
        <v>1525</v>
      </c>
      <c r="B1506" t="s">
        <v>16</v>
      </c>
      <c r="C1506" t="s">
        <v>37</v>
      </c>
      <c r="D1506" s="1">
        <v>45480</v>
      </c>
      <c r="E1506">
        <v>99969</v>
      </c>
      <c r="F1506">
        <v>3377</v>
      </c>
      <c r="G1506">
        <v>428</v>
      </c>
      <c r="H1506" s="4">
        <v>3130.72</v>
      </c>
      <c r="I1506" s="4">
        <v>40732.089999999997</v>
      </c>
      <c r="J1506" s="7">
        <f>Table1[[#This Row],[Clicks]]/Table1[[#This Row],[Impressions]]</f>
        <v>3.3780471946303355E-2</v>
      </c>
      <c r="K1506" s="7">
        <f>IFERROR(Table1[[#This Row],[Conversions]]/Table1[[#This Row],[Clicks]],0)</f>
        <v>0.12673970980159904</v>
      </c>
      <c r="L1506" s="6">
        <f>IF(Table1[[#This Row],[Conversions]]=0,0,Table1[[#This Row],[Ad Spend]]/Table1[[#This Row],[Conversions]])</f>
        <v>7.3147663551401862</v>
      </c>
      <c r="M1506" s="8">
        <f>IF(Table1[[#This Row],[Ad Spend]]=0,0,Table1[[#This Row],[Revenue]]/Table1[[#This Row],[Ad Spend]])</f>
        <v>13.010454464148822</v>
      </c>
      <c r="N1506">
        <f>YEAR(Table1[[#This Row],[Date]])</f>
        <v>2024</v>
      </c>
      <c r="O1506" t="str">
        <f>TEXT(Table1[[#This Row],[Date]],"mmm")</f>
        <v>Jul</v>
      </c>
      <c r="P1506">
        <f>MONTH(Table1[[#This Row],[Date]])</f>
        <v>7</v>
      </c>
    </row>
    <row r="1507" spans="1:16" x14ac:dyDescent="0.25">
      <c r="A1507" t="s">
        <v>1526</v>
      </c>
      <c r="B1507" t="s">
        <v>9</v>
      </c>
      <c r="C1507" t="s">
        <v>37</v>
      </c>
      <c r="D1507" s="1">
        <v>45362</v>
      </c>
      <c r="E1507">
        <v>136058</v>
      </c>
      <c r="F1507">
        <v>3150</v>
      </c>
      <c r="G1507">
        <v>149</v>
      </c>
      <c r="H1507" s="4">
        <v>2289.92</v>
      </c>
      <c r="I1507" s="4">
        <v>8039.84</v>
      </c>
      <c r="J1507" s="7">
        <f>Table1[[#This Row],[Clicks]]/Table1[[#This Row],[Impressions]]</f>
        <v>2.315189110526393E-2</v>
      </c>
      <c r="K1507" s="7">
        <f>IFERROR(Table1[[#This Row],[Conversions]]/Table1[[#This Row],[Clicks]],0)</f>
        <v>4.7301587301587303E-2</v>
      </c>
      <c r="L1507" s="6">
        <f>IF(Table1[[#This Row],[Conversions]]=0,0,Table1[[#This Row],[Ad Spend]]/Table1[[#This Row],[Conversions]])</f>
        <v>15.368590604026846</v>
      </c>
      <c r="M1507" s="8">
        <f>IF(Table1[[#This Row],[Ad Spend]]=0,0,Table1[[#This Row],[Revenue]]/Table1[[#This Row],[Ad Spend]])</f>
        <v>3.5109698155394073</v>
      </c>
      <c r="N1507">
        <f>YEAR(Table1[[#This Row],[Date]])</f>
        <v>2024</v>
      </c>
      <c r="O1507" t="str">
        <f>TEXT(Table1[[#This Row],[Date]],"mmm")</f>
        <v>Mar</v>
      </c>
      <c r="P1507">
        <f>MONTH(Table1[[#This Row],[Date]])</f>
        <v>3</v>
      </c>
    </row>
    <row r="1508" spans="1:16" x14ac:dyDescent="0.25">
      <c r="A1508" t="s">
        <v>1527</v>
      </c>
      <c r="B1508" t="s">
        <v>16</v>
      </c>
      <c r="C1508" t="s">
        <v>17</v>
      </c>
      <c r="D1508" s="1">
        <v>45369</v>
      </c>
      <c r="E1508">
        <v>79701</v>
      </c>
      <c r="F1508">
        <v>2532</v>
      </c>
      <c r="G1508">
        <v>272</v>
      </c>
      <c r="H1508" s="4">
        <v>2507.13</v>
      </c>
      <c r="I1508" s="4">
        <v>12539.73</v>
      </c>
      <c r="J1508" s="7">
        <f>Table1[[#This Row],[Clicks]]/Table1[[#This Row],[Impressions]]</f>
        <v>3.1768735649489968E-2</v>
      </c>
      <c r="K1508" s="7">
        <f>IFERROR(Table1[[#This Row],[Conversions]]/Table1[[#This Row],[Clicks]],0)</f>
        <v>0.10742496050552923</v>
      </c>
      <c r="L1508" s="6">
        <f>IF(Table1[[#This Row],[Conversions]]=0,0,Table1[[#This Row],[Ad Spend]]/Table1[[#This Row],[Conversions]])</f>
        <v>9.2173897058823542</v>
      </c>
      <c r="M1508" s="8">
        <f>IF(Table1[[#This Row],[Ad Spend]]=0,0,Table1[[#This Row],[Revenue]]/Table1[[#This Row],[Ad Spend]])</f>
        <v>5.0016273587727795</v>
      </c>
      <c r="N1508">
        <f>YEAR(Table1[[#This Row],[Date]])</f>
        <v>2024</v>
      </c>
      <c r="O1508" t="str">
        <f>TEXT(Table1[[#This Row],[Date]],"mmm")</f>
        <v>Mar</v>
      </c>
      <c r="P1508">
        <f>MONTH(Table1[[#This Row],[Date]])</f>
        <v>3</v>
      </c>
    </row>
    <row r="1509" spans="1:16" x14ac:dyDescent="0.25">
      <c r="A1509" t="s">
        <v>1528</v>
      </c>
      <c r="B1509" t="s">
        <v>21</v>
      </c>
      <c r="C1509" t="s">
        <v>37</v>
      </c>
      <c r="D1509" s="1">
        <v>45375</v>
      </c>
      <c r="E1509">
        <v>109389</v>
      </c>
      <c r="F1509">
        <v>6318</v>
      </c>
      <c r="G1509">
        <v>811</v>
      </c>
      <c r="H1509" s="4">
        <v>2431.63</v>
      </c>
      <c r="I1509" s="4">
        <v>22922.14</v>
      </c>
      <c r="J1509" s="7">
        <f>Table1[[#This Row],[Clicks]]/Table1[[#This Row],[Impressions]]</f>
        <v>5.7757178509722187E-2</v>
      </c>
      <c r="K1509" s="7">
        <f>IFERROR(Table1[[#This Row],[Conversions]]/Table1[[#This Row],[Clicks]],0)</f>
        <v>0.12836340614118391</v>
      </c>
      <c r="L1509" s="6">
        <f>IF(Table1[[#This Row],[Conversions]]=0,0,Table1[[#This Row],[Ad Spend]]/Table1[[#This Row],[Conversions]])</f>
        <v>2.9983107274969174</v>
      </c>
      <c r="M1509" s="8">
        <f>IF(Table1[[#This Row],[Ad Spend]]=0,0,Table1[[#This Row],[Revenue]]/Table1[[#This Row],[Ad Spend]])</f>
        <v>9.4266561935820814</v>
      </c>
      <c r="N1509">
        <f>YEAR(Table1[[#This Row],[Date]])</f>
        <v>2024</v>
      </c>
      <c r="O1509" t="str">
        <f>TEXT(Table1[[#This Row],[Date]],"mmm")</f>
        <v>Mar</v>
      </c>
      <c r="P1509">
        <f>MONTH(Table1[[#This Row],[Date]])</f>
        <v>3</v>
      </c>
    </row>
    <row r="1510" spans="1:16" x14ac:dyDescent="0.25">
      <c r="A1510" t="s">
        <v>1529</v>
      </c>
      <c r="B1510" t="s">
        <v>9</v>
      </c>
      <c r="C1510" t="s">
        <v>17</v>
      </c>
      <c r="D1510" s="1">
        <v>45703</v>
      </c>
      <c r="E1510">
        <v>8204</v>
      </c>
      <c r="F1510">
        <v>174</v>
      </c>
      <c r="G1510">
        <v>6</v>
      </c>
      <c r="H1510" s="4">
        <v>2633.46</v>
      </c>
      <c r="I1510" s="4">
        <v>531.78</v>
      </c>
      <c r="J1510" s="7">
        <f>Table1[[#This Row],[Clicks]]/Table1[[#This Row],[Impressions]]</f>
        <v>2.12091662603608E-2</v>
      </c>
      <c r="K1510" s="7">
        <f>IFERROR(Table1[[#This Row],[Conversions]]/Table1[[#This Row],[Clicks]],0)</f>
        <v>3.4482758620689655E-2</v>
      </c>
      <c r="L1510" s="6">
        <f>IF(Table1[[#This Row],[Conversions]]=0,0,Table1[[#This Row],[Ad Spend]]/Table1[[#This Row],[Conversions]])</f>
        <v>438.91</v>
      </c>
      <c r="M1510" s="8">
        <f>IF(Table1[[#This Row],[Ad Spend]]=0,0,Table1[[#This Row],[Revenue]]/Table1[[#This Row],[Ad Spend]])</f>
        <v>0.20193205896425234</v>
      </c>
      <c r="N1510">
        <f>YEAR(Table1[[#This Row],[Date]])</f>
        <v>2025</v>
      </c>
      <c r="O1510" t="str">
        <f>TEXT(Table1[[#This Row],[Date]],"mmm")</f>
        <v>Feb</v>
      </c>
      <c r="P1510">
        <f>MONTH(Table1[[#This Row],[Date]])</f>
        <v>2</v>
      </c>
    </row>
    <row r="1511" spans="1:16" x14ac:dyDescent="0.25">
      <c r="A1511" t="s">
        <v>1530</v>
      </c>
      <c r="B1511" t="s">
        <v>31</v>
      </c>
      <c r="C1511" t="s">
        <v>17</v>
      </c>
      <c r="D1511" s="1">
        <v>45626</v>
      </c>
      <c r="E1511">
        <v>110304</v>
      </c>
      <c r="F1511">
        <v>4364</v>
      </c>
      <c r="G1511">
        <v>118</v>
      </c>
      <c r="H1511" s="4">
        <v>2239.91</v>
      </c>
      <c r="I1511" s="4">
        <v>11116.37</v>
      </c>
      <c r="J1511" s="7">
        <f>Table1[[#This Row],[Clicks]]/Table1[[#This Row],[Impressions]]</f>
        <v>3.956338845372788E-2</v>
      </c>
      <c r="K1511" s="7">
        <f>IFERROR(Table1[[#This Row],[Conversions]]/Table1[[#This Row],[Clicks]],0)</f>
        <v>2.7039413382218148E-2</v>
      </c>
      <c r="L1511" s="6">
        <f>IF(Table1[[#This Row],[Conversions]]=0,0,Table1[[#This Row],[Ad Spend]]/Table1[[#This Row],[Conversions]])</f>
        <v>18.982288135593219</v>
      </c>
      <c r="M1511" s="8">
        <f>IF(Table1[[#This Row],[Ad Spend]]=0,0,Table1[[#This Row],[Revenue]]/Table1[[#This Row],[Ad Spend]])</f>
        <v>4.9628645793804225</v>
      </c>
      <c r="N1511">
        <f>YEAR(Table1[[#This Row],[Date]])</f>
        <v>2024</v>
      </c>
      <c r="O1511" t="str">
        <f>TEXT(Table1[[#This Row],[Date]],"mmm")</f>
        <v>Nov</v>
      </c>
      <c r="P1511">
        <f>MONTH(Table1[[#This Row],[Date]])</f>
        <v>11</v>
      </c>
    </row>
    <row r="1512" spans="1:16" x14ac:dyDescent="0.25">
      <c r="A1512" t="s">
        <v>1531</v>
      </c>
      <c r="B1512" t="s">
        <v>9</v>
      </c>
      <c r="C1512" t="s">
        <v>12</v>
      </c>
      <c r="D1512" s="1">
        <v>45705</v>
      </c>
      <c r="E1512">
        <v>123035</v>
      </c>
      <c r="F1512">
        <v>5554</v>
      </c>
      <c r="G1512">
        <v>674</v>
      </c>
      <c r="H1512" s="4">
        <v>3617.71</v>
      </c>
      <c r="I1512" s="4">
        <v>70376.95</v>
      </c>
      <c r="J1512" s="7">
        <f>Table1[[#This Row],[Clicks]]/Table1[[#This Row],[Impressions]]</f>
        <v>4.5141626366481086E-2</v>
      </c>
      <c r="K1512" s="7">
        <f>IFERROR(Table1[[#This Row],[Conversions]]/Table1[[#This Row],[Clicks]],0)</f>
        <v>0.12135397911415197</v>
      </c>
      <c r="L1512" s="6">
        <f>IF(Table1[[#This Row],[Conversions]]=0,0,Table1[[#This Row],[Ad Spend]]/Table1[[#This Row],[Conversions]])</f>
        <v>5.3675222551928785</v>
      </c>
      <c r="M1512" s="8">
        <f>IF(Table1[[#This Row],[Ad Spend]]=0,0,Table1[[#This Row],[Revenue]]/Table1[[#This Row],[Ad Spend]])</f>
        <v>19.453452598466985</v>
      </c>
      <c r="N1512">
        <f>YEAR(Table1[[#This Row],[Date]])</f>
        <v>2025</v>
      </c>
      <c r="O1512" t="str">
        <f>TEXT(Table1[[#This Row],[Date]],"mmm")</f>
        <v>Feb</v>
      </c>
      <c r="P1512">
        <f>MONTH(Table1[[#This Row],[Date]])</f>
        <v>2</v>
      </c>
    </row>
    <row r="1513" spans="1:16" x14ac:dyDescent="0.25">
      <c r="A1513" t="s">
        <v>1532</v>
      </c>
      <c r="B1513" t="s">
        <v>47</v>
      </c>
      <c r="C1513" t="s">
        <v>10</v>
      </c>
      <c r="D1513" s="1">
        <v>45694</v>
      </c>
      <c r="E1513">
        <v>51881</v>
      </c>
      <c r="F1513">
        <v>4080</v>
      </c>
      <c r="G1513">
        <v>363</v>
      </c>
      <c r="H1513" s="4">
        <v>2040.66</v>
      </c>
      <c r="I1513" s="4">
        <v>31752.3</v>
      </c>
      <c r="J1513" s="7">
        <f>Table1[[#This Row],[Clicks]]/Table1[[#This Row],[Impressions]]</f>
        <v>7.8641506524546559E-2</v>
      </c>
      <c r="K1513" s="7">
        <f>IFERROR(Table1[[#This Row],[Conversions]]/Table1[[#This Row],[Clicks]],0)</f>
        <v>8.8970588235294121E-2</v>
      </c>
      <c r="L1513" s="6">
        <f>IF(Table1[[#This Row],[Conversions]]=0,0,Table1[[#This Row],[Ad Spend]]/Table1[[#This Row],[Conversions]])</f>
        <v>5.6216528925619835</v>
      </c>
      <c r="M1513" s="8">
        <f>IF(Table1[[#This Row],[Ad Spend]]=0,0,Table1[[#This Row],[Revenue]]/Table1[[#This Row],[Ad Spend]])</f>
        <v>15.55981888212637</v>
      </c>
      <c r="N1513">
        <f>YEAR(Table1[[#This Row],[Date]])</f>
        <v>2025</v>
      </c>
      <c r="O1513" t="str">
        <f>TEXT(Table1[[#This Row],[Date]],"mmm")</f>
        <v>Feb</v>
      </c>
      <c r="P1513">
        <f>MONTH(Table1[[#This Row],[Date]])</f>
        <v>2</v>
      </c>
    </row>
    <row r="1514" spans="1:16" x14ac:dyDescent="0.25">
      <c r="A1514" t="s">
        <v>1533</v>
      </c>
      <c r="B1514" t="s">
        <v>16</v>
      </c>
      <c r="C1514" t="s">
        <v>10</v>
      </c>
      <c r="D1514" s="1">
        <v>45464</v>
      </c>
      <c r="E1514">
        <v>72590</v>
      </c>
      <c r="F1514">
        <v>1730</v>
      </c>
      <c r="G1514">
        <v>217</v>
      </c>
      <c r="H1514" s="4">
        <v>3692.62</v>
      </c>
      <c r="I1514" s="4">
        <v>14213.27</v>
      </c>
      <c r="J1514" s="7">
        <f>Table1[[#This Row],[Clicks]]/Table1[[#This Row],[Impressions]]</f>
        <v>2.383248381319741E-2</v>
      </c>
      <c r="K1514" s="7">
        <f>IFERROR(Table1[[#This Row],[Conversions]]/Table1[[#This Row],[Clicks]],0)</f>
        <v>0.12543352601156069</v>
      </c>
      <c r="L1514" s="6">
        <f>IF(Table1[[#This Row],[Conversions]]=0,0,Table1[[#This Row],[Ad Spend]]/Table1[[#This Row],[Conversions]])</f>
        <v>17.016682027649768</v>
      </c>
      <c r="M1514" s="8">
        <f>IF(Table1[[#This Row],[Ad Spend]]=0,0,Table1[[#This Row],[Revenue]]/Table1[[#This Row],[Ad Spend]])</f>
        <v>3.8491017218126968</v>
      </c>
      <c r="N1514">
        <f>YEAR(Table1[[#This Row],[Date]])</f>
        <v>2024</v>
      </c>
      <c r="O1514" t="str">
        <f>TEXT(Table1[[#This Row],[Date]],"mmm")</f>
        <v>Jun</v>
      </c>
      <c r="P1514">
        <f>MONTH(Table1[[#This Row],[Date]])</f>
        <v>6</v>
      </c>
    </row>
    <row r="1515" spans="1:16" x14ac:dyDescent="0.25">
      <c r="A1515" t="s">
        <v>1534</v>
      </c>
      <c r="B1515" t="s">
        <v>31</v>
      </c>
      <c r="C1515" t="s">
        <v>17</v>
      </c>
      <c r="D1515" s="1">
        <v>45436</v>
      </c>
      <c r="E1515">
        <v>15444</v>
      </c>
      <c r="F1515">
        <v>285</v>
      </c>
      <c r="G1515">
        <v>23</v>
      </c>
      <c r="H1515" s="4">
        <v>1962.1</v>
      </c>
      <c r="I1515" s="4">
        <v>2505.08</v>
      </c>
      <c r="J1515" s="7">
        <f>Table1[[#This Row],[Clicks]]/Table1[[#This Row],[Impressions]]</f>
        <v>1.8453768453768452E-2</v>
      </c>
      <c r="K1515" s="7">
        <f>IFERROR(Table1[[#This Row],[Conversions]]/Table1[[#This Row],[Clicks]],0)</f>
        <v>8.0701754385964913E-2</v>
      </c>
      <c r="L1515" s="6">
        <f>IF(Table1[[#This Row],[Conversions]]=0,0,Table1[[#This Row],[Ad Spend]]/Table1[[#This Row],[Conversions]])</f>
        <v>85.30869565217391</v>
      </c>
      <c r="M1515" s="8">
        <f>IF(Table1[[#This Row],[Ad Spend]]=0,0,Table1[[#This Row],[Revenue]]/Table1[[#This Row],[Ad Spend]])</f>
        <v>1.2767341114112432</v>
      </c>
      <c r="N1515">
        <f>YEAR(Table1[[#This Row],[Date]])</f>
        <v>2024</v>
      </c>
      <c r="O1515" t="str">
        <f>TEXT(Table1[[#This Row],[Date]],"mmm")</f>
        <v>May</v>
      </c>
      <c r="P1515">
        <f>MONTH(Table1[[#This Row],[Date]])</f>
        <v>5</v>
      </c>
    </row>
    <row r="1516" spans="1:16" x14ac:dyDescent="0.25">
      <c r="A1516" t="s">
        <v>1535</v>
      </c>
      <c r="B1516" t="s">
        <v>47</v>
      </c>
      <c r="C1516" t="s">
        <v>19</v>
      </c>
      <c r="D1516" s="1">
        <v>45509</v>
      </c>
      <c r="E1516">
        <v>93463</v>
      </c>
      <c r="F1516">
        <v>5350</v>
      </c>
      <c r="G1516">
        <v>640</v>
      </c>
      <c r="H1516" s="4">
        <v>312.95</v>
      </c>
      <c r="I1516" s="4">
        <v>29903.07</v>
      </c>
      <c r="J1516" s="7">
        <f>Table1[[#This Row],[Clicks]]/Table1[[#This Row],[Impressions]]</f>
        <v>5.7241903213036176E-2</v>
      </c>
      <c r="K1516" s="7">
        <f>IFERROR(Table1[[#This Row],[Conversions]]/Table1[[#This Row],[Clicks]],0)</f>
        <v>0.11962616822429907</v>
      </c>
      <c r="L1516" s="6">
        <f>IF(Table1[[#This Row],[Conversions]]=0,0,Table1[[#This Row],[Ad Spend]]/Table1[[#This Row],[Conversions]])</f>
        <v>0.48898437499999997</v>
      </c>
      <c r="M1516" s="8">
        <f>IF(Table1[[#This Row],[Ad Spend]]=0,0,Table1[[#This Row],[Revenue]]/Table1[[#This Row],[Ad Spend]])</f>
        <v>95.552228790541619</v>
      </c>
      <c r="N1516">
        <f>YEAR(Table1[[#This Row],[Date]])</f>
        <v>2024</v>
      </c>
      <c r="O1516" t="str">
        <f>TEXT(Table1[[#This Row],[Date]],"mmm")</f>
        <v>Aug</v>
      </c>
      <c r="P1516">
        <f>MONTH(Table1[[#This Row],[Date]])</f>
        <v>8</v>
      </c>
    </row>
    <row r="1517" spans="1:16" x14ac:dyDescent="0.25">
      <c r="A1517" t="s">
        <v>1536</v>
      </c>
      <c r="B1517" t="s">
        <v>34</v>
      </c>
      <c r="C1517" t="s">
        <v>19</v>
      </c>
      <c r="D1517" s="1">
        <v>45505</v>
      </c>
      <c r="E1517">
        <v>9592</v>
      </c>
      <c r="F1517">
        <v>395</v>
      </c>
      <c r="G1517">
        <v>23</v>
      </c>
      <c r="H1517" s="4">
        <v>370.95</v>
      </c>
      <c r="I1517" s="4">
        <v>716.87</v>
      </c>
      <c r="J1517" s="7">
        <f>Table1[[#This Row],[Clicks]]/Table1[[#This Row],[Impressions]]</f>
        <v>4.1180150125104252E-2</v>
      </c>
      <c r="K1517" s="7">
        <f>IFERROR(Table1[[#This Row],[Conversions]]/Table1[[#This Row],[Clicks]],0)</f>
        <v>5.8227848101265821E-2</v>
      </c>
      <c r="L1517" s="6">
        <f>IF(Table1[[#This Row],[Conversions]]=0,0,Table1[[#This Row],[Ad Spend]]/Table1[[#This Row],[Conversions]])</f>
        <v>16.128260869565217</v>
      </c>
      <c r="M1517" s="8">
        <f>IF(Table1[[#This Row],[Ad Spend]]=0,0,Table1[[#This Row],[Revenue]]/Table1[[#This Row],[Ad Spend]])</f>
        <v>1.932524599002561</v>
      </c>
      <c r="N1517">
        <f>YEAR(Table1[[#This Row],[Date]])</f>
        <v>2024</v>
      </c>
      <c r="O1517" t="str">
        <f>TEXT(Table1[[#This Row],[Date]],"mmm")</f>
        <v>Aug</v>
      </c>
      <c r="P1517">
        <f>MONTH(Table1[[#This Row],[Date]])</f>
        <v>8</v>
      </c>
    </row>
    <row r="1518" spans="1:16" x14ac:dyDescent="0.25">
      <c r="A1518" t="s">
        <v>1537</v>
      </c>
      <c r="B1518" t="s">
        <v>31</v>
      </c>
      <c r="C1518" t="s">
        <v>12</v>
      </c>
      <c r="D1518" s="1">
        <v>45670</v>
      </c>
      <c r="E1518">
        <v>108865</v>
      </c>
      <c r="F1518">
        <v>2983</v>
      </c>
      <c r="G1518">
        <v>92</v>
      </c>
      <c r="H1518" s="4">
        <v>653.95000000000005</v>
      </c>
      <c r="I1518" s="4">
        <v>8526.44</v>
      </c>
      <c r="J1518" s="7">
        <f>Table1[[#This Row],[Clicks]]/Table1[[#This Row],[Impressions]]</f>
        <v>2.7400909383181005E-2</v>
      </c>
      <c r="K1518" s="7">
        <f>IFERROR(Table1[[#This Row],[Conversions]]/Table1[[#This Row],[Clicks]],0)</f>
        <v>3.0841434797184042E-2</v>
      </c>
      <c r="L1518" s="6">
        <f>IF(Table1[[#This Row],[Conversions]]=0,0,Table1[[#This Row],[Ad Spend]]/Table1[[#This Row],[Conversions]])</f>
        <v>7.1081521739130435</v>
      </c>
      <c r="M1518" s="8">
        <f>IF(Table1[[#This Row],[Ad Spend]]=0,0,Table1[[#This Row],[Revenue]]/Table1[[#This Row],[Ad Spend]])</f>
        <v>13.038366847618319</v>
      </c>
      <c r="N1518">
        <f>YEAR(Table1[[#This Row],[Date]])</f>
        <v>2025</v>
      </c>
      <c r="O1518" t="str">
        <f>TEXT(Table1[[#This Row],[Date]],"mmm")</f>
        <v>Jan</v>
      </c>
      <c r="P1518">
        <f>MONTH(Table1[[#This Row],[Date]])</f>
        <v>1</v>
      </c>
    </row>
    <row r="1519" spans="1:16" x14ac:dyDescent="0.25">
      <c r="A1519" t="s">
        <v>1538</v>
      </c>
      <c r="B1519" t="s">
        <v>41</v>
      </c>
      <c r="C1519" t="s">
        <v>17</v>
      </c>
      <c r="D1519" s="1">
        <v>45432</v>
      </c>
      <c r="E1519">
        <v>95540</v>
      </c>
      <c r="F1519">
        <v>7454</v>
      </c>
      <c r="G1519">
        <v>816</v>
      </c>
      <c r="H1519" s="4">
        <v>1371.68</v>
      </c>
      <c r="I1519" s="4">
        <v>83686.63</v>
      </c>
      <c r="J1519" s="7">
        <f>Table1[[#This Row],[Clicks]]/Table1[[#This Row],[Impressions]]</f>
        <v>7.8019677621938455E-2</v>
      </c>
      <c r="K1519" s="7">
        <f>IFERROR(Table1[[#This Row],[Conversions]]/Table1[[#This Row],[Clicks]],0)</f>
        <v>0.1094714247383955</v>
      </c>
      <c r="L1519" s="6">
        <f>IF(Table1[[#This Row],[Conversions]]=0,0,Table1[[#This Row],[Ad Spend]]/Table1[[#This Row],[Conversions]])</f>
        <v>1.6809803921568629</v>
      </c>
      <c r="M1519" s="8">
        <f>IF(Table1[[#This Row],[Ad Spend]]=0,0,Table1[[#This Row],[Revenue]]/Table1[[#This Row],[Ad Spend]])</f>
        <v>61.010315817100199</v>
      </c>
      <c r="N1519">
        <f>YEAR(Table1[[#This Row],[Date]])</f>
        <v>2024</v>
      </c>
      <c r="O1519" t="str">
        <f>TEXT(Table1[[#This Row],[Date]],"mmm")</f>
        <v>May</v>
      </c>
      <c r="P1519">
        <f>MONTH(Table1[[#This Row],[Date]])</f>
        <v>5</v>
      </c>
    </row>
    <row r="1520" spans="1:16" x14ac:dyDescent="0.25">
      <c r="A1520" t="s">
        <v>1539</v>
      </c>
      <c r="B1520" t="s">
        <v>41</v>
      </c>
      <c r="C1520" t="s">
        <v>10</v>
      </c>
      <c r="D1520" s="1">
        <v>45331</v>
      </c>
      <c r="E1520">
        <v>90613</v>
      </c>
      <c r="F1520">
        <v>3270</v>
      </c>
      <c r="G1520">
        <v>127</v>
      </c>
      <c r="H1520" s="4">
        <v>4888.8500000000004</v>
      </c>
      <c r="I1520" s="4">
        <v>10640.24</v>
      </c>
      <c r="J1520" s="7">
        <f>Table1[[#This Row],[Clicks]]/Table1[[#This Row],[Impressions]]</f>
        <v>3.6087537108361933E-2</v>
      </c>
      <c r="K1520" s="7">
        <f>IFERROR(Table1[[#This Row],[Conversions]]/Table1[[#This Row],[Clicks]],0)</f>
        <v>3.8837920489296636E-2</v>
      </c>
      <c r="L1520" s="6">
        <f>IF(Table1[[#This Row],[Conversions]]=0,0,Table1[[#This Row],[Ad Spend]]/Table1[[#This Row],[Conversions]])</f>
        <v>38.494881889763782</v>
      </c>
      <c r="M1520" s="8">
        <f>IF(Table1[[#This Row],[Ad Spend]]=0,0,Table1[[#This Row],[Revenue]]/Table1[[#This Row],[Ad Spend]])</f>
        <v>2.1764300397844072</v>
      </c>
      <c r="N1520">
        <f>YEAR(Table1[[#This Row],[Date]])</f>
        <v>2024</v>
      </c>
      <c r="O1520" t="str">
        <f>TEXT(Table1[[#This Row],[Date]],"mmm")</f>
        <v>Feb</v>
      </c>
      <c r="P1520">
        <f>MONTH(Table1[[#This Row],[Date]])</f>
        <v>2</v>
      </c>
    </row>
    <row r="1521" spans="1:16" x14ac:dyDescent="0.25">
      <c r="A1521" t="s">
        <v>1540</v>
      </c>
      <c r="B1521" t="s">
        <v>9</v>
      </c>
      <c r="C1521" t="s">
        <v>17</v>
      </c>
      <c r="D1521" s="1">
        <v>45554</v>
      </c>
      <c r="E1521">
        <v>25647</v>
      </c>
      <c r="F1521">
        <v>862</v>
      </c>
      <c r="G1521">
        <v>88</v>
      </c>
      <c r="H1521" s="4">
        <v>1649.53</v>
      </c>
      <c r="I1521" s="4">
        <v>5286.51</v>
      </c>
      <c r="J1521" s="7">
        <f>Table1[[#This Row],[Clicks]]/Table1[[#This Row],[Impressions]]</f>
        <v>3.3610168830662458E-2</v>
      </c>
      <c r="K1521" s="7">
        <f>IFERROR(Table1[[#This Row],[Conversions]]/Table1[[#This Row],[Clicks]],0)</f>
        <v>0.10208816705336426</v>
      </c>
      <c r="L1521" s="6">
        <f>IF(Table1[[#This Row],[Conversions]]=0,0,Table1[[#This Row],[Ad Spend]]/Table1[[#This Row],[Conversions]])</f>
        <v>18.744659090909092</v>
      </c>
      <c r="M1521" s="8">
        <f>IF(Table1[[#This Row],[Ad Spend]]=0,0,Table1[[#This Row],[Revenue]]/Table1[[#This Row],[Ad Spend]])</f>
        <v>3.2048583535916295</v>
      </c>
      <c r="N1521">
        <f>YEAR(Table1[[#This Row],[Date]])</f>
        <v>2024</v>
      </c>
      <c r="O1521" t="str">
        <f>TEXT(Table1[[#This Row],[Date]],"mmm")</f>
        <v>Sept</v>
      </c>
      <c r="P1521">
        <f>MONTH(Table1[[#This Row],[Date]])</f>
        <v>9</v>
      </c>
    </row>
    <row r="1522" spans="1:16" x14ac:dyDescent="0.25">
      <c r="A1522" t="s">
        <v>1541</v>
      </c>
      <c r="B1522" t="s">
        <v>16</v>
      </c>
      <c r="C1522" t="s">
        <v>19</v>
      </c>
      <c r="D1522" s="1">
        <v>45661</v>
      </c>
      <c r="E1522">
        <v>25783</v>
      </c>
      <c r="F1522">
        <v>1768</v>
      </c>
      <c r="G1522">
        <v>134</v>
      </c>
      <c r="H1522" s="4">
        <v>758.84</v>
      </c>
      <c r="I1522" s="4">
        <v>5248.02</v>
      </c>
      <c r="J1522" s="7">
        <f>Table1[[#This Row],[Clicks]]/Table1[[#This Row],[Impressions]]</f>
        <v>6.857231509133925E-2</v>
      </c>
      <c r="K1522" s="7">
        <f>IFERROR(Table1[[#This Row],[Conversions]]/Table1[[#This Row],[Clicks]],0)</f>
        <v>7.5791855203619904E-2</v>
      </c>
      <c r="L1522" s="6">
        <f>IF(Table1[[#This Row],[Conversions]]=0,0,Table1[[#This Row],[Ad Spend]]/Table1[[#This Row],[Conversions]])</f>
        <v>5.6629850746268655</v>
      </c>
      <c r="M1522" s="8">
        <f>IF(Table1[[#This Row],[Ad Spend]]=0,0,Table1[[#This Row],[Revenue]]/Table1[[#This Row],[Ad Spend]])</f>
        <v>6.915845237467714</v>
      </c>
      <c r="N1522">
        <f>YEAR(Table1[[#This Row],[Date]])</f>
        <v>2025</v>
      </c>
      <c r="O1522" t="str">
        <f>TEXT(Table1[[#This Row],[Date]],"mmm")</f>
        <v>Jan</v>
      </c>
      <c r="P1522">
        <f>MONTH(Table1[[#This Row],[Date]])</f>
        <v>1</v>
      </c>
    </row>
    <row r="1523" spans="1:16" x14ac:dyDescent="0.25">
      <c r="A1523" t="s">
        <v>1542</v>
      </c>
      <c r="B1523" t="s">
        <v>34</v>
      </c>
      <c r="C1523" t="s">
        <v>19</v>
      </c>
      <c r="D1523" s="1">
        <v>45607</v>
      </c>
      <c r="E1523">
        <v>139752</v>
      </c>
      <c r="F1523">
        <v>6671</v>
      </c>
      <c r="G1523">
        <v>821</v>
      </c>
      <c r="H1523" s="4">
        <v>3532.43</v>
      </c>
      <c r="I1523" s="4">
        <v>20429.04</v>
      </c>
      <c r="J1523" s="7">
        <f>Table1[[#This Row],[Clicks]]/Table1[[#This Row],[Impressions]]</f>
        <v>4.7734558360524357E-2</v>
      </c>
      <c r="K1523" s="7">
        <f>IFERROR(Table1[[#This Row],[Conversions]]/Table1[[#This Row],[Clicks]],0)</f>
        <v>0.1230700044970769</v>
      </c>
      <c r="L1523" s="6">
        <f>IF(Table1[[#This Row],[Conversions]]=0,0,Table1[[#This Row],[Ad Spend]]/Table1[[#This Row],[Conversions]])</f>
        <v>4.3025943970767351</v>
      </c>
      <c r="M1523" s="8">
        <f>IF(Table1[[#This Row],[Ad Spend]]=0,0,Table1[[#This Row],[Revenue]]/Table1[[#This Row],[Ad Spend]])</f>
        <v>5.7832823297276947</v>
      </c>
      <c r="N1523">
        <f>YEAR(Table1[[#This Row],[Date]])</f>
        <v>2024</v>
      </c>
      <c r="O1523" t="str">
        <f>TEXT(Table1[[#This Row],[Date]],"mmm")</f>
        <v>Nov</v>
      </c>
      <c r="P1523">
        <f>MONTH(Table1[[#This Row],[Date]])</f>
        <v>11</v>
      </c>
    </row>
    <row r="1524" spans="1:16" x14ac:dyDescent="0.25">
      <c r="A1524" t="s">
        <v>1543</v>
      </c>
      <c r="B1524" t="s">
        <v>41</v>
      </c>
      <c r="C1524" t="s">
        <v>37</v>
      </c>
      <c r="D1524" s="1">
        <v>45681</v>
      </c>
      <c r="E1524">
        <v>119542</v>
      </c>
      <c r="F1524">
        <v>3494</v>
      </c>
      <c r="G1524">
        <v>382</v>
      </c>
      <c r="H1524" s="4">
        <v>1091.42</v>
      </c>
      <c r="I1524" s="4">
        <v>26799.71</v>
      </c>
      <c r="J1524" s="7">
        <f>Table1[[#This Row],[Clicks]]/Table1[[#This Row],[Impressions]]</f>
        <v>2.922822104364993E-2</v>
      </c>
      <c r="K1524" s="7">
        <f>IFERROR(Table1[[#This Row],[Conversions]]/Table1[[#This Row],[Clicks]],0)</f>
        <v>0.10933028048082427</v>
      </c>
      <c r="L1524" s="6">
        <f>IF(Table1[[#This Row],[Conversions]]=0,0,Table1[[#This Row],[Ad Spend]]/Table1[[#This Row],[Conversions]])</f>
        <v>2.8571204188481678</v>
      </c>
      <c r="M1524" s="8">
        <f>IF(Table1[[#This Row],[Ad Spend]]=0,0,Table1[[#This Row],[Revenue]]/Table1[[#This Row],[Ad Spend]])</f>
        <v>24.554900954719539</v>
      </c>
      <c r="N1524">
        <f>YEAR(Table1[[#This Row],[Date]])</f>
        <v>2025</v>
      </c>
      <c r="O1524" t="str">
        <f>TEXT(Table1[[#This Row],[Date]],"mmm")</f>
        <v>Jan</v>
      </c>
      <c r="P1524">
        <f>MONTH(Table1[[#This Row],[Date]])</f>
        <v>1</v>
      </c>
    </row>
    <row r="1525" spans="1:16" x14ac:dyDescent="0.25">
      <c r="A1525" t="s">
        <v>1544</v>
      </c>
      <c r="B1525" t="s">
        <v>31</v>
      </c>
      <c r="C1525" t="s">
        <v>12</v>
      </c>
      <c r="D1525" s="1">
        <v>45496</v>
      </c>
      <c r="E1525">
        <v>52516</v>
      </c>
      <c r="F1525">
        <v>3018</v>
      </c>
      <c r="G1525">
        <v>167</v>
      </c>
      <c r="H1525" s="4">
        <v>2154.48</v>
      </c>
      <c r="I1525" s="4">
        <v>3652.61</v>
      </c>
      <c r="J1525" s="7">
        <f>Table1[[#This Row],[Clicks]]/Table1[[#This Row],[Impressions]]</f>
        <v>5.7468200167567977E-2</v>
      </c>
      <c r="K1525" s="7">
        <f>IFERROR(Table1[[#This Row],[Conversions]]/Table1[[#This Row],[Clicks]],0)</f>
        <v>5.5334658714380383E-2</v>
      </c>
      <c r="L1525" s="6">
        <f>IF(Table1[[#This Row],[Conversions]]=0,0,Table1[[#This Row],[Ad Spend]]/Table1[[#This Row],[Conversions]])</f>
        <v>12.901077844311377</v>
      </c>
      <c r="M1525" s="8">
        <f>IF(Table1[[#This Row],[Ad Spend]]=0,0,Table1[[#This Row],[Revenue]]/Table1[[#This Row],[Ad Spend]])</f>
        <v>1.6953557238869705</v>
      </c>
      <c r="N1525">
        <f>YEAR(Table1[[#This Row],[Date]])</f>
        <v>2024</v>
      </c>
      <c r="O1525" t="str">
        <f>TEXT(Table1[[#This Row],[Date]],"mmm")</f>
        <v>Jul</v>
      </c>
      <c r="P1525">
        <f>MONTH(Table1[[#This Row],[Date]])</f>
        <v>7</v>
      </c>
    </row>
    <row r="1526" spans="1:16" x14ac:dyDescent="0.25">
      <c r="A1526" t="s">
        <v>1545</v>
      </c>
      <c r="B1526" t="s">
        <v>21</v>
      </c>
      <c r="C1526" t="s">
        <v>37</v>
      </c>
      <c r="D1526" s="1">
        <v>45432</v>
      </c>
      <c r="E1526">
        <v>75006</v>
      </c>
      <c r="F1526">
        <v>3178</v>
      </c>
      <c r="G1526">
        <v>390</v>
      </c>
      <c r="H1526" s="4">
        <v>3247.31</v>
      </c>
      <c r="I1526" s="4">
        <v>11588.76</v>
      </c>
      <c r="J1526" s="7">
        <f>Table1[[#This Row],[Clicks]]/Table1[[#This Row],[Impressions]]</f>
        <v>4.2369943737834308E-2</v>
      </c>
      <c r="K1526" s="7">
        <f>IFERROR(Table1[[#This Row],[Conversions]]/Table1[[#This Row],[Clicks]],0)</f>
        <v>0.12271869100062932</v>
      </c>
      <c r="L1526" s="6">
        <f>IF(Table1[[#This Row],[Conversions]]=0,0,Table1[[#This Row],[Ad Spend]]/Table1[[#This Row],[Conversions]])</f>
        <v>8.3264358974358981</v>
      </c>
      <c r="M1526" s="8">
        <f>IF(Table1[[#This Row],[Ad Spend]]=0,0,Table1[[#This Row],[Revenue]]/Table1[[#This Row],[Ad Spend]])</f>
        <v>3.5687261148458265</v>
      </c>
      <c r="N1526">
        <f>YEAR(Table1[[#This Row],[Date]])</f>
        <v>2024</v>
      </c>
      <c r="O1526" t="str">
        <f>TEXT(Table1[[#This Row],[Date]],"mmm")</f>
        <v>May</v>
      </c>
      <c r="P1526">
        <f>MONTH(Table1[[#This Row],[Date]])</f>
        <v>5</v>
      </c>
    </row>
    <row r="1527" spans="1:16" x14ac:dyDescent="0.25">
      <c r="A1527" t="s">
        <v>1546</v>
      </c>
      <c r="B1527" t="s">
        <v>14</v>
      </c>
      <c r="C1527" t="s">
        <v>10</v>
      </c>
      <c r="D1527" s="1">
        <v>45655</v>
      </c>
      <c r="E1527">
        <v>90094</v>
      </c>
      <c r="F1527">
        <v>2295</v>
      </c>
      <c r="G1527">
        <v>228</v>
      </c>
      <c r="H1527" s="4">
        <v>3695.19</v>
      </c>
      <c r="I1527" s="4">
        <v>18452.41</v>
      </c>
      <c r="J1527" s="7">
        <f>Table1[[#This Row],[Clicks]]/Table1[[#This Row],[Impressions]]</f>
        <v>2.5473394454680668E-2</v>
      </c>
      <c r="K1527" s="7">
        <f>IFERROR(Table1[[#This Row],[Conversions]]/Table1[[#This Row],[Clicks]],0)</f>
        <v>9.9346405228758164E-2</v>
      </c>
      <c r="L1527" s="6">
        <f>IF(Table1[[#This Row],[Conversions]]=0,0,Table1[[#This Row],[Ad Spend]]/Table1[[#This Row],[Conversions]])</f>
        <v>16.206973684210528</v>
      </c>
      <c r="M1527" s="8">
        <f>IF(Table1[[#This Row],[Ad Spend]]=0,0,Table1[[#This Row],[Revenue]]/Table1[[#This Row],[Ad Spend]])</f>
        <v>4.9936295562609772</v>
      </c>
      <c r="N1527">
        <f>YEAR(Table1[[#This Row],[Date]])</f>
        <v>2024</v>
      </c>
      <c r="O1527" t="str">
        <f>TEXT(Table1[[#This Row],[Date]],"mmm")</f>
        <v>Dec</v>
      </c>
      <c r="P1527">
        <f>MONTH(Table1[[#This Row],[Date]])</f>
        <v>12</v>
      </c>
    </row>
    <row r="1528" spans="1:16" x14ac:dyDescent="0.25">
      <c r="A1528" t="s">
        <v>1547</v>
      </c>
      <c r="B1528" t="s">
        <v>41</v>
      </c>
      <c r="C1528" t="s">
        <v>12</v>
      </c>
      <c r="D1528" s="1">
        <v>45507</v>
      </c>
      <c r="E1528">
        <v>91180</v>
      </c>
      <c r="F1528">
        <v>4367</v>
      </c>
      <c r="G1528">
        <v>357</v>
      </c>
      <c r="H1528" s="4">
        <v>2876.75</v>
      </c>
      <c r="I1528" s="4">
        <v>19383.34</v>
      </c>
      <c r="J1528" s="7">
        <f>Table1[[#This Row],[Clicks]]/Table1[[#This Row],[Impressions]]</f>
        <v>4.7894275060320249E-2</v>
      </c>
      <c r="K1528" s="7">
        <f>IFERROR(Table1[[#This Row],[Conversions]]/Table1[[#This Row],[Clicks]],0)</f>
        <v>8.1749484772154796E-2</v>
      </c>
      <c r="L1528" s="6">
        <f>IF(Table1[[#This Row],[Conversions]]=0,0,Table1[[#This Row],[Ad Spend]]/Table1[[#This Row],[Conversions]])</f>
        <v>8.0581232492997206</v>
      </c>
      <c r="M1528" s="8">
        <f>IF(Table1[[#This Row],[Ad Spend]]=0,0,Table1[[#This Row],[Revenue]]/Table1[[#This Row],[Ad Spend]])</f>
        <v>6.7379299556791521</v>
      </c>
      <c r="N1528">
        <f>YEAR(Table1[[#This Row],[Date]])</f>
        <v>2024</v>
      </c>
      <c r="O1528" t="str">
        <f>TEXT(Table1[[#This Row],[Date]],"mmm")</f>
        <v>Aug</v>
      </c>
      <c r="P1528">
        <f>MONTH(Table1[[#This Row],[Date]])</f>
        <v>8</v>
      </c>
    </row>
    <row r="1529" spans="1:16" x14ac:dyDescent="0.25">
      <c r="A1529" t="s">
        <v>1548</v>
      </c>
      <c r="B1529" t="s">
        <v>47</v>
      </c>
      <c r="C1529" t="s">
        <v>19</v>
      </c>
      <c r="D1529" s="1">
        <v>45713</v>
      </c>
      <c r="E1529">
        <v>121492</v>
      </c>
      <c r="F1529">
        <v>2505</v>
      </c>
      <c r="G1529">
        <v>328</v>
      </c>
      <c r="H1529" s="4">
        <v>2595.08</v>
      </c>
      <c r="I1529" s="4">
        <v>24017.48</v>
      </c>
      <c r="J1529" s="7">
        <f>Table1[[#This Row],[Clicks]]/Table1[[#This Row],[Impressions]]</f>
        <v>2.0618641556645705E-2</v>
      </c>
      <c r="K1529" s="7">
        <f>IFERROR(Table1[[#This Row],[Conversions]]/Table1[[#This Row],[Clicks]],0)</f>
        <v>0.130938123752495</v>
      </c>
      <c r="L1529" s="6">
        <f>IF(Table1[[#This Row],[Conversions]]=0,0,Table1[[#This Row],[Ad Spend]]/Table1[[#This Row],[Conversions]])</f>
        <v>7.9118292682926823</v>
      </c>
      <c r="M1529" s="8">
        <f>IF(Table1[[#This Row],[Ad Spend]]=0,0,Table1[[#This Row],[Revenue]]/Table1[[#This Row],[Ad Spend]])</f>
        <v>9.2550056260307976</v>
      </c>
      <c r="N1529">
        <f>YEAR(Table1[[#This Row],[Date]])</f>
        <v>2025</v>
      </c>
      <c r="O1529" t="str">
        <f>TEXT(Table1[[#This Row],[Date]],"mmm")</f>
        <v>Feb</v>
      </c>
      <c r="P1529">
        <f>MONTH(Table1[[#This Row],[Date]])</f>
        <v>2</v>
      </c>
    </row>
    <row r="1530" spans="1:16" x14ac:dyDescent="0.25">
      <c r="A1530" t="s">
        <v>1549</v>
      </c>
      <c r="B1530" t="s">
        <v>16</v>
      </c>
      <c r="C1530" t="s">
        <v>17</v>
      </c>
      <c r="D1530" s="1">
        <v>45422</v>
      </c>
      <c r="E1530">
        <v>110627</v>
      </c>
      <c r="F1530">
        <v>1356</v>
      </c>
      <c r="G1530">
        <v>177</v>
      </c>
      <c r="H1530" s="4">
        <v>4845.07</v>
      </c>
      <c r="I1530" s="4">
        <v>14715.5</v>
      </c>
      <c r="J1530" s="7">
        <f>Table1[[#This Row],[Clicks]]/Table1[[#This Row],[Impressions]]</f>
        <v>1.2257405515832482E-2</v>
      </c>
      <c r="K1530" s="7">
        <f>IFERROR(Table1[[#This Row],[Conversions]]/Table1[[#This Row],[Clicks]],0)</f>
        <v>0.13053097345132744</v>
      </c>
      <c r="L1530" s="6">
        <f>IF(Table1[[#This Row],[Conversions]]=0,0,Table1[[#This Row],[Ad Spend]]/Table1[[#This Row],[Conversions]])</f>
        <v>27.37327683615819</v>
      </c>
      <c r="M1530" s="8">
        <f>IF(Table1[[#This Row],[Ad Spend]]=0,0,Table1[[#This Row],[Revenue]]/Table1[[#This Row],[Ad Spend]])</f>
        <v>3.0372110206870078</v>
      </c>
      <c r="N1530">
        <f>YEAR(Table1[[#This Row],[Date]])</f>
        <v>2024</v>
      </c>
      <c r="O1530" t="str">
        <f>TEXT(Table1[[#This Row],[Date]],"mmm")</f>
        <v>May</v>
      </c>
      <c r="P1530">
        <f>MONTH(Table1[[#This Row],[Date]])</f>
        <v>5</v>
      </c>
    </row>
    <row r="1531" spans="1:16" x14ac:dyDescent="0.25">
      <c r="A1531" t="s">
        <v>1550</v>
      </c>
      <c r="B1531" t="s">
        <v>47</v>
      </c>
      <c r="C1531" t="s">
        <v>10</v>
      </c>
      <c r="D1531" s="1">
        <v>45398</v>
      </c>
      <c r="E1531">
        <v>143829</v>
      </c>
      <c r="F1531">
        <v>5155</v>
      </c>
      <c r="G1531">
        <v>298</v>
      </c>
      <c r="H1531" s="4">
        <v>1713.62</v>
      </c>
      <c r="I1531" s="4">
        <v>26060.14</v>
      </c>
      <c r="J1531" s="7">
        <f>Table1[[#This Row],[Clicks]]/Table1[[#This Row],[Impressions]]</f>
        <v>3.5841172503458966E-2</v>
      </c>
      <c r="K1531" s="7">
        <f>IFERROR(Table1[[#This Row],[Conversions]]/Table1[[#This Row],[Clicks]],0)</f>
        <v>5.7807953443258973E-2</v>
      </c>
      <c r="L1531" s="6">
        <f>IF(Table1[[#This Row],[Conversions]]=0,0,Table1[[#This Row],[Ad Spend]]/Table1[[#This Row],[Conversions]])</f>
        <v>5.7504026845637579</v>
      </c>
      <c r="M1531" s="8">
        <f>IF(Table1[[#This Row],[Ad Spend]]=0,0,Table1[[#This Row],[Revenue]]/Table1[[#This Row],[Ad Spend]])</f>
        <v>15.207653972292574</v>
      </c>
      <c r="N1531">
        <f>YEAR(Table1[[#This Row],[Date]])</f>
        <v>2024</v>
      </c>
      <c r="O1531" t="str">
        <f>TEXT(Table1[[#This Row],[Date]],"mmm")</f>
        <v>Apr</v>
      </c>
      <c r="P1531">
        <f>MONTH(Table1[[#This Row],[Date]])</f>
        <v>4</v>
      </c>
    </row>
    <row r="1532" spans="1:16" x14ac:dyDescent="0.25">
      <c r="A1532" t="s">
        <v>1551</v>
      </c>
      <c r="B1532" t="s">
        <v>31</v>
      </c>
      <c r="C1532" t="s">
        <v>37</v>
      </c>
      <c r="D1532" s="1">
        <v>45611</v>
      </c>
      <c r="E1532">
        <v>48708</v>
      </c>
      <c r="F1532">
        <v>2615</v>
      </c>
      <c r="G1532">
        <v>244</v>
      </c>
      <c r="H1532" s="4">
        <v>2193.89</v>
      </c>
      <c r="I1532" s="4">
        <v>23544.54</v>
      </c>
      <c r="J1532" s="7">
        <f>Table1[[#This Row],[Clicks]]/Table1[[#This Row],[Impressions]]</f>
        <v>5.3687279297035394E-2</v>
      </c>
      <c r="K1532" s="7">
        <f>IFERROR(Table1[[#This Row],[Conversions]]/Table1[[#This Row],[Clicks]],0)</f>
        <v>9.3307839388145311E-2</v>
      </c>
      <c r="L1532" s="6">
        <f>IF(Table1[[#This Row],[Conversions]]=0,0,Table1[[#This Row],[Ad Spend]]/Table1[[#This Row],[Conversions]])</f>
        <v>8.9913524590163938</v>
      </c>
      <c r="M1532" s="8">
        <f>IF(Table1[[#This Row],[Ad Spend]]=0,0,Table1[[#This Row],[Revenue]]/Table1[[#This Row],[Ad Spend]])</f>
        <v>10.731868963348209</v>
      </c>
      <c r="N1532">
        <f>YEAR(Table1[[#This Row],[Date]])</f>
        <v>2024</v>
      </c>
      <c r="O1532" t="str">
        <f>TEXT(Table1[[#This Row],[Date]],"mmm")</f>
        <v>Nov</v>
      </c>
      <c r="P1532">
        <f>MONTH(Table1[[#This Row],[Date]])</f>
        <v>11</v>
      </c>
    </row>
    <row r="1533" spans="1:16" x14ac:dyDescent="0.25">
      <c r="A1533" t="s">
        <v>1552</v>
      </c>
      <c r="B1533" t="s">
        <v>34</v>
      </c>
      <c r="C1533" t="s">
        <v>12</v>
      </c>
      <c r="D1533" s="1">
        <v>45672</v>
      </c>
      <c r="E1533">
        <v>133648</v>
      </c>
      <c r="F1533">
        <v>10595</v>
      </c>
      <c r="G1533">
        <v>728</v>
      </c>
      <c r="H1533" s="4">
        <v>2780.45</v>
      </c>
      <c r="I1533" s="4">
        <v>42109.62</v>
      </c>
      <c r="J1533" s="7">
        <f>Table1[[#This Row],[Clicks]]/Table1[[#This Row],[Impressions]]</f>
        <v>7.9275410032323718E-2</v>
      </c>
      <c r="K1533" s="7">
        <f>IFERROR(Table1[[#This Row],[Conversions]]/Table1[[#This Row],[Clicks]],0)</f>
        <v>6.8711656441717797E-2</v>
      </c>
      <c r="L1533" s="6">
        <f>IF(Table1[[#This Row],[Conversions]]=0,0,Table1[[#This Row],[Ad Spend]]/Table1[[#This Row],[Conversions]])</f>
        <v>3.8192994505494502</v>
      </c>
      <c r="M1533" s="8">
        <f>IF(Table1[[#This Row],[Ad Spend]]=0,0,Table1[[#This Row],[Revenue]]/Table1[[#This Row],[Ad Spend]])</f>
        <v>15.144893812152711</v>
      </c>
      <c r="N1533">
        <f>YEAR(Table1[[#This Row],[Date]])</f>
        <v>2025</v>
      </c>
      <c r="O1533" t="str">
        <f>TEXT(Table1[[#This Row],[Date]],"mmm")</f>
        <v>Jan</v>
      </c>
      <c r="P1533">
        <f>MONTH(Table1[[#This Row],[Date]])</f>
        <v>1</v>
      </c>
    </row>
    <row r="1534" spans="1:16" x14ac:dyDescent="0.25">
      <c r="A1534" t="s">
        <v>1553</v>
      </c>
      <c r="B1534" t="s">
        <v>9</v>
      </c>
      <c r="C1534" t="s">
        <v>10</v>
      </c>
      <c r="D1534" s="1">
        <v>45494</v>
      </c>
      <c r="E1534">
        <v>62227</v>
      </c>
      <c r="F1534">
        <v>1542</v>
      </c>
      <c r="G1534">
        <v>53</v>
      </c>
      <c r="H1534" s="4">
        <v>1588.88</v>
      </c>
      <c r="I1534" s="4">
        <v>5643.93</v>
      </c>
      <c r="J1534" s="7">
        <f>Table1[[#This Row],[Clicks]]/Table1[[#This Row],[Impressions]]</f>
        <v>2.4780240088707474E-2</v>
      </c>
      <c r="K1534" s="7">
        <f>IFERROR(Table1[[#This Row],[Conversions]]/Table1[[#This Row],[Clicks]],0)</f>
        <v>3.4370946822308693E-2</v>
      </c>
      <c r="L1534" s="6">
        <f>IF(Table1[[#This Row],[Conversions]]=0,0,Table1[[#This Row],[Ad Spend]]/Table1[[#This Row],[Conversions]])</f>
        <v>29.978867924528306</v>
      </c>
      <c r="M1534" s="8">
        <f>IF(Table1[[#This Row],[Ad Spend]]=0,0,Table1[[#This Row],[Revenue]]/Table1[[#This Row],[Ad Spend]])</f>
        <v>3.5521436483560747</v>
      </c>
      <c r="N1534">
        <f>YEAR(Table1[[#This Row],[Date]])</f>
        <v>2024</v>
      </c>
      <c r="O1534" t="str">
        <f>TEXT(Table1[[#This Row],[Date]],"mmm")</f>
        <v>Jul</v>
      </c>
      <c r="P1534">
        <f>MONTH(Table1[[#This Row],[Date]])</f>
        <v>7</v>
      </c>
    </row>
    <row r="1535" spans="1:16" x14ac:dyDescent="0.25">
      <c r="A1535" t="s">
        <v>1554</v>
      </c>
      <c r="B1535" t="s">
        <v>21</v>
      </c>
      <c r="C1535" t="s">
        <v>12</v>
      </c>
      <c r="D1535" s="1">
        <v>45501</v>
      </c>
      <c r="E1535">
        <v>97281</v>
      </c>
      <c r="F1535">
        <v>6088</v>
      </c>
      <c r="G1535">
        <v>452</v>
      </c>
      <c r="H1535" s="4">
        <v>3076.39</v>
      </c>
      <c r="I1535" s="4">
        <v>23477.040000000001</v>
      </c>
      <c r="J1535" s="7">
        <f>Table1[[#This Row],[Clicks]]/Table1[[#This Row],[Impressions]]</f>
        <v>6.2581593528027057E-2</v>
      </c>
      <c r="K1535" s="7">
        <f>IFERROR(Table1[[#This Row],[Conversions]]/Table1[[#This Row],[Clicks]],0)</f>
        <v>7.4244415243101186E-2</v>
      </c>
      <c r="L1535" s="6">
        <f>IF(Table1[[#This Row],[Conversions]]=0,0,Table1[[#This Row],[Ad Spend]]/Table1[[#This Row],[Conversions]])</f>
        <v>6.8061725663716812</v>
      </c>
      <c r="M1535" s="8">
        <f>IF(Table1[[#This Row],[Ad Spend]]=0,0,Table1[[#This Row],[Revenue]]/Table1[[#This Row],[Ad Spend]])</f>
        <v>7.631360133143068</v>
      </c>
      <c r="N1535">
        <f>YEAR(Table1[[#This Row],[Date]])</f>
        <v>2024</v>
      </c>
      <c r="O1535" t="str">
        <f>TEXT(Table1[[#This Row],[Date]],"mmm")</f>
        <v>Jul</v>
      </c>
      <c r="P1535">
        <f>MONTH(Table1[[#This Row],[Date]])</f>
        <v>7</v>
      </c>
    </row>
    <row r="1536" spans="1:16" x14ac:dyDescent="0.25">
      <c r="A1536" t="s">
        <v>1555</v>
      </c>
      <c r="B1536" t="s">
        <v>47</v>
      </c>
      <c r="C1536" t="s">
        <v>10</v>
      </c>
      <c r="D1536" s="1">
        <v>45632</v>
      </c>
      <c r="E1536">
        <v>88302</v>
      </c>
      <c r="F1536">
        <v>3987</v>
      </c>
      <c r="G1536">
        <v>355</v>
      </c>
      <c r="H1536" s="4">
        <v>1280.48</v>
      </c>
      <c r="I1536" s="4">
        <v>21440.79</v>
      </c>
      <c r="J1536" s="7">
        <f>Table1[[#This Row],[Clicks]]/Table1[[#This Row],[Impressions]]</f>
        <v>4.5151865189916422E-2</v>
      </c>
      <c r="K1536" s="7">
        <f>IFERROR(Table1[[#This Row],[Conversions]]/Table1[[#This Row],[Clicks]],0)</f>
        <v>8.9039377978429896E-2</v>
      </c>
      <c r="L1536" s="6">
        <f>IF(Table1[[#This Row],[Conversions]]=0,0,Table1[[#This Row],[Ad Spend]]/Table1[[#This Row],[Conversions]])</f>
        <v>3.6069859154929578</v>
      </c>
      <c r="M1536" s="8">
        <f>IF(Table1[[#This Row],[Ad Spend]]=0,0,Table1[[#This Row],[Revenue]]/Table1[[#This Row],[Ad Spend]])</f>
        <v>16.744338060727227</v>
      </c>
      <c r="N1536">
        <f>YEAR(Table1[[#This Row],[Date]])</f>
        <v>2024</v>
      </c>
      <c r="O1536" t="str">
        <f>TEXT(Table1[[#This Row],[Date]],"mmm")</f>
        <v>Dec</v>
      </c>
      <c r="P1536">
        <f>MONTH(Table1[[#This Row],[Date]])</f>
        <v>12</v>
      </c>
    </row>
    <row r="1537" spans="1:16" x14ac:dyDescent="0.25">
      <c r="A1537" t="s">
        <v>1556</v>
      </c>
      <c r="B1537" t="s">
        <v>41</v>
      </c>
      <c r="C1537" t="s">
        <v>19</v>
      </c>
      <c r="D1537" s="1">
        <v>45714</v>
      </c>
      <c r="E1537">
        <v>122822</v>
      </c>
      <c r="F1537">
        <v>2577</v>
      </c>
      <c r="G1537">
        <v>344</v>
      </c>
      <c r="H1537" s="4">
        <v>2120.2600000000002</v>
      </c>
      <c r="I1537" s="4">
        <v>6994.81</v>
      </c>
      <c r="J1537" s="7">
        <f>Table1[[#This Row],[Clicks]]/Table1[[#This Row],[Impressions]]</f>
        <v>2.0981583104004168E-2</v>
      </c>
      <c r="K1537" s="7">
        <f>IFERROR(Table1[[#This Row],[Conversions]]/Table1[[#This Row],[Clicks]],0)</f>
        <v>0.13348855258051998</v>
      </c>
      <c r="L1537" s="6">
        <f>IF(Table1[[#This Row],[Conversions]]=0,0,Table1[[#This Row],[Ad Spend]]/Table1[[#This Row],[Conversions]])</f>
        <v>6.1635465116279073</v>
      </c>
      <c r="M1537" s="8">
        <f>IF(Table1[[#This Row],[Ad Spend]]=0,0,Table1[[#This Row],[Revenue]]/Table1[[#This Row],[Ad Spend]])</f>
        <v>3.2990340807259484</v>
      </c>
      <c r="N1537">
        <f>YEAR(Table1[[#This Row],[Date]])</f>
        <v>2025</v>
      </c>
      <c r="O1537" t="str">
        <f>TEXT(Table1[[#This Row],[Date]],"mmm")</f>
        <v>Feb</v>
      </c>
      <c r="P1537">
        <f>MONTH(Table1[[#This Row],[Date]])</f>
        <v>2</v>
      </c>
    </row>
    <row r="1538" spans="1:16" x14ac:dyDescent="0.25">
      <c r="A1538" t="s">
        <v>1557</v>
      </c>
      <c r="B1538" t="s">
        <v>47</v>
      </c>
      <c r="C1538" t="s">
        <v>17</v>
      </c>
      <c r="D1538" s="1">
        <v>45627</v>
      </c>
      <c r="E1538">
        <v>50159</v>
      </c>
      <c r="F1538">
        <v>2900</v>
      </c>
      <c r="G1538">
        <v>95</v>
      </c>
      <c r="H1538" s="4">
        <v>2984.76</v>
      </c>
      <c r="I1538" s="4">
        <v>5871.95</v>
      </c>
      <c r="J1538" s="7">
        <f>Table1[[#This Row],[Clicks]]/Table1[[#This Row],[Impressions]]</f>
        <v>5.7816144659981257E-2</v>
      </c>
      <c r="K1538" s="7">
        <f>IFERROR(Table1[[#This Row],[Conversions]]/Table1[[#This Row],[Clicks]],0)</f>
        <v>3.2758620689655175E-2</v>
      </c>
      <c r="L1538" s="6">
        <f>IF(Table1[[#This Row],[Conversions]]=0,0,Table1[[#This Row],[Ad Spend]]/Table1[[#This Row],[Conversions]])</f>
        <v>31.418526315789475</v>
      </c>
      <c r="M1538" s="8">
        <f>IF(Table1[[#This Row],[Ad Spend]]=0,0,Table1[[#This Row],[Revenue]]/Table1[[#This Row],[Ad Spend]])</f>
        <v>1.967310604537718</v>
      </c>
      <c r="N1538">
        <f>YEAR(Table1[[#This Row],[Date]])</f>
        <v>2024</v>
      </c>
      <c r="O1538" t="str">
        <f>TEXT(Table1[[#This Row],[Date]],"mmm")</f>
        <v>Dec</v>
      </c>
      <c r="P1538">
        <f>MONTH(Table1[[#This Row],[Date]])</f>
        <v>12</v>
      </c>
    </row>
    <row r="1539" spans="1:16" x14ac:dyDescent="0.25">
      <c r="A1539" t="s">
        <v>1558</v>
      </c>
      <c r="B1539" t="s">
        <v>21</v>
      </c>
      <c r="C1539" t="s">
        <v>17</v>
      </c>
      <c r="D1539" s="1">
        <v>45388</v>
      </c>
      <c r="E1539">
        <v>12612</v>
      </c>
      <c r="F1539">
        <v>672</v>
      </c>
      <c r="G1539">
        <v>25</v>
      </c>
      <c r="H1539" s="4">
        <v>3175.62</v>
      </c>
      <c r="I1539" s="4">
        <v>2997.27</v>
      </c>
      <c r="J1539" s="7">
        <f>Table1[[#This Row],[Clicks]]/Table1[[#This Row],[Impressions]]</f>
        <v>5.3282588011417699E-2</v>
      </c>
      <c r="K1539" s="7">
        <f>IFERROR(Table1[[#This Row],[Conversions]]/Table1[[#This Row],[Clicks]],0)</f>
        <v>3.7202380952380952E-2</v>
      </c>
      <c r="L1539" s="6">
        <f>IF(Table1[[#This Row],[Conversions]]=0,0,Table1[[#This Row],[Ad Spend]]/Table1[[#This Row],[Conversions]])</f>
        <v>127.0248</v>
      </c>
      <c r="M1539" s="8">
        <f>IF(Table1[[#This Row],[Ad Spend]]=0,0,Table1[[#This Row],[Revenue]]/Table1[[#This Row],[Ad Spend]])</f>
        <v>0.94383773877227128</v>
      </c>
      <c r="N1539">
        <f>YEAR(Table1[[#This Row],[Date]])</f>
        <v>2024</v>
      </c>
      <c r="O1539" t="str">
        <f>TEXT(Table1[[#This Row],[Date]],"mmm")</f>
        <v>Apr</v>
      </c>
      <c r="P1539">
        <f>MONTH(Table1[[#This Row],[Date]])</f>
        <v>4</v>
      </c>
    </row>
    <row r="1540" spans="1:16" x14ac:dyDescent="0.25">
      <c r="A1540" t="s">
        <v>1559</v>
      </c>
      <c r="B1540" t="s">
        <v>21</v>
      </c>
      <c r="C1540" t="s">
        <v>10</v>
      </c>
      <c r="D1540" s="1">
        <v>45458</v>
      </c>
      <c r="E1540">
        <v>70520</v>
      </c>
      <c r="F1540">
        <v>1526</v>
      </c>
      <c r="G1540">
        <v>154</v>
      </c>
      <c r="H1540" s="4">
        <v>3484.94</v>
      </c>
      <c r="I1540" s="4">
        <v>17738.43</v>
      </c>
      <c r="J1540" s="7">
        <f>Table1[[#This Row],[Clicks]]/Table1[[#This Row],[Impressions]]</f>
        <v>2.1639251276233694E-2</v>
      </c>
      <c r="K1540" s="7">
        <f>IFERROR(Table1[[#This Row],[Conversions]]/Table1[[#This Row],[Clicks]],0)</f>
        <v>0.10091743119266056</v>
      </c>
      <c r="L1540" s="6">
        <f>IF(Table1[[#This Row],[Conversions]]=0,0,Table1[[#This Row],[Ad Spend]]/Table1[[#This Row],[Conversions]])</f>
        <v>22.62948051948052</v>
      </c>
      <c r="M1540" s="8">
        <f>IF(Table1[[#This Row],[Ad Spend]]=0,0,Table1[[#This Row],[Revenue]]/Table1[[#This Row],[Ad Spend]])</f>
        <v>5.0900245054434219</v>
      </c>
      <c r="N1540">
        <f>YEAR(Table1[[#This Row],[Date]])</f>
        <v>2024</v>
      </c>
      <c r="O1540" t="str">
        <f>TEXT(Table1[[#This Row],[Date]],"mmm")</f>
        <v>Jun</v>
      </c>
      <c r="P1540">
        <f>MONTH(Table1[[#This Row],[Date]])</f>
        <v>6</v>
      </c>
    </row>
    <row r="1541" spans="1:16" x14ac:dyDescent="0.25">
      <c r="A1541" t="s">
        <v>1560</v>
      </c>
      <c r="B1541" t="s">
        <v>31</v>
      </c>
      <c r="C1541" t="s">
        <v>12</v>
      </c>
      <c r="D1541" s="1">
        <v>45696</v>
      </c>
      <c r="E1541">
        <v>107062</v>
      </c>
      <c r="F1541">
        <v>5207</v>
      </c>
      <c r="G1541">
        <v>688</v>
      </c>
      <c r="H1541" s="4">
        <v>4281.4799999999996</v>
      </c>
      <c r="I1541" s="4">
        <v>24862.89</v>
      </c>
      <c r="J1541" s="7">
        <f>Table1[[#This Row],[Clicks]]/Table1[[#This Row],[Impressions]]</f>
        <v>4.8635370159346922E-2</v>
      </c>
      <c r="K1541" s="7">
        <f>IFERROR(Table1[[#This Row],[Conversions]]/Table1[[#This Row],[Clicks]],0)</f>
        <v>0.13212982523526023</v>
      </c>
      <c r="L1541" s="6">
        <f>IF(Table1[[#This Row],[Conversions]]=0,0,Table1[[#This Row],[Ad Spend]]/Table1[[#This Row],[Conversions]])</f>
        <v>6.2230813953488369</v>
      </c>
      <c r="M1541" s="8">
        <f>IF(Table1[[#This Row],[Ad Spend]]=0,0,Table1[[#This Row],[Revenue]]/Table1[[#This Row],[Ad Spend]])</f>
        <v>5.8070783934527315</v>
      </c>
      <c r="N1541">
        <f>YEAR(Table1[[#This Row],[Date]])</f>
        <v>2025</v>
      </c>
      <c r="O1541" t="str">
        <f>TEXT(Table1[[#This Row],[Date]],"mmm")</f>
        <v>Feb</v>
      </c>
      <c r="P1541">
        <f>MONTH(Table1[[#This Row],[Date]])</f>
        <v>2</v>
      </c>
    </row>
    <row r="1542" spans="1:16" x14ac:dyDescent="0.25">
      <c r="A1542" t="s">
        <v>1561</v>
      </c>
      <c r="B1542" t="s">
        <v>47</v>
      </c>
      <c r="C1542" t="s">
        <v>37</v>
      </c>
      <c r="D1542" s="1">
        <v>45381</v>
      </c>
      <c r="E1542">
        <v>128776</v>
      </c>
      <c r="F1542">
        <v>9735</v>
      </c>
      <c r="G1542">
        <v>1360</v>
      </c>
      <c r="H1542" s="4">
        <v>1749.08</v>
      </c>
      <c r="I1542" s="4">
        <v>67045.539999999994</v>
      </c>
      <c r="J1542" s="7">
        <f>Table1[[#This Row],[Clicks]]/Table1[[#This Row],[Impressions]]</f>
        <v>7.5596384419457041E-2</v>
      </c>
      <c r="K1542" s="7">
        <f>IFERROR(Table1[[#This Row],[Conversions]]/Table1[[#This Row],[Clicks]],0)</f>
        <v>0.13970210580380071</v>
      </c>
      <c r="L1542" s="6">
        <f>IF(Table1[[#This Row],[Conversions]]=0,0,Table1[[#This Row],[Ad Spend]]/Table1[[#This Row],[Conversions]])</f>
        <v>1.2860882352941176</v>
      </c>
      <c r="M1542" s="8">
        <f>IF(Table1[[#This Row],[Ad Spend]]=0,0,Table1[[#This Row],[Revenue]]/Table1[[#This Row],[Ad Spend]])</f>
        <v>38.331888764378988</v>
      </c>
      <c r="N1542">
        <f>YEAR(Table1[[#This Row],[Date]])</f>
        <v>2024</v>
      </c>
      <c r="O1542" t="str">
        <f>TEXT(Table1[[#This Row],[Date]],"mmm")</f>
        <v>Mar</v>
      </c>
      <c r="P1542">
        <f>MONTH(Table1[[#This Row],[Date]])</f>
        <v>3</v>
      </c>
    </row>
    <row r="1543" spans="1:16" x14ac:dyDescent="0.25">
      <c r="A1543" t="s">
        <v>1562</v>
      </c>
      <c r="B1543" t="s">
        <v>31</v>
      </c>
      <c r="C1543" t="s">
        <v>37</v>
      </c>
      <c r="D1543" s="1">
        <v>45587</v>
      </c>
      <c r="E1543">
        <v>125895</v>
      </c>
      <c r="F1543">
        <v>5305</v>
      </c>
      <c r="G1543">
        <v>577</v>
      </c>
      <c r="H1543" s="4">
        <v>2329.54</v>
      </c>
      <c r="I1543" s="4">
        <v>25496.69</v>
      </c>
      <c r="J1543" s="7">
        <f>Table1[[#This Row],[Clicks]]/Table1[[#This Row],[Impressions]]</f>
        <v>4.2138289844711865E-2</v>
      </c>
      <c r="K1543" s="7">
        <f>IFERROR(Table1[[#This Row],[Conversions]]/Table1[[#This Row],[Clicks]],0)</f>
        <v>0.10876531573986804</v>
      </c>
      <c r="L1543" s="6">
        <f>IF(Table1[[#This Row],[Conversions]]=0,0,Table1[[#This Row],[Ad Spend]]/Table1[[#This Row],[Conversions]])</f>
        <v>4.0373310225303296</v>
      </c>
      <c r="M1543" s="8">
        <f>IF(Table1[[#This Row],[Ad Spend]]=0,0,Table1[[#This Row],[Revenue]]/Table1[[#This Row],[Ad Spend]])</f>
        <v>10.944946212556985</v>
      </c>
      <c r="N1543">
        <f>YEAR(Table1[[#This Row],[Date]])</f>
        <v>2024</v>
      </c>
      <c r="O1543" t="str">
        <f>TEXT(Table1[[#This Row],[Date]],"mmm")</f>
        <v>Oct</v>
      </c>
      <c r="P1543">
        <f>MONTH(Table1[[#This Row],[Date]])</f>
        <v>10</v>
      </c>
    </row>
    <row r="1544" spans="1:16" x14ac:dyDescent="0.25">
      <c r="A1544" t="s">
        <v>1563</v>
      </c>
      <c r="B1544" t="s">
        <v>16</v>
      </c>
      <c r="C1544" t="s">
        <v>17</v>
      </c>
      <c r="D1544" s="1">
        <v>45548</v>
      </c>
      <c r="E1544">
        <v>34139</v>
      </c>
      <c r="F1544">
        <v>2261</v>
      </c>
      <c r="G1544">
        <v>291</v>
      </c>
      <c r="H1544" s="4">
        <v>4386.01</v>
      </c>
      <c r="I1544" s="4">
        <v>32268.37</v>
      </c>
      <c r="J1544" s="7">
        <f>Table1[[#This Row],[Clicks]]/Table1[[#This Row],[Impressions]]</f>
        <v>6.6229239286446584E-2</v>
      </c>
      <c r="K1544" s="7">
        <f>IFERROR(Table1[[#This Row],[Conversions]]/Table1[[#This Row],[Clicks]],0)</f>
        <v>0.12870411322423705</v>
      </c>
      <c r="L1544" s="6">
        <f>IF(Table1[[#This Row],[Conversions]]=0,0,Table1[[#This Row],[Ad Spend]]/Table1[[#This Row],[Conversions]])</f>
        <v>15.072199312714778</v>
      </c>
      <c r="M1544" s="8">
        <f>IF(Table1[[#This Row],[Ad Spend]]=0,0,Table1[[#This Row],[Revenue]]/Table1[[#This Row],[Ad Spend]])</f>
        <v>7.3571127288811464</v>
      </c>
      <c r="N1544">
        <f>YEAR(Table1[[#This Row],[Date]])</f>
        <v>2024</v>
      </c>
      <c r="O1544" t="str">
        <f>TEXT(Table1[[#This Row],[Date]],"mmm")</f>
        <v>Sept</v>
      </c>
      <c r="P1544">
        <f>MONTH(Table1[[#This Row],[Date]])</f>
        <v>9</v>
      </c>
    </row>
    <row r="1545" spans="1:16" x14ac:dyDescent="0.25">
      <c r="A1545" t="s">
        <v>1564</v>
      </c>
      <c r="B1545" t="s">
        <v>14</v>
      </c>
      <c r="C1545" t="s">
        <v>17</v>
      </c>
      <c r="D1545" s="1">
        <v>45661</v>
      </c>
      <c r="E1545">
        <v>23308</v>
      </c>
      <c r="F1545">
        <v>244</v>
      </c>
      <c r="G1545">
        <v>5</v>
      </c>
      <c r="H1545" s="4">
        <v>3448.99</v>
      </c>
      <c r="I1545" s="4">
        <v>533.53</v>
      </c>
      <c r="J1545" s="7">
        <f>Table1[[#This Row],[Clicks]]/Table1[[#This Row],[Impressions]]</f>
        <v>1.0468508666552257E-2</v>
      </c>
      <c r="K1545" s="7">
        <f>IFERROR(Table1[[#This Row],[Conversions]]/Table1[[#This Row],[Clicks]],0)</f>
        <v>2.0491803278688523E-2</v>
      </c>
      <c r="L1545" s="6">
        <f>IF(Table1[[#This Row],[Conversions]]=0,0,Table1[[#This Row],[Ad Spend]]/Table1[[#This Row],[Conversions]])</f>
        <v>689.798</v>
      </c>
      <c r="M1545" s="8">
        <f>IF(Table1[[#This Row],[Ad Spend]]=0,0,Table1[[#This Row],[Revenue]]/Table1[[#This Row],[Ad Spend]])</f>
        <v>0.15469166335651888</v>
      </c>
      <c r="N1545">
        <f>YEAR(Table1[[#This Row],[Date]])</f>
        <v>2025</v>
      </c>
      <c r="O1545" t="str">
        <f>TEXT(Table1[[#This Row],[Date]],"mmm")</f>
        <v>Jan</v>
      </c>
      <c r="P1545">
        <f>MONTH(Table1[[#This Row],[Date]])</f>
        <v>1</v>
      </c>
    </row>
    <row r="1546" spans="1:16" x14ac:dyDescent="0.25">
      <c r="A1546" t="s">
        <v>1565</v>
      </c>
      <c r="B1546" t="s">
        <v>41</v>
      </c>
      <c r="C1546" t="s">
        <v>17</v>
      </c>
      <c r="D1546" s="1">
        <v>45328</v>
      </c>
      <c r="E1546">
        <v>114337</v>
      </c>
      <c r="F1546">
        <v>8807</v>
      </c>
      <c r="G1546">
        <v>1187</v>
      </c>
      <c r="H1546" s="4">
        <v>2779.24</v>
      </c>
      <c r="I1546" s="4">
        <v>108704.85</v>
      </c>
      <c r="J1546" s="7">
        <f>Table1[[#This Row],[Clicks]]/Table1[[#This Row],[Impressions]]</f>
        <v>7.7026684275431398E-2</v>
      </c>
      <c r="K1546" s="7">
        <f>IFERROR(Table1[[#This Row],[Conversions]]/Table1[[#This Row],[Clicks]],0)</f>
        <v>0.13477915294651982</v>
      </c>
      <c r="L1546" s="6">
        <f>IF(Table1[[#This Row],[Conversions]]=0,0,Table1[[#This Row],[Ad Spend]]/Table1[[#This Row],[Conversions]])</f>
        <v>2.3413984835720303</v>
      </c>
      <c r="M1546" s="8">
        <f>IF(Table1[[#This Row],[Ad Spend]]=0,0,Table1[[#This Row],[Revenue]]/Table1[[#This Row],[Ad Spend]])</f>
        <v>39.11315683424246</v>
      </c>
      <c r="N1546">
        <f>YEAR(Table1[[#This Row],[Date]])</f>
        <v>2024</v>
      </c>
      <c r="O1546" t="str">
        <f>TEXT(Table1[[#This Row],[Date]],"mmm")</f>
        <v>Feb</v>
      </c>
      <c r="P1546">
        <f>MONTH(Table1[[#This Row],[Date]])</f>
        <v>2</v>
      </c>
    </row>
    <row r="1547" spans="1:16" x14ac:dyDescent="0.25">
      <c r="A1547" t="s">
        <v>1566</v>
      </c>
      <c r="B1547" t="s">
        <v>31</v>
      </c>
      <c r="C1547" t="s">
        <v>17</v>
      </c>
      <c r="D1547" s="1">
        <v>45538</v>
      </c>
      <c r="E1547">
        <v>20672</v>
      </c>
      <c r="F1547">
        <v>630</v>
      </c>
      <c r="G1547">
        <v>45</v>
      </c>
      <c r="H1547" s="4">
        <v>4147.12</v>
      </c>
      <c r="I1547" s="4">
        <v>4359.43</v>
      </c>
      <c r="J1547" s="7">
        <f>Table1[[#This Row],[Clicks]]/Table1[[#This Row],[Impressions]]</f>
        <v>3.0476006191950466E-2</v>
      </c>
      <c r="K1547" s="7">
        <f>IFERROR(Table1[[#This Row],[Conversions]]/Table1[[#This Row],[Clicks]],0)</f>
        <v>7.1428571428571425E-2</v>
      </c>
      <c r="L1547" s="6">
        <f>IF(Table1[[#This Row],[Conversions]]=0,0,Table1[[#This Row],[Ad Spend]]/Table1[[#This Row],[Conversions]])</f>
        <v>92.158222222222221</v>
      </c>
      <c r="M1547" s="8">
        <f>IF(Table1[[#This Row],[Ad Spend]]=0,0,Table1[[#This Row],[Revenue]]/Table1[[#This Row],[Ad Spend]])</f>
        <v>1.0511945639383478</v>
      </c>
      <c r="N1547">
        <f>YEAR(Table1[[#This Row],[Date]])</f>
        <v>2024</v>
      </c>
      <c r="O1547" t="str">
        <f>TEXT(Table1[[#This Row],[Date]],"mmm")</f>
        <v>Sept</v>
      </c>
      <c r="P1547">
        <f>MONTH(Table1[[#This Row],[Date]])</f>
        <v>9</v>
      </c>
    </row>
    <row r="1548" spans="1:16" x14ac:dyDescent="0.25">
      <c r="A1548" t="s">
        <v>1567</v>
      </c>
      <c r="B1548" t="s">
        <v>47</v>
      </c>
      <c r="C1548" t="s">
        <v>17</v>
      </c>
      <c r="D1548" s="1">
        <v>45658</v>
      </c>
      <c r="E1548">
        <v>139102</v>
      </c>
      <c r="F1548">
        <v>7518</v>
      </c>
      <c r="G1548">
        <v>580</v>
      </c>
      <c r="H1548" s="4">
        <v>3979.63</v>
      </c>
      <c r="I1548" s="4">
        <v>17610.13</v>
      </c>
      <c r="J1548" s="7">
        <f>Table1[[#This Row],[Clicks]]/Table1[[#This Row],[Impressions]]</f>
        <v>5.4046670788342369E-2</v>
      </c>
      <c r="K1548" s="7">
        <f>IFERROR(Table1[[#This Row],[Conversions]]/Table1[[#This Row],[Clicks]],0)</f>
        <v>7.7148177706836921E-2</v>
      </c>
      <c r="L1548" s="6">
        <f>IF(Table1[[#This Row],[Conversions]]=0,0,Table1[[#This Row],[Ad Spend]]/Table1[[#This Row],[Conversions]])</f>
        <v>6.8614310344827585</v>
      </c>
      <c r="M1548" s="8">
        <f>IF(Table1[[#This Row],[Ad Spend]]=0,0,Table1[[#This Row],[Revenue]]/Table1[[#This Row],[Ad Spend]])</f>
        <v>4.4250671544842106</v>
      </c>
      <c r="N1548">
        <f>YEAR(Table1[[#This Row],[Date]])</f>
        <v>2025</v>
      </c>
      <c r="O1548" t="str">
        <f>TEXT(Table1[[#This Row],[Date]],"mmm")</f>
        <v>Jan</v>
      </c>
      <c r="P1548">
        <f>MONTH(Table1[[#This Row],[Date]])</f>
        <v>1</v>
      </c>
    </row>
    <row r="1549" spans="1:16" x14ac:dyDescent="0.25">
      <c r="A1549" t="s">
        <v>1568</v>
      </c>
      <c r="B1549" t="s">
        <v>34</v>
      </c>
      <c r="C1549" t="s">
        <v>12</v>
      </c>
      <c r="D1549" s="1">
        <v>45677</v>
      </c>
      <c r="E1549">
        <v>34303</v>
      </c>
      <c r="F1549">
        <v>2076</v>
      </c>
      <c r="G1549">
        <v>140</v>
      </c>
      <c r="H1549" s="4">
        <v>3351.38</v>
      </c>
      <c r="I1549" s="4">
        <v>4787.3</v>
      </c>
      <c r="J1549" s="7">
        <f>Table1[[#This Row],[Clicks]]/Table1[[#This Row],[Impressions]]</f>
        <v>6.0519488091420576E-2</v>
      </c>
      <c r="K1549" s="7">
        <f>IFERROR(Table1[[#This Row],[Conversions]]/Table1[[#This Row],[Clicks]],0)</f>
        <v>6.7437379576107903E-2</v>
      </c>
      <c r="L1549" s="6">
        <f>IF(Table1[[#This Row],[Conversions]]=0,0,Table1[[#This Row],[Ad Spend]]/Table1[[#This Row],[Conversions]])</f>
        <v>23.938428571428574</v>
      </c>
      <c r="M1549" s="8">
        <f>IF(Table1[[#This Row],[Ad Spend]]=0,0,Table1[[#This Row],[Revenue]]/Table1[[#This Row],[Ad Spend]])</f>
        <v>1.4284563373893739</v>
      </c>
      <c r="N1549">
        <f>YEAR(Table1[[#This Row],[Date]])</f>
        <v>2025</v>
      </c>
      <c r="O1549" t="str">
        <f>TEXT(Table1[[#This Row],[Date]],"mmm")</f>
        <v>Jan</v>
      </c>
      <c r="P1549">
        <f>MONTH(Table1[[#This Row],[Date]])</f>
        <v>1</v>
      </c>
    </row>
    <row r="1550" spans="1:16" x14ac:dyDescent="0.25">
      <c r="A1550" t="s">
        <v>1569</v>
      </c>
      <c r="B1550" t="s">
        <v>14</v>
      </c>
      <c r="C1550" t="s">
        <v>17</v>
      </c>
      <c r="D1550" s="1">
        <v>45399</v>
      </c>
      <c r="E1550">
        <v>74339</v>
      </c>
      <c r="F1550">
        <v>1248</v>
      </c>
      <c r="G1550">
        <v>129</v>
      </c>
      <c r="H1550" s="4">
        <v>555.53</v>
      </c>
      <c r="I1550" s="4">
        <v>14179.62</v>
      </c>
      <c r="J1550" s="7">
        <f>Table1[[#This Row],[Clicks]]/Table1[[#This Row],[Impressions]]</f>
        <v>1.6787957868682656E-2</v>
      </c>
      <c r="K1550" s="7">
        <f>IFERROR(Table1[[#This Row],[Conversions]]/Table1[[#This Row],[Clicks]],0)</f>
        <v>0.10336538461538461</v>
      </c>
      <c r="L1550" s="6">
        <f>IF(Table1[[#This Row],[Conversions]]=0,0,Table1[[#This Row],[Ad Spend]]/Table1[[#This Row],[Conversions]])</f>
        <v>4.3064341085271316</v>
      </c>
      <c r="M1550" s="8">
        <f>IF(Table1[[#This Row],[Ad Spend]]=0,0,Table1[[#This Row],[Revenue]]/Table1[[#This Row],[Ad Spend]])</f>
        <v>25.524490126545825</v>
      </c>
      <c r="N1550">
        <f>YEAR(Table1[[#This Row],[Date]])</f>
        <v>2024</v>
      </c>
      <c r="O1550" t="str">
        <f>TEXT(Table1[[#This Row],[Date]],"mmm")</f>
        <v>Apr</v>
      </c>
      <c r="P1550">
        <f>MONTH(Table1[[#This Row],[Date]])</f>
        <v>4</v>
      </c>
    </row>
    <row r="1551" spans="1:16" x14ac:dyDescent="0.25">
      <c r="A1551" t="s">
        <v>1570</v>
      </c>
      <c r="B1551" t="s">
        <v>41</v>
      </c>
      <c r="C1551" t="s">
        <v>37</v>
      </c>
      <c r="D1551" s="1">
        <v>45679</v>
      </c>
      <c r="E1551">
        <v>73157</v>
      </c>
      <c r="F1551">
        <v>2485</v>
      </c>
      <c r="G1551">
        <v>272</v>
      </c>
      <c r="H1551" s="4">
        <v>1787.17</v>
      </c>
      <c r="I1551" s="4">
        <v>17690.23</v>
      </c>
      <c r="J1551" s="7">
        <f>Table1[[#This Row],[Clicks]]/Table1[[#This Row],[Impressions]]</f>
        <v>3.3968041335757343E-2</v>
      </c>
      <c r="K1551" s="7">
        <f>IFERROR(Table1[[#This Row],[Conversions]]/Table1[[#This Row],[Clicks]],0)</f>
        <v>0.10945674044265594</v>
      </c>
      <c r="L1551" s="6">
        <f>IF(Table1[[#This Row],[Conversions]]=0,0,Table1[[#This Row],[Ad Spend]]/Table1[[#This Row],[Conversions]])</f>
        <v>6.5704779411764704</v>
      </c>
      <c r="M1551" s="8">
        <f>IF(Table1[[#This Row],[Ad Spend]]=0,0,Table1[[#This Row],[Revenue]]/Table1[[#This Row],[Ad Spend]])</f>
        <v>9.8984595757538454</v>
      </c>
      <c r="N1551">
        <f>YEAR(Table1[[#This Row],[Date]])</f>
        <v>2025</v>
      </c>
      <c r="O1551" t="str">
        <f>TEXT(Table1[[#This Row],[Date]],"mmm")</f>
        <v>Jan</v>
      </c>
      <c r="P1551">
        <f>MONTH(Table1[[#This Row],[Date]])</f>
        <v>1</v>
      </c>
    </row>
    <row r="1552" spans="1:16" x14ac:dyDescent="0.25">
      <c r="A1552" t="s">
        <v>1571</v>
      </c>
      <c r="B1552" t="s">
        <v>34</v>
      </c>
      <c r="C1552" t="s">
        <v>12</v>
      </c>
      <c r="D1552" s="1">
        <v>45432</v>
      </c>
      <c r="E1552">
        <v>14370</v>
      </c>
      <c r="F1552">
        <v>909</v>
      </c>
      <c r="G1552">
        <v>35</v>
      </c>
      <c r="H1552" s="4">
        <v>1584.47</v>
      </c>
      <c r="I1552" s="4">
        <v>1473.58</v>
      </c>
      <c r="J1552" s="7">
        <f>Table1[[#This Row],[Clicks]]/Table1[[#This Row],[Impressions]]</f>
        <v>6.3256784968684754E-2</v>
      </c>
      <c r="K1552" s="7">
        <f>IFERROR(Table1[[#This Row],[Conversions]]/Table1[[#This Row],[Clicks]],0)</f>
        <v>3.8503850385038507E-2</v>
      </c>
      <c r="L1552" s="6">
        <f>IF(Table1[[#This Row],[Conversions]]=0,0,Table1[[#This Row],[Ad Spend]]/Table1[[#This Row],[Conversions]])</f>
        <v>45.270571428571429</v>
      </c>
      <c r="M1552" s="8">
        <f>IF(Table1[[#This Row],[Ad Spend]]=0,0,Table1[[#This Row],[Revenue]]/Table1[[#This Row],[Ad Spend]])</f>
        <v>0.93001445278231831</v>
      </c>
      <c r="N1552">
        <f>YEAR(Table1[[#This Row],[Date]])</f>
        <v>2024</v>
      </c>
      <c r="O1552" t="str">
        <f>TEXT(Table1[[#This Row],[Date]],"mmm")</f>
        <v>May</v>
      </c>
      <c r="P1552">
        <f>MONTH(Table1[[#This Row],[Date]])</f>
        <v>5</v>
      </c>
    </row>
    <row r="1553" spans="1:16" x14ac:dyDescent="0.25">
      <c r="A1553" t="s">
        <v>1572</v>
      </c>
      <c r="B1553" t="s">
        <v>47</v>
      </c>
      <c r="C1553" t="s">
        <v>12</v>
      </c>
      <c r="D1553" s="1">
        <v>45477</v>
      </c>
      <c r="E1553">
        <v>81341</v>
      </c>
      <c r="F1553">
        <v>2559</v>
      </c>
      <c r="G1553">
        <v>289</v>
      </c>
      <c r="H1553" s="4">
        <v>2924.67</v>
      </c>
      <c r="I1553" s="4">
        <v>14587.03</v>
      </c>
      <c r="J1553" s="7">
        <f>Table1[[#This Row],[Clicks]]/Table1[[#This Row],[Impressions]]</f>
        <v>3.1460149248226599E-2</v>
      </c>
      <c r="K1553" s="7">
        <f>IFERROR(Table1[[#This Row],[Conversions]]/Table1[[#This Row],[Clicks]],0)</f>
        <v>0.11293474013286441</v>
      </c>
      <c r="L1553" s="6">
        <f>IF(Table1[[#This Row],[Conversions]]=0,0,Table1[[#This Row],[Ad Spend]]/Table1[[#This Row],[Conversions]])</f>
        <v>10.119965397923876</v>
      </c>
      <c r="M1553" s="8">
        <f>IF(Table1[[#This Row],[Ad Spend]]=0,0,Table1[[#This Row],[Revenue]]/Table1[[#This Row],[Ad Spend]])</f>
        <v>4.9875815049219225</v>
      </c>
      <c r="N1553">
        <f>YEAR(Table1[[#This Row],[Date]])</f>
        <v>2024</v>
      </c>
      <c r="O1553" t="str">
        <f>TEXT(Table1[[#This Row],[Date]],"mmm")</f>
        <v>Jul</v>
      </c>
      <c r="P1553">
        <f>MONTH(Table1[[#This Row],[Date]])</f>
        <v>7</v>
      </c>
    </row>
    <row r="1554" spans="1:16" x14ac:dyDescent="0.25">
      <c r="A1554" t="s">
        <v>1573</v>
      </c>
      <c r="B1554" t="s">
        <v>41</v>
      </c>
      <c r="C1554" t="s">
        <v>19</v>
      </c>
      <c r="D1554" s="1">
        <v>45371</v>
      </c>
      <c r="E1554">
        <v>38699</v>
      </c>
      <c r="F1554">
        <v>783</v>
      </c>
      <c r="G1554">
        <v>45</v>
      </c>
      <c r="H1554" s="4">
        <v>2044.29</v>
      </c>
      <c r="I1554" s="4">
        <v>3765.43</v>
      </c>
      <c r="J1554" s="7">
        <f>Table1[[#This Row],[Clicks]]/Table1[[#This Row],[Impressions]]</f>
        <v>2.0233080958164295E-2</v>
      </c>
      <c r="K1554" s="7">
        <f>IFERROR(Table1[[#This Row],[Conversions]]/Table1[[#This Row],[Clicks]],0)</f>
        <v>5.7471264367816091E-2</v>
      </c>
      <c r="L1554" s="6">
        <f>IF(Table1[[#This Row],[Conversions]]=0,0,Table1[[#This Row],[Ad Spend]]/Table1[[#This Row],[Conversions]])</f>
        <v>45.428666666666665</v>
      </c>
      <c r="M1554" s="8">
        <f>IF(Table1[[#This Row],[Ad Spend]]=0,0,Table1[[#This Row],[Revenue]]/Table1[[#This Row],[Ad Spend]])</f>
        <v>1.8419255585068655</v>
      </c>
      <c r="N1554">
        <f>YEAR(Table1[[#This Row],[Date]])</f>
        <v>2024</v>
      </c>
      <c r="O1554" t="str">
        <f>TEXT(Table1[[#This Row],[Date]],"mmm")</f>
        <v>Mar</v>
      </c>
      <c r="P1554">
        <f>MONTH(Table1[[#This Row],[Date]])</f>
        <v>3</v>
      </c>
    </row>
    <row r="1555" spans="1:16" x14ac:dyDescent="0.25">
      <c r="A1555" t="s">
        <v>1574</v>
      </c>
      <c r="B1555" t="s">
        <v>31</v>
      </c>
      <c r="C1555" t="s">
        <v>37</v>
      </c>
      <c r="D1555" s="1">
        <v>45590</v>
      </c>
      <c r="E1555">
        <v>84418</v>
      </c>
      <c r="F1555">
        <v>1720</v>
      </c>
      <c r="G1555">
        <v>37</v>
      </c>
      <c r="H1555" s="4">
        <v>1947.98</v>
      </c>
      <c r="I1555" s="4">
        <v>2621.79</v>
      </c>
      <c r="J1555" s="7">
        <f>Table1[[#This Row],[Clicks]]/Table1[[#This Row],[Impressions]]</f>
        <v>2.0374801582600868E-2</v>
      </c>
      <c r="K1555" s="7">
        <f>IFERROR(Table1[[#This Row],[Conversions]]/Table1[[#This Row],[Clicks]],0)</f>
        <v>2.1511627906976746E-2</v>
      </c>
      <c r="L1555" s="6">
        <f>IF(Table1[[#This Row],[Conversions]]=0,0,Table1[[#This Row],[Ad Spend]]/Table1[[#This Row],[Conversions]])</f>
        <v>52.648108108108111</v>
      </c>
      <c r="M1555" s="8">
        <f>IF(Table1[[#This Row],[Ad Spend]]=0,0,Table1[[#This Row],[Revenue]]/Table1[[#This Row],[Ad Spend]])</f>
        <v>1.345901908643826</v>
      </c>
      <c r="N1555">
        <f>YEAR(Table1[[#This Row],[Date]])</f>
        <v>2024</v>
      </c>
      <c r="O1555" t="str">
        <f>TEXT(Table1[[#This Row],[Date]],"mmm")</f>
        <v>Oct</v>
      </c>
      <c r="P1555">
        <f>MONTH(Table1[[#This Row],[Date]])</f>
        <v>10</v>
      </c>
    </row>
    <row r="1556" spans="1:16" x14ac:dyDescent="0.25">
      <c r="A1556" t="s">
        <v>1575</v>
      </c>
      <c r="B1556" t="s">
        <v>21</v>
      </c>
      <c r="C1556" t="s">
        <v>17</v>
      </c>
      <c r="D1556" s="1">
        <v>45608</v>
      </c>
      <c r="E1556">
        <v>49671</v>
      </c>
      <c r="F1556">
        <v>3877</v>
      </c>
      <c r="G1556">
        <v>402</v>
      </c>
      <c r="H1556" s="4">
        <v>3018.25</v>
      </c>
      <c r="I1556" s="4">
        <v>28184.03</v>
      </c>
      <c r="J1556" s="7">
        <f>Table1[[#This Row],[Clicks]]/Table1[[#This Row],[Impressions]]</f>
        <v>7.8053592639568362E-2</v>
      </c>
      <c r="K1556" s="7">
        <f>IFERROR(Table1[[#This Row],[Conversions]]/Table1[[#This Row],[Clicks]],0)</f>
        <v>0.10368841888057777</v>
      </c>
      <c r="L1556" s="6">
        <f>IF(Table1[[#This Row],[Conversions]]=0,0,Table1[[#This Row],[Ad Spend]]/Table1[[#This Row],[Conversions]])</f>
        <v>7.5080845771144276</v>
      </c>
      <c r="M1556" s="8">
        <f>IF(Table1[[#This Row],[Ad Spend]]=0,0,Table1[[#This Row],[Revenue]]/Table1[[#This Row],[Ad Spend]])</f>
        <v>9.3378712830282442</v>
      </c>
      <c r="N1556">
        <f>YEAR(Table1[[#This Row],[Date]])</f>
        <v>2024</v>
      </c>
      <c r="O1556" t="str">
        <f>TEXT(Table1[[#This Row],[Date]],"mmm")</f>
        <v>Nov</v>
      </c>
      <c r="P1556">
        <f>MONTH(Table1[[#This Row],[Date]])</f>
        <v>11</v>
      </c>
    </row>
    <row r="1557" spans="1:16" x14ac:dyDescent="0.25">
      <c r="A1557" t="s">
        <v>1576</v>
      </c>
      <c r="B1557" t="s">
        <v>47</v>
      </c>
      <c r="C1557" t="s">
        <v>17</v>
      </c>
      <c r="D1557" s="1">
        <v>45540</v>
      </c>
      <c r="E1557">
        <v>49334</v>
      </c>
      <c r="F1557">
        <v>3500</v>
      </c>
      <c r="G1557">
        <v>289</v>
      </c>
      <c r="H1557" s="4">
        <v>2523.19</v>
      </c>
      <c r="I1557" s="4">
        <v>16758.310000000001</v>
      </c>
      <c r="J1557" s="7">
        <f>Table1[[#This Row],[Clicks]]/Table1[[#This Row],[Impressions]]</f>
        <v>7.0944987229902293E-2</v>
      </c>
      <c r="K1557" s="7">
        <f>IFERROR(Table1[[#This Row],[Conversions]]/Table1[[#This Row],[Clicks]],0)</f>
        <v>8.2571428571428573E-2</v>
      </c>
      <c r="L1557" s="6">
        <f>IF(Table1[[#This Row],[Conversions]]=0,0,Table1[[#This Row],[Ad Spend]]/Table1[[#This Row],[Conversions]])</f>
        <v>8.7307612456747403</v>
      </c>
      <c r="M1557" s="8">
        <f>IF(Table1[[#This Row],[Ad Spend]]=0,0,Table1[[#This Row],[Revenue]]/Table1[[#This Row],[Ad Spend]])</f>
        <v>6.6417154475089077</v>
      </c>
      <c r="N1557">
        <f>YEAR(Table1[[#This Row],[Date]])</f>
        <v>2024</v>
      </c>
      <c r="O1557" t="str">
        <f>TEXT(Table1[[#This Row],[Date]],"mmm")</f>
        <v>Sept</v>
      </c>
      <c r="P1557">
        <f>MONTH(Table1[[#This Row],[Date]])</f>
        <v>9</v>
      </c>
    </row>
    <row r="1558" spans="1:16" x14ac:dyDescent="0.25">
      <c r="A1558" t="s">
        <v>1577</v>
      </c>
      <c r="B1558" t="s">
        <v>9</v>
      </c>
      <c r="C1558" t="s">
        <v>19</v>
      </c>
      <c r="D1558" s="1">
        <v>45407</v>
      </c>
      <c r="E1558">
        <v>86083</v>
      </c>
      <c r="F1558">
        <v>2104</v>
      </c>
      <c r="G1558">
        <v>83</v>
      </c>
      <c r="H1558" s="4">
        <v>3121.48</v>
      </c>
      <c r="I1558" s="4">
        <v>7708.72</v>
      </c>
      <c r="J1558" s="7">
        <f>Table1[[#This Row],[Clicks]]/Table1[[#This Row],[Impressions]]</f>
        <v>2.4441527363126284E-2</v>
      </c>
      <c r="K1558" s="7">
        <f>IFERROR(Table1[[#This Row],[Conversions]]/Table1[[#This Row],[Clicks]],0)</f>
        <v>3.944866920152091E-2</v>
      </c>
      <c r="L1558" s="6">
        <f>IF(Table1[[#This Row],[Conversions]]=0,0,Table1[[#This Row],[Ad Spend]]/Table1[[#This Row],[Conversions]])</f>
        <v>37.60819277108434</v>
      </c>
      <c r="M1558" s="8">
        <f>IF(Table1[[#This Row],[Ad Spend]]=0,0,Table1[[#This Row],[Revenue]]/Table1[[#This Row],[Ad Spend]])</f>
        <v>2.4695721260427748</v>
      </c>
      <c r="N1558">
        <f>YEAR(Table1[[#This Row],[Date]])</f>
        <v>2024</v>
      </c>
      <c r="O1558" t="str">
        <f>TEXT(Table1[[#This Row],[Date]],"mmm")</f>
        <v>Apr</v>
      </c>
      <c r="P1558">
        <f>MONTH(Table1[[#This Row],[Date]])</f>
        <v>4</v>
      </c>
    </row>
    <row r="1559" spans="1:16" x14ac:dyDescent="0.25">
      <c r="A1559" t="s">
        <v>1578</v>
      </c>
      <c r="B1559" t="s">
        <v>9</v>
      </c>
      <c r="C1559" t="s">
        <v>37</v>
      </c>
      <c r="D1559" s="1">
        <v>45474</v>
      </c>
      <c r="E1559">
        <v>135754</v>
      </c>
      <c r="F1559">
        <v>5722</v>
      </c>
      <c r="G1559">
        <v>793</v>
      </c>
      <c r="H1559" s="4">
        <v>4550.25</v>
      </c>
      <c r="I1559" s="4">
        <v>82470.19</v>
      </c>
      <c r="J1559" s="7">
        <f>Table1[[#This Row],[Clicks]]/Table1[[#This Row],[Impressions]]</f>
        <v>4.2149770909144485E-2</v>
      </c>
      <c r="K1559" s="7">
        <f>IFERROR(Table1[[#This Row],[Conversions]]/Table1[[#This Row],[Clicks]],0)</f>
        <v>0.13858790632645929</v>
      </c>
      <c r="L1559" s="6">
        <f>IF(Table1[[#This Row],[Conversions]]=0,0,Table1[[#This Row],[Ad Spend]]/Table1[[#This Row],[Conversions]])</f>
        <v>5.7380201765447669</v>
      </c>
      <c r="M1559" s="8">
        <f>IF(Table1[[#This Row],[Ad Spend]]=0,0,Table1[[#This Row],[Revenue]]/Table1[[#This Row],[Ad Spend]])</f>
        <v>18.124320641722981</v>
      </c>
      <c r="N1559">
        <f>YEAR(Table1[[#This Row],[Date]])</f>
        <v>2024</v>
      </c>
      <c r="O1559" t="str">
        <f>TEXT(Table1[[#This Row],[Date]],"mmm")</f>
        <v>Jul</v>
      </c>
      <c r="P1559">
        <f>MONTH(Table1[[#This Row],[Date]])</f>
        <v>7</v>
      </c>
    </row>
    <row r="1560" spans="1:16" x14ac:dyDescent="0.25">
      <c r="A1560" t="s">
        <v>1579</v>
      </c>
      <c r="B1560" t="s">
        <v>14</v>
      </c>
      <c r="C1560" t="s">
        <v>37</v>
      </c>
      <c r="D1560" s="1">
        <v>45478</v>
      </c>
      <c r="E1560">
        <v>13608</v>
      </c>
      <c r="F1560">
        <v>515</v>
      </c>
      <c r="G1560">
        <v>16</v>
      </c>
      <c r="H1560" s="4">
        <v>1781.67</v>
      </c>
      <c r="I1560" s="4">
        <v>427.52</v>
      </c>
      <c r="J1560" s="7">
        <f>Table1[[#This Row],[Clicks]]/Table1[[#This Row],[Impressions]]</f>
        <v>3.784538506760729E-2</v>
      </c>
      <c r="K1560" s="7">
        <f>IFERROR(Table1[[#This Row],[Conversions]]/Table1[[#This Row],[Clicks]],0)</f>
        <v>3.1067961165048542E-2</v>
      </c>
      <c r="L1560" s="6">
        <f>IF(Table1[[#This Row],[Conversions]]=0,0,Table1[[#This Row],[Ad Spend]]/Table1[[#This Row],[Conversions]])</f>
        <v>111.354375</v>
      </c>
      <c r="M1560" s="8">
        <f>IF(Table1[[#This Row],[Ad Spend]]=0,0,Table1[[#This Row],[Revenue]]/Table1[[#This Row],[Ad Spend]])</f>
        <v>0.23995464928971133</v>
      </c>
      <c r="N1560">
        <f>YEAR(Table1[[#This Row],[Date]])</f>
        <v>2024</v>
      </c>
      <c r="O1560" t="str">
        <f>TEXT(Table1[[#This Row],[Date]],"mmm")</f>
        <v>Jul</v>
      </c>
      <c r="P1560">
        <f>MONTH(Table1[[#This Row],[Date]])</f>
        <v>7</v>
      </c>
    </row>
    <row r="1561" spans="1:16" x14ac:dyDescent="0.25">
      <c r="A1561" t="s">
        <v>1580</v>
      </c>
      <c r="B1561" t="s">
        <v>9</v>
      </c>
      <c r="C1561" t="s">
        <v>10</v>
      </c>
      <c r="D1561" s="1">
        <v>45520</v>
      </c>
      <c r="E1561">
        <v>142087</v>
      </c>
      <c r="F1561">
        <v>3887</v>
      </c>
      <c r="G1561">
        <v>207</v>
      </c>
      <c r="H1561" s="4">
        <v>3749.29</v>
      </c>
      <c r="I1561" s="4">
        <v>18416.77</v>
      </c>
      <c r="J1561" s="7">
        <f>Table1[[#This Row],[Clicks]]/Table1[[#This Row],[Impressions]]</f>
        <v>2.7356478777087277E-2</v>
      </c>
      <c r="K1561" s="7">
        <f>IFERROR(Table1[[#This Row],[Conversions]]/Table1[[#This Row],[Clicks]],0)</f>
        <v>5.3254437869822487E-2</v>
      </c>
      <c r="L1561" s="6">
        <f>IF(Table1[[#This Row],[Conversions]]=0,0,Table1[[#This Row],[Ad Spend]]/Table1[[#This Row],[Conversions]])</f>
        <v>18.112512077294685</v>
      </c>
      <c r="M1561" s="8">
        <f>IF(Table1[[#This Row],[Ad Spend]]=0,0,Table1[[#This Row],[Revenue]]/Table1[[#This Row],[Ad Spend]])</f>
        <v>4.9120686850043613</v>
      </c>
      <c r="N1561">
        <f>YEAR(Table1[[#This Row],[Date]])</f>
        <v>2024</v>
      </c>
      <c r="O1561" t="str">
        <f>TEXT(Table1[[#This Row],[Date]],"mmm")</f>
        <v>Aug</v>
      </c>
      <c r="P1561">
        <f>MONTH(Table1[[#This Row],[Date]])</f>
        <v>8</v>
      </c>
    </row>
    <row r="1562" spans="1:16" x14ac:dyDescent="0.25">
      <c r="A1562" t="s">
        <v>1581</v>
      </c>
      <c r="B1562" t="s">
        <v>14</v>
      </c>
      <c r="C1562" t="s">
        <v>37</v>
      </c>
      <c r="D1562" s="1">
        <v>45645</v>
      </c>
      <c r="E1562">
        <v>124554</v>
      </c>
      <c r="F1562">
        <v>2792</v>
      </c>
      <c r="G1562">
        <v>411</v>
      </c>
      <c r="H1562" s="4">
        <v>1475.66</v>
      </c>
      <c r="I1562" s="4">
        <v>19624.29</v>
      </c>
      <c r="J1562" s="7">
        <f>Table1[[#This Row],[Clicks]]/Table1[[#This Row],[Impressions]]</f>
        <v>2.241598021741574E-2</v>
      </c>
      <c r="K1562" s="7">
        <f>IFERROR(Table1[[#This Row],[Conversions]]/Table1[[#This Row],[Clicks]],0)</f>
        <v>0.14720630372492838</v>
      </c>
      <c r="L1562" s="6">
        <f>IF(Table1[[#This Row],[Conversions]]=0,0,Table1[[#This Row],[Ad Spend]]/Table1[[#This Row],[Conversions]])</f>
        <v>3.5904136253041363</v>
      </c>
      <c r="M1562" s="8">
        <f>IF(Table1[[#This Row],[Ad Spend]]=0,0,Table1[[#This Row],[Revenue]]/Table1[[#This Row],[Ad Spend]])</f>
        <v>13.29865280620197</v>
      </c>
      <c r="N1562">
        <f>YEAR(Table1[[#This Row],[Date]])</f>
        <v>2024</v>
      </c>
      <c r="O1562" t="str">
        <f>TEXT(Table1[[#This Row],[Date]],"mmm")</f>
        <v>Dec</v>
      </c>
      <c r="P1562">
        <f>MONTH(Table1[[#This Row],[Date]])</f>
        <v>12</v>
      </c>
    </row>
    <row r="1563" spans="1:16" x14ac:dyDescent="0.25">
      <c r="A1563" t="s">
        <v>1582</v>
      </c>
      <c r="B1563" t="s">
        <v>14</v>
      </c>
      <c r="C1563" t="s">
        <v>10</v>
      </c>
      <c r="D1563" s="1">
        <v>45359</v>
      </c>
      <c r="E1563">
        <v>141985</v>
      </c>
      <c r="F1563">
        <v>4428</v>
      </c>
      <c r="G1563">
        <v>208</v>
      </c>
      <c r="H1563" s="4">
        <v>1370.91</v>
      </c>
      <c r="I1563" s="4">
        <v>20002.95</v>
      </c>
      <c r="J1563" s="7">
        <f>Table1[[#This Row],[Clicks]]/Table1[[#This Row],[Impressions]]</f>
        <v>3.1186392928830509E-2</v>
      </c>
      <c r="K1563" s="7">
        <f>IFERROR(Table1[[#This Row],[Conversions]]/Table1[[#This Row],[Clicks]],0)</f>
        <v>4.6973803071364048E-2</v>
      </c>
      <c r="L1563" s="6">
        <f>IF(Table1[[#This Row],[Conversions]]=0,0,Table1[[#This Row],[Ad Spend]]/Table1[[#This Row],[Conversions]])</f>
        <v>6.5909134615384621</v>
      </c>
      <c r="M1563" s="8">
        <f>IF(Table1[[#This Row],[Ad Spend]]=0,0,Table1[[#This Row],[Revenue]]/Table1[[#This Row],[Ad Spend]])</f>
        <v>14.591001597479046</v>
      </c>
      <c r="N1563">
        <f>YEAR(Table1[[#This Row],[Date]])</f>
        <v>2024</v>
      </c>
      <c r="O1563" t="str">
        <f>TEXT(Table1[[#This Row],[Date]],"mmm")</f>
        <v>Mar</v>
      </c>
      <c r="P1563">
        <f>MONTH(Table1[[#This Row],[Date]])</f>
        <v>3</v>
      </c>
    </row>
    <row r="1564" spans="1:16" x14ac:dyDescent="0.25">
      <c r="A1564" t="s">
        <v>1583</v>
      </c>
      <c r="B1564" t="s">
        <v>41</v>
      </c>
      <c r="C1564" t="s">
        <v>17</v>
      </c>
      <c r="D1564" s="1">
        <v>45342</v>
      </c>
      <c r="E1564">
        <v>145753</v>
      </c>
      <c r="F1564">
        <v>10452</v>
      </c>
      <c r="G1564">
        <v>278</v>
      </c>
      <c r="H1564" s="4">
        <v>3992.08</v>
      </c>
      <c r="I1564" s="4">
        <v>7590.92</v>
      </c>
      <c r="J1564" s="7">
        <f>Table1[[#This Row],[Clicks]]/Table1[[#This Row],[Impressions]]</f>
        <v>7.1710359306497981E-2</v>
      </c>
      <c r="K1564" s="7">
        <f>IFERROR(Table1[[#This Row],[Conversions]]/Table1[[#This Row],[Clicks]],0)</f>
        <v>2.6597780329123612E-2</v>
      </c>
      <c r="L1564" s="6">
        <f>IF(Table1[[#This Row],[Conversions]]=0,0,Table1[[#This Row],[Ad Spend]]/Table1[[#This Row],[Conversions]])</f>
        <v>14.36</v>
      </c>
      <c r="M1564" s="8">
        <f>IF(Table1[[#This Row],[Ad Spend]]=0,0,Table1[[#This Row],[Revenue]]/Table1[[#This Row],[Ad Spend]])</f>
        <v>1.9014949600208413</v>
      </c>
      <c r="N1564">
        <f>YEAR(Table1[[#This Row],[Date]])</f>
        <v>2024</v>
      </c>
      <c r="O1564" t="str">
        <f>TEXT(Table1[[#This Row],[Date]],"mmm")</f>
        <v>Feb</v>
      </c>
      <c r="P1564">
        <f>MONTH(Table1[[#This Row],[Date]])</f>
        <v>2</v>
      </c>
    </row>
    <row r="1565" spans="1:16" x14ac:dyDescent="0.25">
      <c r="A1565" t="s">
        <v>1584</v>
      </c>
      <c r="B1565" t="s">
        <v>41</v>
      </c>
      <c r="C1565" t="s">
        <v>10</v>
      </c>
      <c r="D1565" s="1">
        <v>45518</v>
      </c>
      <c r="E1565">
        <v>26859</v>
      </c>
      <c r="F1565">
        <v>1163</v>
      </c>
      <c r="G1565">
        <v>38</v>
      </c>
      <c r="H1565" s="4">
        <v>3029</v>
      </c>
      <c r="I1565" s="4">
        <v>3033.52</v>
      </c>
      <c r="J1565" s="7">
        <f>Table1[[#This Row],[Clicks]]/Table1[[#This Row],[Impressions]]</f>
        <v>4.3300197326780594E-2</v>
      </c>
      <c r="K1565" s="7">
        <f>IFERROR(Table1[[#This Row],[Conversions]]/Table1[[#This Row],[Clicks]],0)</f>
        <v>3.2674118658641442E-2</v>
      </c>
      <c r="L1565" s="6">
        <f>IF(Table1[[#This Row],[Conversions]]=0,0,Table1[[#This Row],[Ad Spend]]/Table1[[#This Row],[Conversions]])</f>
        <v>79.71052631578948</v>
      </c>
      <c r="M1565" s="8">
        <f>IF(Table1[[#This Row],[Ad Spend]]=0,0,Table1[[#This Row],[Revenue]]/Table1[[#This Row],[Ad Spend]])</f>
        <v>1.0014922416639154</v>
      </c>
      <c r="N1565">
        <f>YEAR(Table1[[#This Row],[Date]])</f>
        <v>2024</v>
      </c>
      <c r="O1565" t="str">
        <f>TEXT(Table1[[#This Row],[Date]],"mmm")</f>
        <v>Aug</v>
      </c>
      <c r="P1565">
        <f>MONTH(Table1[[#This Row],[Date]])</f>
        <v>8</v>
      </c>
    </row>
    <row r="1566" spans="1:16" x14ac:dyDescent="0.25">
      <c r="A1566" t="s">
        <v>1585</v>
      </c>
      <c r="B1566" t="s">
        <v>34</v>
      </c>
      <c r="C1566" t="s">
        <v>12</v>
      </c>
      <c r="D1566" s="1">
        <v>45296</v>
      </c>
      <c r="E1566">
        <v>117657</v>
      </c>
      <c r="F1566">
        <v>8268</v>
      </c>
      <c r="G1566">
        <v>285</v>
      </c>
      <c r="H1566" s="4">
        <v>4455.28</v>
      </c>
      <c r="I1566" s="4">
        <v>27855.78</v>
      </c>
      <c r="J1566" s="7">
        <f>Table1[[#This Row],[Clicks]]/Table1[[#This Row],[Impressions]]</f>
        <v>7.0272062010760097E-2</v>
      </c>
      <c r="K1566" s="7">
        <f>IFERROR(Table1[[#This Row],[Conversions]]/Table1[[#This Row],[Clicks]],0)</f>
        <v>3.4470246734397678E-2</v>
      </c>
      <c r="L1566" s="6">
        <f>IF(Table1[[#This Row],[Conversions]]=0,0,Table1[[#This Row],[Ad Spend]]/Table1[[#This Row],[Conversions]])</f>
        <v>15.63256140350877</v>
      </c>
      <c r="M1566" s="8">
        <f>IF(Table1[[#This Row],[Ad Spend]]=0,0,Table1[[#This Row],[Revenue]]/Table1[[#This Row],[Ad Spend]])</f>
        <v>6.252307374620675</v>
      </c>
      <c r="N1566">
        <f>YEAR(Table1[[#This Row],[Date]])</f>
        <v>2024</v>
      </c>
      <c r="O1566" t="str">
        <f>TEXT(Table1[[#This Row],[Date]],"mmm")</f>
        <v>Jan</v>
      </c>
      <c r="P1566">
        <f>MONTH(Table1[[#This Row],[Date]])</f>
        <v>1</v>
      </c>
    </row>
    <row r="1567" spans="1:16" x14ac:dyDescent="0.25">
      <c r="A1567" t="s">
        <v>1586</v>
      </c>
      <c r="B1567" t="s">
        <v>14</v>
      </c>
      <c r="C1567" t="s">
        <v>12</v>
      </c>
      <c r="D1567" s="1">
        <v>45704</v>
      </c>
      <c r="E1567">
        <v>124604</v>
      </c>
      <c r="F1567">
        <v>9900</v>
      </c>
      <c r="G1567">
        <v>521</v>
      </c>
      <c r="H1567" s="4">
        <v>2154.41</v>
      </c>
      <c r="I1567" s="4">
        <v>24525.72</v>
      </c>
      <c r="J1567" s="7">
        <f>Table1[[#This Row],[Clicks]]/Table1[[#This Row],[Impressions]]</f>
        <v>7.9451702995088441E-2</v>
      </c>
      <c r="K1567" s="7">
        <f>IFERROR(Table1[[#This Row],[Conversions]]/Table1[[#This Row],[Clicks]],0)</f>
        <v>5.2626262626262625E-2</v>
      </c>
      <c r="L1567" s="6">
        <f>IF(Table1[[#This Row],[Conversions]]=0,0,Table1[[#This Row],[Ad Spend]]/Table1[[#This Row],[Conversions]])</f>
        <v>4.1351439539347403</v>
      </c>
      <c r="M1567" s="8">
        <f>IF(Table1[[#This Row],[Ad Spend]]=0,0,Table1[[#This Row],[Revenue]]/Table1[[#This Row],[Ad Spend]])</f>
        <v>11.383961270138926</v>
      </c>
      <c r="N1567">
        <f>YEAR(Table1[[#This Row],[Date]])</f>
        <v>2025</v>
      </c>
      <c r="O1567" t="str">
        <f>TEXT(Table1[[#This Row],[Date]],"mmm")</f>
        <v>Feb</v>
      </c>
      <c r="P1567">
        <f>MONTH(Table1[[#This Row],[Date]])</f>
        <v>2</v>
      </c>
    </row>
    <row r="1568" spans="1:16" x14ac:dyDescent="0.25">
      <c r="A1568" t="s">
        <v>1587</v>
      </c>
      <c r="B1568" t="s">
        <v>16</v>
      </c>
      <c r="C1568" t="s">
        <v>19</v>
      </c>
      <c r="D1568" s="1">
        <v>45551</v>
      </c>
      <c r="E1568">
        <v>131688</v>
      </c>
      <c r="F1568">
        <v>6056</v>
      </c>
      <c r="G1568">
        <v>870</v>
      </c>
      <c r="H1568" s="4">
        <v>1638.26</v>
      </c>
      <c r="I1568" s="4">
        <v>92851.7</v>
      </c>
      <c r="J1568" s="7">
        <f>Table1[[#This Row],[Clicks]]/Table1[[#This Row],[Impressions]]</f>
        <v>4.5987485571957962E-2</v>
      </c>
      <c r="K1568" s="7">
        <f>IFERROR(Table1[[#This Row],[Conversions]]/Table1[[#This Row],[Clicks]],0)</f>
        <v>0.14365918097754293</v>
      </c>
      <c r="L1568" s="6">
        <f>IF(Table1[[#This Row],[Conversions]]=0,0,Table1[[#This Row],[Ad Spend]]/Table1[[#This Row],[Conversions]])</f>
        <v>1.8830574712643677</v>
      </c>
      <c r="M1568" s="8">
        <f>IF(Table1[[#This Row],[Ad Spend]]=0,0,Table1[[#This Row],[Revenue]]/Table1[[#This Row],[Ad Spend]])</f>
        <v>56.677023183133322</v>
      </c>
      <c r="N1568">
        <f>YEAR(Table1[[#This Row],[Date]])</f>
        <v>2024</v>
      </c>
      <c r="O1568" t="str">
        <f>TEXT(Table1[[#This Row],[Date]],"mmm")</f>
        <v>Sept</v>
      </c>
      <c r="P1568">
        <f>MONTH(Table1[[#This Row],[Date]])</f>
        <v>9</v>
      </c>
    </row>
    <row r="1569" spans="1:16" x14ac:dyDescent="0.25">
      <c r="A1569" t="s">
        <v>1588</v>
      </c>
      <c r="B1569" t="s">
        <v>14</v>
      </c>
      <c r="C1569" t="s">
        <v>19</v>
      </c>
      <c r="D1569" s="1">
        <v>45432</v>
      </c>
      <c r="E1569">
        <v>136874</v>
      </c>
      <c r="F1569">
        <v>4327</v>
      </c>
      <c r="G1569">
        <v>334</v>
      </c>
      <c r="H1569" s="4">
        <v>4890.7</v>
      </c>
      <c r="I1569" s="4">
        <v>38266.28</v>
      </c>
      <c r="J1569" s="7">
        <f>Table1[[#This Row],[Clicks]]/Table1[[#This Row],[Impressions]]</f>
        <v>3.1613016350804386E-2</v>
      </c>
      <c r="K1569" s="7">
        <f>IFERROR(Table1[[#This Row],[Conversions]]/Table1[[#This Row],[Clicks]],0)</f>
        <v>7.7189738849087128E-2</v>
      </c>
      <c r="L1569" s="6">
        <f>IF(Table1[[#This Row],[Conversions]]=0,0,Table1[[#This Row],[Ad Spend]]/Table1[[#This Row],[Conversions]])</f>
        <v>14.642814371257485</v>
      </c>
      <c r="M1569" s="8">
        <f>IF(Table1[[#This Row],[Ad Spend]]=0,0,Table1[[#This Row],[Revenue]]/Table1[[#This Row],[Ad Spend]])</f>
        <v>7.8242950906823152</v>
      </c>
      <c r="N1569">
        <f>YEAR(Table1[[#This Row],[Date]])</f>
        <v>2024</v>
      </c>
      <c r="O1569" t="str">
        <f>TEXT(Table1[[#This Row],[Date]],"mmm")</f>
        <v>May</v>
      </c>
      <c r="P1569">
        <f>MONTH(Table1[[#This Row],[Date]])</f>
        <v>5</v>
      </c>
    </row>
    <row r="1570" spans="1:16" x14ac:dyDescent="0.25">
      <c r="A1570" t="s">
        <v>1589</v>
      </c>
      <c r="B1570" t="s">
        <v>41</v>
      </c>
      <c r="C1570" t="s">
        <v>10</v>
      </c>
      <c r="D1570" s="1">
        <v>45455</v>
      </c>
      <c r="E1570">
        <v>138574</v>
      </c>
      <c r="F1570">
        <v>5949</v>
      </c>
      <c r="G1570">
        <v>245</v>
      </c>
      <c r="H1570" s="4">
        <v>514.69000000000005</v>
      </c>
      <c r="I1570" s="4">
        <v>15484.37</v>
      </c>
      <c r="J1570" s="7">
        <f>Table1[[#This Row],[Clicks]]/Table1[[#This Row],[Impressions]]</f>
        <v>4.2930131193441773E-2</v>
      </c>
      <c r="K1570" s="7">
        <f>IFERROR(Table1[[#This Row],[Conversions]]/Table1[[#This Row],[Clicks]],0)</f>
        <v>4.1183392166750717E-2</v>
      </c>
      <c r="L1570" s="6">
        <f>IF(Table1[[#This Row],[Conversions]]=0,0,Table1[[#This Row],[Ad Spend]]/Table1[[#This Row],[Conversions]])</f>
        <v>2.1007755102040817</v>
      </c>
      <c r="M1570" s="8">
        <f>IF(Table1[[#This Row],[Ad Spend]]=0,0,Table1[[#This Row],[Revenue]]/Table1[[#This Row],[Ad Spend]])</f>
        <v>30.084847189570418</v>
      </c>
      <c r="N1570">
        <f>YEAR(Table1[[#This Row],[Date]])</f>
        <v>2024</v>
      </c>
      <c r="O1570" t="str">
        <f>TEXT(Table1[[#This Row],[Date]],"mmm")</f>
        <v>Jun</v>
      </c>
      <c r="P1570">
        <f>MONTH(Table1[[#This Row],[Date]])</f>
        <v>6</v>
      </c>
    </row>
    <row r="1571" spans="1:16" x14ac:dyDescent="0.25">
      <c r="A1571" t="s">
        <v>1590</v>
      </c>
      <c r="B1571" t="s">
        <v>34</v>
      </c>
      <c r="C1571" t="s">
        <v>10</v>
      </c>
      <c r="D1571" s="1">
        <v>45518</v>
      </c>
      <c r="E1571">
        <v>94766</v>
      </c>
      <c r="F1571">
        <v>5179</v>
      </c>
      <c r="G1571">
        <v>466</v>
      </c>
      <c r="H1571" s="4">
        <v>1076.75</v>
      </c>
      <c r="I1571" s="4">
        <v>45611.7</v>
      </c>
      <c r="J1571" s="7">
        <f>Table1[[#This Row],[Clicks]]/Table1[[#This Row],[Impressions]]</f>
        <v>5.4650402042926788E-2</v>
      </c>
      <c r="K1571" s="7">
        <f>IFERROR(Table1[[#This Row],[Conversions]]/Table1[[#This Row],[Clicks]],0)</f>
        <v>8.9978760378451442E-2</v>
      </c>
      <c r="L1571" s="6">
        <f>IF(Table1[[#This Row],[Conversions]]=0,0,Table1[[#This Row],[Ad Spend]]/Table1[[#This Row],[Conversions]])</f>
        <v>2.3106223175965663</v>
      </c>
      <c r="M1571" s="8">
        <f>IF(Table1[[#This Row],[Ad Spend]]=0,0,Table1[[#This Row],[Revenue]]/Table1[[#This Row],[Ad Spend]])</f>
        <v>42.360529370791731</v>
      </c>
      <c r="N1571">
        <f>YEAR(Table1[[#This Row],[Date]])</f>
        <v>2024</v>
      </c>
      <c r="O1571" t="str">
        <f>TEXT(Table1[[#This Row],[Date]],"mmm")</f>
        <v>Aug</v>
      </c>
      <c r="P1571">
        <f>MONTH(Table1[[#This Row],[Date]])</f>
        <v>8</v>
      </c>
    </row>
    <row r="1572" spans="1:16" x14ac:dyDescent="0.25">
      <c r="A1572" t="s">
        <v>1591</v>
      </c>
      <c r="B1572" t="s">
        <v>14</v>
      </c>
      <c r="C1572" t="s">
        <v>37</v>
      </c>
      <c r="D1572" s="1">
        <v>45449</v>
      </c>
      <c r="E1572">
        <v>136538</v>
      </c>
      <c r="F1572">
        <v>4284</v>
      </c>
      <c r="G1572">
        <v>512</v>
      </c>
      <c r="H1572" s="4">
        <v>2465</v>
      </c>
      <c r="I1572" s="4">
        <v>45299.01</v>
      </c>
      <c r="J1572" s="7">
        <f>Table1[[#This Row],[Clicks]]/Table1[[#This Row],[Impressions]]</f>
        <v>3.1375880707202389E-2</v>
      </c>
      <c r="K1572" s="7">
        <f>IFERROR(Table1[[#This Row],[Conversions]]/Table1[[#This Row],[Clicks]],0)</f>
        <v>0.11951447245564893</v>
      </c>
      <c r="L1572" s="6">
        <f>IF(Table1[[#This Row],[Conversions]]=0,0,Table1[[#This Row],[Ad Spend]]/Table1[[#This Row],[Conversions]])</f>
        <v>4.814453125</v>
      </c>
      <c r="M1572" s="8">
        <f>IF(Table1[[#This Row],[Ad Spend]]=0,0,Table1[[#This Row],[Revenue]]/Table1[[#This Row],[Ad Spend]])</f>
        <v>18.37688032454361</v>
      </c>
      <c r="N1572">
        <f>YEAR(Table1[[#This Row],[Date]])</f>
        <v>2024</v>
      </c>
      <c r="O1572" t="str">
        <f>TEXT(Table1[[#This Row],[Date]],"mmm")</f>
        <v>Jun</v>
      </c>
      <c r="P1572">
        <f>MONTH(Table1[[#This Row],[Date]])</f>
        <v>6</v>
      </c>
    </row>
    <row r="1573" spans="1:16" x14ac:dyDescent="0.25">
      <c r="A1573" t="s">
        <v>1592</v>
      </c>
      <c r="B1573" t="s">
        <v>14</v>
      </c>
      <c r="C1573" t="s">
        <v>12</v>
      </c>
      <c r="D1573" s="1">
        <v>45636</v>
      </c>
      <c r="E1573">
        <v>45526</v>
      </c>
      <c r="F1573">
        <v>1487</v>
      </c>
      <c r="G1573">
        <v>66</v>
      </c>
      <c r="H1573" s="4">
        <v>2101.9499999999998</v>
      </c>
      <c r="I1573" s="4">
        <v>2453.73</v>
      </c>
      <c r="J1573" s="7">
        <f>Table1[[#This Row],[Clicks]]/Table1[[#This Row],[Impressions]]</f>
        <v>3.2662654307428721E-2</v>
      </c>
      <c r="K1573" s="7">
        <f>IFERROR(Table1[[#This Row],[Conversions]]/Table1[[#This Row],[Clicks]],0)</f>
        <v>4.438466711499664E-2</v>
      </c>
      <c r="L1573" s="6">
        <f>IF(Table1[[#This Row],[Conversions]]=0,0,Table1[[#This Row],[Ad Spend]]/Table1[[#This Row],[Conversions]])</f>
        <v>31.847727272727269</v>
      </c>
      <c r="M1573" s="8">
        <f>IF(Table1[[#This Row],[Ad Spend]]=0,0,Table1[[#This Row],[Revenue]]/Table1[[#This Row],[Ad Spend]])</f>
        <v>1.1673588810390354</v>
      </c>
      <c r="N1573">
        <f>YEAR(Table1[[#This Row],[Date]])</f>
        <v>2024</v>
      </c>
      <c r="O1573" t="str">
        <f>TEXT(Table1[[#This Row],[Date]],"mmm")</f>
        <v>Dec</v>
      </c>
      <c r="P1573">
        <f>MONTH(Table1[[#This Row],[Date]])</f>
        <v>12</v>
      </c>
    </row>
    <row r="1574" spans="1:16" x14ac:dyDescent="0.25">
      <c r="A1574" t="s">
        <v>1593</v>
      </c>
      <c r="B1574" t="s">
        <v>16</v>
      </c>
      <c r="C1574" t="s">
        <v>12</v>
      </c>
      <c r="D1574" s="1">
        <v>45631</v>
      </c>
      <c r="E1574">
        <v>46191</v>
      </c>
      <c r="F1574">
        <v>1514</v>
      </c>
      <c r="G1574">
        <v>131</v>
      </c>
      <c r="H1574" s="4">
        <v>2474.12</v>
      </c>
      <c r="I1574" s="4">
        <v>10417.51</v>
      </c>
      <c r="J1574" s="7">
        <f>Table1[[#This Row],[Clicks]]/Table1[[#This Row],[Impressions]]</f>
        <v>3.2776947890281655E-2</v>
      </c>
      <c r="K1574" s="7">
        <f>IFERROR(Table1[[#This Row],[Conversions]]/Table1[[#This Row],[Clicks]],0)</f>
        <v>8.6525759577278732E-2</v>
      </c>
      <c r="L1574" s="6">
        <f>IF(Table1[[#This Row],[Conversions]]=0,0,Table1[[#This Row],[Ad Spend]]/Table1[[#This Row],[Conversions]])</f>
        <v>18.886412213740456</v>
      </c>
      <c r="M1574" s="8">
        <f>IF(Table1[[#This Row],[Ad Spend]]=0,0,Table1[[#This Row],[Revenue]]/Table1[[#This Row],[Ad Spend]])</f>
        <v>4.2105920488901107</v>
      </c>
      <c r="N1574">
        <f>YEAR(Table1[[#This Row],[Date]])</f>
        <v>2024</v>
      </c>
      <c r="O1574" t="str">
        <f>TEXT(Table1[[#This Row],[Date]],"mmm")</f>
        <v>Dec</v>
      </c>
      <c r="P1574">
        <f>MONTH(Table1[[#This Row],[Date]])</f>
        <v>12</v>
      </c>
    </row>
    <row r="1575" spans="1:16" x14ac:dyDescent="0.25">
      <c r="A1575" t="s">
        <v>1594</v>
      </c>
      <c r="B1575" t="s">
        <v>21</v>
      </c>
      <c r="C1575" t="s">
        <v>19</v>
      </c>
      <c r="D1575" s="1">
        <v>45409</v>
      </c>
      <c r="E1575">
        <v>73905</v>
      </c>
      <c r="F1575">
        <v>3180</v>
      </c>
      <c r="G1575">
        <v>417</v>
      </c>
      <c r="H1575" s="4">
        <v>1657.37</v>
      </c>
      <c r="I1575" s="4">
        <v>14385.94</v>
      </c>
      <c r="J1575" s="7">
        <f>Table1[[#This Row],[Clicks]]/Table1[[#This Row],[Impressions]]</f>
        <v>4.302821189364725E-2</v>
      </c>
      <c r="K1575" s="7">
        <f>IFERROR(Table1[[#This Row],[Conversions]]/Table1[[#This Row],[Clicks]],0)</f>
        <v>0.13113207547169811</v>
      </c>
      <c r="L1575" s="6">
        <f>IF(Table1[[#This Row],[Conversions]]=0,0,Table1[[#This Row],[Ad Spend]]/Table1[[#This Row],[Conversions]])</f>
        <v>3.9745083932853715</v>
      </c>
      <c r="M1575" s="8">
        <f>IF(Table1[[#This Row],[Ad Spend]]=0,0,Table1[[#This Row],[Revenue]]/Table1[[#This Row],[Ad Spend]])</f>
        <v>8.6799809336478884</v>
      </c>
      <c r="N1575">
        <f>YEAR(Table1[[#This Row],[Date]])</f>
        <v>2024</v>
      </c>
      <c r="O1575" t="str">
        <f>TEXT(Table1[[#This Row],[Date]],"mmm")</f>
        <v>Apr</v>
      </c>
      <c r="P1575">
        <f>MONTH(Table1[[#This Row],[Date]])</f>
        <v>4</v>
      </c>
    </row>
    <row r="1576" spans="1:16" x14ac:dyDescent="0.25">
      <c r="A1576" t="s">
        <v>1595</v>
      </c>
      <c r="B1576" t="s">
        <v>47</v>
      </c>
      <c r="C1576" t="s">
        <v>19</v>
      </c>
      <c r="D1576" s="1">
        <v>45716</v>
      </c>
      <c r="E1576">
        <v>87666</v>
      </c>
      <c r="F1576">
        <v>3636</v>
      </c>
      <c r="G1576">
        <v>273</v>
      </c>
      <c r="H1576" s="4">
        <v>2089</v>
      </c>
      <c r="I1576" s="4">
        <v>16847.48</v>
      </c>
      <c r="J1576" s="7">
        <f>Table1[[#This Row],[Clicks]]/Table1[[#This Row],[Impressions]]</f>
        <v>4.1475600574909316E-2</v>
      </c>
      <c r="K1576" s="7">
        <f>IFERROR(Table1[[#This Row],[Conversions]]/Table1[[#This Row],[Clicks]],0)</f>
        <v>7.5082508250825089E-2</v>
      </c>
      <c r="L1576" s="6">
        <f>IF(Table1[[#This Row],[Conversions]]=0,0,Table1[[#This Row],[Ad Spend]]/Table1[[#This Row],[Conversions]])</f>
        <v>7.6520146520146524</v>
      </c>
      <c r="M1576" s="8">
        <f>IF(Table1[[#This Row],[Ad Spend]]=0,0,Table1[[#This Row],[Revenue]]/Table1[[#This Row],[Ad Spend]])</f>
        <v>8.0648539971278126</v>
      </c>
      <c r="N1576">
        <f>YEAR(Table1[[#This Row],[Date]])</f>
        <v>2025</v>
      </c>
      <c r="O1576" t="str">
        <f>TEXT(Table1[[#This Row],[Date]],"mmm")</f>
        <v>Feb</v>
      </c>
      <c r="P1576">
        <f>MONTH(Table1[[#This Row],[Date]])</f>
        <v>2</v>
      </c>
    </row>
    <row r="1577" spans="1:16" x14ac:dyDescent="0.25">
      <c r="A1577" t="s">
        <v>1596</v>
      </c>
      <c r="B1577" t="s">
        <v>21</v>
      </c>
      <c r="C1577" t="s">
        <v>10</v>
      </c>
      <c r="D1577" s="1">
        <v>45501</v>
      </c>
      <c r="E1577">
        <v>97697</v>
      </c>
      <c r="F1577">
        <v>5393</v>
      </c>
      <c r="G1577">
        <v>205</v>
      </c>
      <c r="H1577" s="4">
        <v>2393.0700000000002</v>
      </c>
      <c r="I1577" s="4">
        <v>9721.25</v>
      </c>
      <c r="J1577" s="7">
        <f>Table1[[#This Row],[Clicks]]/Table1[[#This Row],[Impressions]]</f>
        <v>5.5201285607541686E-2</v>
      </c>
      <c r="K1577" s="7">
        <f>IFERROR(Table1[[#This Row],[Conversions]]/Table1[[#This Row],[Clicks]],0)</f>
        <v>3.8012238086408308E-2</v>
      </c>
      <c r="L1577" s="6">
        <f>IF(Table1[[#This Row],[Conversions]]=0,0,Table1[[#This Row],[Ad Spend]]/Table1[[#This Row],[Conversions]])</f>
        <v>11.673512195121951</v>
      </c>
      <c r="M1577" s="8">
        <f>IF(Table1[[#This Row],[Ad Spend]]=0,0,Table1[[#This Row],[Revenue]]/Table1[[#This Row],[Ad Spend]])</f>
        <v>4.0622505818885362</v>
      </c>
      <c r="N1577">
        <f>YEAR(Table1[[#This Row],[Date]])</f>
        <v>2024</v>
      </c>
      <c r="O1577" t="str">
        <f>TEXT(Table1[[#This Row],[Date]],"mmm")</f>
        <v>Jul</v>
      </c>
      <c r="P1577">
        <f>MONTH(Table1[[#This Row],[Date]])</f>
        <v>7</v>
      </c>
    </row>
    <row r="1578" spans="1:16" x14ac:dyDescent="0.25">
      <c r="A1578" t="s">
        <v>1597</v>
      </c>
      <c r="B1578" t="s">
        <v>14</v>
      </c>
      <c r="C1578" t="s">
        <v>37</v>
      </c>
      <c r="D1578" s="1">
        <v>45630</v>
      </c>
      <c r="E1578">
        <v>72090</v>
      </c>
      <c r="F1578">
        <v>2208</v>
      </c>
      <c r="G1578">
        <v>151</v>
      </c>
      <c r="H1578" s="4">
        <v>1744.86</v>
      </c>
      <c r="I1578" s="4">
        <v>14962.89</v>
      </c>
      <c r="J1578" s="7">
        <f>Table1[[#This Row],[Clicks]]/Table1[[#This Row],[Impressions]]</f>
        <v>3.0628381190178942E-2</v>
      </c>
      <c r="K1578" s="7">
        <f>IFERROR(Table1[[#This Row],[Conversions]]/Table1[[#This Row],[Clicks]],0)</f>
        <v>6.8387681159420288E-2</v>
      </c>
      <c r="L1578" s="6">
        <f>IF(Table1[[#This Row],[Conversions]]=0,0,Table1[[#This Row],[Ad Spend]]/Table1[[#This Row],[Conversions]])</f>
        <v>11.555364238410595</v>
      </c>
      <c r="M1578" s="8">
        <f>IF(Table1[[#This Row],[Ad Spend]]=0,0,Table1[[#This Row],[Revenue]]/Table1[[#This Row],[Ad Spend]])</f>
        <v>8.5754100615522155</v>
      </c>
      <c r="N1578">
        <f>YEAR(Table1[[#This Row],[Date]])</f>
        <v>2024</v>
      </c>
      <c r="O1578" t="str">
        <f>TEXT(Table1[[#This Row],[Date]],"mmm")</f>
        <v>Dec</v>
      </c>
      <c r="P1578">
        <f>MONTH(Table1[[#This Row],[Date]])</f>
        <v>12</v>
      </c>
    </row>
    <row r="1579" spans="1:16" x14ac:dyDescent="0.25">
      <c r="A1579" t="s">
        <v>1598</v>
      </c>
      <c r="B1579" t="s">
        <v>47</v>
      </c>
      <c r="C1579" t="s">
        <v>12</v>
      </c>
      <c r="D1579" s="1">
        <v>45578</v>
      </c>
      <c r="E1579">
        <v>57285</v>
      </c>
      <c r="F1579">
        <v>3770</v>
      </c>
      <c r="G1579">
        <v>378</v>
      </c>
      <c r="H1579" s="4">
        <v>2312.5</v>
      </c>
      <c r="I1579" s="4">
        <v>17915.8</v>
      </c>
      <c r="J1579" s="7">
        <f>Table1[[#This Row],[Clicks]]/Table1[[#This Row],[Impressions]]</f>
        <v>6.5811294405167142E-2</v>
      </c>
      <c r="K1579" s="7">
        <f>IFERROR(Table1[[#This Row],[Conversions]]/Table1[[#This Row],[Clicks]],0)</f>
        <v>0.10026525198938992</v>
      </c>
      <c r="L1579" s="6">
        <f>IF(Table1[[#This Row],[Conversions]]=0,0,Table1[[#This Row],[Ad Spend]]/Table1[[#This Row],[Conversions]])</f>
        <v>6.1177248677248679</v>
      </c>
      <c r="M1579" s="8">
        <f>IF(Table1[[#This Row],[Ad Spend]]=0,0,Table1[[#This Row],[Revenue]]/Table1[[#This Row],[Ad Spend]])</f>
        <v>7.7473729729729728</v>
      </c>
      <c r="N1579">
        <f>YEAR(Table1[[#This Row],[Date]])</f>
        <v>2024</v>
      </c>
      <c r="O1579" t="str">
        <f>TEXT(Table1[[#This Row],[Date]],"mmm")</f>
        <v>Oct</v>
      </c>
      <c r="P1579">
        <f>MONTH(Table1[[#This Row],[Date]])</f>
        <v>10</v>
      </c>
    </row>
    <row r="1580" spans="1:16" x14ac:dyDescent="0.25">
      <c r="A1580" t="s">
        <v>1599</v>
      </c>
      <c r="B1580" t="s">
        <v>9</v>
      </c>
      <c r="C1580" t="s">
        <v>37</v>
      </c>
      <c r="D1580" s="1">
        <v>45374</v>
      </c>
      <c r="E1580">
        <v>90323</v>
      </c>
      <c r="F1580">
        <v>5473</v>
      </c>
      <c r="G1580">
        <v>779</v>
      </c>
      <c r="H1580" s="4">
        <v>3046.11</v>
      </c>
      <c r="I1580" s="4">
        <v>89744.33</v>
      </c>
      <c r="J1580" s="7">
        <f>Table1[[#This Row],[Clicks]]/Table1[[#This Row],[Impressions]]</f>
        <v>6.0593647243780656E-2</v>
      </c>
      <c r="K1580" s="7">
        <f>IFERROR(Table1[[#This Row],[Conversions]]/Table1[[#This Row],[Clicks]],0)</f>
        <v>0.14233509957975515</v>
      </c>
      <c r="L1580" s="6">
        <f>IF(Table1[[#This Row],[Conversions]]=0,0,Table1[[#This Row],[Ad Spend]]/Table1[[#This Row],[Conversions]])</f>
        <v>3.9102824133504495</v>
      </c>
      <c r="M1580" s="8">
        <f>IF(Table1[[#This Row],[Ad Spend]]=0,0,Table1[[#This Row],[Revenue]]/Table1[[#This Row],[Ad Spend]])</f>
        <v>29.461946548220517</v>
      </c>
      <c r="N1580">
        <f>YEAR(Table1[[#This Row],[Date]])</f>
        <v>2024</v>
      </c>
      <c r="O1580" t="str">
        <f>TEXT(Table1[[#This Row],[Date]],"mmm")</f>
        <v>Mar</v>
      </c>
      <c r="P1580">
        <f>MONTH(Table1[[#This Row],[Date]])</f>
        <v>3</v>
      </c>
    </row>
    <row r="1581" spans="1:16" x14ac:dyDescent="0.25">
      <c r="A1581" t="s">
        <v>1600</v>
      </c>
      <c r="B1581" t="s">
        <v>31</v>
      </c>
      <c r="C1581" t="s">
        <v>17</v>
      </c>
      <c r="D1581" s="1">
        <v>45644</v>
      </c>
      <c r="E1581">
        <v>132674</v>
      </c>
      <c r="F1581">
        <v>3647</v>
      </c>
      <c r="G1581">
        <v>540</v>
      </c>
      <c r="H1581" s="4">
        <v>3013.35</v>
      </c>
      <c r="I1581" s="4">
        <v>14003.11</v>
      </c>
      <c r="J1581" s="7">
        <f>Table1[[#This Row],[Clicks]]/Table1[[#This Row],[Impressions]]</f>
        <v>2.7488430287773039E-2</v>
      </c>
      <c r="K1581" s="7">
        <f>IFERROR(Table1[[#This Row],[Conversions]]/Table1[[#This Row],[Clicks]],0)</f>
        <v>0.14806690430490815</v>
      </c>
      <c r="L1581" s="6">
        <f>IF(Table1[[#This Row],[Conversions]]=0,0,Table1[[#This Row],[Ad Spend]]/Table1[[#This Row],[Conversions]])</f>
        <v>5.5802777777777779</v>
      </c>
      <c r="M1581" s="8">
        <f>IF(Table1[[#This Row],[Ad Spend]]=0,0,Table1[[#This Row],[Revenue]]/Table1[[#This Row],[Ad Spend]])</f>
        <v>4.6470240761942696</v>
      </c>
      <c r="N1581">
        <f>YEAR(Table1[[#This Row],[Date]])</f>
        <v>2024</v>
      </c>
      <c r="O1581" t="str">
        <f>TEXT(Table1[[#This Row],[Date]],"mmm")</f>
        <v>Dec</v>
      </c>
      <c r="P1581">
        <f>MONTH(Table1[[#This Row],[Date]])</f>
        <v>12</v>
      </c>
    </row>
    <row r="1582" spans="1:16" x14ac:dyDescent="0.25">
      <c r="A1582" t="s">
        <v>1601</v>
      </c>
      <c r="B1582" t="s">
        <v>31</v>
      </c>
      <c r="C1582" t="s">
        <v>19</v>
      </c>
      <c r="D1582" s="1">
        <v>45433</v>
      </c>
      <c r="E1582">
        <v>146006</v>
      </c>
      <c r="F1582">
        <v>5235</v>
      </c>
      <c r="G1582">
        <v>733</v>
      </c>
      <c r="H1582" s="4">
        <v>732.95</v>
      </c>
      <c r="I1582" s="4">
        <v>24503.07</v>
      </c>
      <c r="J1582" s="7">
        <f>Table1[[#This Row],[Clicks]]/Table1[[#This Row],[Impressions]]</f>
        <v>3.5854690903113572E-2</v>
      </c>
      <c r="K1582" s="7">
        <f>IFERROR(Table1[[#This Row],[Conversions]]/Table1[[#This Row],[Clicks]],0)</f>
        <v>0.14001910219675262</v>
      </c>
      <c r="L1582" s="6">
        <f>IF(Table1[[#This Row],[Conversions]]=0,0,Table1[[#This Row],[Ad Spend]]/Table1[[#This Row],[Conversions]])</f>
        <v>0.99993178717598918</v>
      </c>
      <c r="M1582" s="8">
        <f>IF(Table1[[#This Row],[Ad Spend]]=0,0,Table1[[#This Row],[Revenue]]/Table1[[#This Row],[Ad Spend]])</f>
        <v>33.43075243877481</v>
      </c>
      <c r="N1582">
        <f>YEAR(Table1[[#This Row],[Date]])</f>
        <v>2024</v>
      </c>
      <c r="O1582" t="str">
        <f>TEXT(Table1[[#This Row],[Date]],"mmm")</f>
        <v>May</v>
      </c>
      <c r="P1582">
        <f>MONTH(Table1[[#This Row],[Date]])</f>
        <v>5</v>
      </c>
    </row>
    <row r="1583" spans="1:16" x14ac:dyDescent="0.25">
      <c r="A1583" t="s">
        <v>1602</v>
      </c>
      <c r="B1583" t="s">
        <v>9</v>
      </c>
      <c r="C1583" t="s">
        <v>19</v>
      </c>
      <c r="D1583" s="1">
        <v>45688</v>
      </c>
      <c r="E1583">
        <v>113469</v>
      </c>
      <c r="F1583">
        <v>7682</v>
      </c>
      <c r="G1583">
        <v>1026</v>
      </c>
      <c r="H1583" s="4">
        <v>3031.08</v>
      </c>
      <c r="I1583" s="4">
        <v>79421.440000000002</v>
      </c>
      <c r="J1583" s="7">
        <f>Table1[[#This Row],[Clicks]]/Table1[[#This Row],[Impressions]]</f>
        <v>6.7701310490089803E-2</v>
      </c>
      <c r="K1583" s="7">
        <f>IFERROR(Table1[[#This Row],[Conversions]]/Table1[[#This Row],[Clicks]],0)</f>
        <v>0.13355896901848477</v>
      </c>
      <c r="L1583" s="6">
        <f>IF(Table1[[#This Row],[Conversions]]=0,0,Table1[[#This Row],[Ad Spend]]/Table1[[#This Row],[Conversions]])</f>
        <v>2.9542690058479533</v>
      </c>
      <c r="M1583" s="8">
        <f>IF(Table1[[#This Row],[Ad Spend]]=0,0,Table1[[#This Row],[Revenue]]/Table1[[#This Row],[Ad Spend]])</f>
        <v>26.202356915686821</v>
      </c>
      <c r="N1583">
        <f>YEAR(Table1[[#This Row],[Date]])</f>
        <v>2025</v>
      </c>
      <c r="O1583" t="str">
        <f>TEXT(Table1[[#This Row],[Date]],"mmm")</f>
        <v>Jan</v>
      </c>
      <c r="P1583">
        <f>MONTH(Table1[[#This Row],[Date]])</f>
        <v>1</v>
      </c>
    </row>
    <row r="1584" spans="1:16" x14ac:dyDescent="0.25">
      <c r="A1584" t="s">
        <v>1603</v>
      </c>
      <c r="B1584" t="s">
        <v>9</v>
      </c>
      <c r="C1584" t="s">
        <v>17</v>
      </c>
      <c r="D1584" s="1">
        <v>45417</v>
      </c>
      <c r="E1584">
        <v>90941</v>
      </c>
      <c r="F1584">
        <v>4555</v>
      </c>
      <c r="G1584">
        <v>542</v>
      </c>
      <c r="H1584" s="4">
        <v>1451.45</v>
      </c>
      <c r="I1584" s="4">
        <v>39621.69</v>
      </c>
      <c r="J1584" s="7">
        <f>Table1[[#This Row],[Clicks]]/Table1[[#This Row],[Impressions]]</f>
        <v>5.0087419315820149E-2</v>
      </c>
      <c r="K1584" s="7">
        <f>IFERROR(Table1[[#This Row],[Conversions]]/Table1[[#This Row],[Clicks]],0)</f>
        <v>0.11899012074643249</v>
      </c>
      <c r="L1584" s="6">
        <f>IF(Table1[[#This Row],[Conversions]]=0,0,Table1[[#This Row],[Ad Spend]]/Table1[[#This Row],[Conversions]])</f>
        <v>2.6779520295202954</v>
      </c>
      <c r="M1584" s="8">
        <f>IF(Table1[[#This Row],[Ad Spend]]=0,0,Table1[[#This Row],[Revenue]]/Table1[[#This Row],[Ad Spend]])</f>
        <v>27.298005442833031</v>
      </c>
      <c r="N1584">
        <f>YEAR(Table1[[#This Row],[Date]])</f>
        <v>2024</v>
      </c>
      <c r="O1584" t="str">
        <f>TEXT(Table1[[#This Row],[Date]],"mmm")</f>
        <v>May</v>
      </c>
      <c r="P1584">
        <f>MONTH(Table1[[#This Row],[Date]])</f>
        <v>5</v>
      </c>
    </row>
    <row r="1585" spans="1:16" x14ac:dyDescent="0.25">
      <c r="A1585" t="s">
        <v>1604</v>
      </c>
      <c r="B1585" t="s">
        <v>34</v>
      </c>
      <c r="C1585" t="s">
        <v>10</v>
      </c>
      <c r="D1585" s="1">
        <v>45363</v>
      </c>
      <c r="E1585">
        <v>22826</v>
      </c>
      <c r="F1585">
        <v>1619</v>
      </c>
      <c r="G1585">
        <v>179</v>
      </c>
      <c r="H1585" s="4">
        <v>3747.48</v>
      </c>
      <c r="I1585" s="4">
        <v>20713.88</v>
      </c>
      <c r="J1585" s="7">
        <f>Table1[[#This Row],[Clicks]]/Table1[[#This Row],[Impressions]]</f>
        <v>7.09278892491019E-2</v>
      </c>
      <c r="K1585" s="7">
        <f>IFERROR(Table1[[#This Row],[Conversions]]/Table1[[#This Row],[Clicks]],0)</f>
        <v>0.11056207535515751</v>
      </c>
      <c r="L1585" s="6">
        <f>IF(Table1[[#This Row],[Conversions]]=0,0,Table1[[#This Row],[Ad Spend]]/Table1[[#This Row],[Conversions]])</f>
        <v>20.93564245810056</v>
      </c>
      <c r="M1585" s="8">
        <f>IF(Table1[[#This Row],[Ad Spend]]=0,0,Table1[[#This Row],[Revenue]]/Table1[[#This Row],[Ad Spend]])</f>
        <v>5.5274157567218509</v>
      </c>
      <c r="N1585">
        <f>YEAR(Table1[[#This Row],[Date]])</f>
        <v>2024</v>
      </c>
      <c r="O1585" t="str">
        <f>TEXT(Table1[[#This Row],[Date]],"mmm")</f>
        <v>Mar</v>
      </c>
      <c r="P1585">
        <f>MONTH(Table1[[#This Row],[Date]])</f>
        <v>3</v>
      </c>
    </row>
    <row r="1586" spans="1:16" x14ac:dyDescent="0.25">
      <c r="A1586" t="s">
        <v>1605</v>
      </c>
      <c r="B1586" t="s">
        <v>47</v>
      </c>
      <c r="C1586" t="s">
        <v>17</v>
      </c>
      <c r="D1586" s="1">
        <v>45674</v>
      </c>
      <c r="E1586">
        <v>61311</v>
      </c>
      <c r="F1586">
        <v>1403</v>
      </c>
      <c r="G1586">
        <v>113</v>
      </c>
      <c r="H1586" s="4">
        <v>2411.86</v>
      </c>
      <c r="I1586" s="4">
        <v>6023.04</v>
      </c>
      <c r="J1586" s="7">
        <f>Table1[[#This Row],[Clicks]]/Table1[[#This Row],[Impressions]]</f>
        <v>2.2883332517818988E-2</v>
      </c>
      <c r="K1586" s="7">
        <f>IFERROR(Table1[[#This Row],[Conversions]]/Table1[[#This Row],[Clicks]],0)</f>
        <v>8.0541696364932289E-2</v>
      </c>
      <c r="L1586" s="6">
        <f>IF(Table1[[#This Row],[Conversions]]=0,0,Table1[[#This Row],[Ad Spend]]/Table1[[#This Row],[Conversions]])</f>
        <v>21.343893805309737</v>
      </c>
      <c r="M1586" s="8">
        <f>IF(Table1[[#This Row],[Ad Spend]]=0,0,Table1[[#This Row],[Revenue]]/Table1[[#This Row],[Ad Spend]])</f>
        <v>2.4972593765807303</v>
      </c>
      <c r="N1586">
        <f>YEAR(Table1[[#This Row],[Date]])</f>
        <v>2025</v>
      </c>
      <c r="O1586" t="str">
        <f>TEXT(Table1[[#This Row],[Date]],"mmm")</f>
        <v>Jan</v>
      </c>
      <c r="P1586">
        <f>MONTH(Table1[[#This Row],[Date]])</f>
        <v>1</v>
      </c>
    </row>
    <row r="1587" spans="1:16" x14ac:dyDescent="0.25">
      <c r="A1587" t="s">
        <v>1606</v>
      </c>
      <c r="B1587" t="s">
        <v>34</v>
      </c>
      <c r="C1587" t="s">
        <v>19</v>
      </c>
      <c r="D1587" s="1">
        <v>45601</v>
      </c>
      <c r="E1587">
        <v>11065</v>
      </c>
      <c r="F1587">
        <v>219</v>
      </c>
      <c r="G1587">
        <v>22</v>
      </c>
      <c r="H1587" s="4">
        <v>2251.19</v>
      </c>
      <c r="I1587" s="4">
        <v>2213.34</v>
      </c>
      <c r="J1587" s="7">
        <f>Table1[[#This Row],[Clicks]]/Table1[[#This Row],[Impressions]]</f>
        <v>1.9792137370085856E-2</v>
      </c>
      <c r="K1587" s="7">
        <f>IFERROR(Table1[[#This Row],[Conversions]]/Table1[[#This Row],[Clicks]],0)</f>
        <v>0.1004566210045662</v>
      </c>
      <c r="L1587" s="6">
        <f>IF(Table1[[#This Row],[Conversions]]=0,0,Table1[[#This Row],[Ad Spend]]/Table1[[#This Row],[Conversions]])</f>
        <v>102.32681818181818</v>
      </c>
      <c r="M1587" s="8">
        <f>IF(Table1[[#This Row],[Ad Spend]]=0,0,Table1[[#This Row],[Revenue]]/Table1[[#This Row],[Ad Spend]])</f>
        <v>0.98318667016111483</v>
      </c>
      <c r="N1587">
        <f>YEAR(Table1[[#This Row],[Date]])</f>
        <v>2024</v>
      </c>
      <c r="O1587" t="str">
        <f>TEXT(Table1[[#This Row],[Date]],"mmm")</f>
        <v>Nov</v>
      </c>
      <c r="P1587">
        <f>MONTH(Table1[[#This Row],[Date]])</f>
        <v>11</v>
      </c>
    </row>
    <row r="1588" spans="1:16" x14ac:dyDescent="0.25">
      <c r="A1588" t="s">
        <v>1607</v>
      </c>
      <c r="B1588" t="s">
        <v>31</v>
      </c>
      <c r="C1588" t="s">
        <v>12</v>
      </c>
      <c r="D1588" s="1">
        <v>45322</v>
      </c>
      <c r="E1588">
        <v>139286</v>
      </c>
      <c r="F1588">
        <v>5034</v>
      </c>
      <c r="G1588">
        <v>470</v>
      </c>
      <c r="H1588" s="4">
        <v>4979.1400000000003</v>
      </c>
      <c r="I1588" s="4">
        <v>54510.05</v>
      </c>
      <c r="J1588" s="7">
        <f>Table1[[#This Row],[Clicks]]/Table1[[#This Row],[Impressions]]</f>
        <v>3.6141464325201385E-2</v>
      </c>
      <c r="K1588" s="7">
        <f>IFERROR(Table1[[#This Row],[Conversions]]/Table1[[#This Row],[Clicks]],0)</f>
        <v>9.3365117203019474E-2</v>
      </c>
      <c r="L1588" s="6">
        <f>IF(Table1[[#This Row],[Conversions]]=0,0,Table1[[#This Row],[Ad Spend]]/Table1[[#This Row],[Conversions]])</f>
        <v>10.593914893617022</v>
      </c>
      <c r="M1588" s="8">
        <f>IF(Table1[[#This Row],[Ad Spend]]=0,0,Table1[[#This Row],[Revenue]]/Table1[[#This Row],[Ad Spend]])</f>
        <v>10.947683736548882</v>
      </c>
      <c r="N1588">
        <f>YEAR(Table1[[#This Row],[Date]])</f>
        <v>2024</v>
      </c>
      <c r="O1588" t="str">
        <f>TEXT(Table1[[#This Row],[Date]],"mmm")</f>
        <v>Jan</v>
      </c>
      <c r="P1588">
        <f>MONTH(Table1[[#This Row],[Date]])</f>
        <v>1</v>
      </c>
    </row>
    <row r="1589" spans="1:16" x14ac:dyDescent="0.25">
      <c r="A1589" t="s">
        <v>1608</v>
      </c>
      <c r="B1589" t="s">
        <v>47</v>
      </c>
      <c r="C1589" t="s">
        <v>12</v>
      </c>
      <c r="D1589" s="1">
        <v>45543</v>
      </c>
      <c r="E1589">
        <v>79094</v>
      </c>
      <c r="F1589">
        <v>3973</v>
      </c>
      <c r="G1589">
        <v>407</v>
      </c>
      <c r="H1589" s="4">
        <v>3725.28</v>
      </c>
      <c r="I1589" s="4">
        <v>31147.99</v>
      </c>
      <c r="J1589" s="7">
        <f>Table1[[#This Row],[Clicks]]/Table1[[#This Row],[Impressions]]</f>
        <v>5.0231370268288368E-2</v>
      </c>
      <c r="K1589" s="7">
        <f>IFERROR(Table1[[#This Row],[Conversions]]/Table1[[#This Row],[Clicks]],0)</f>
        <v>0.10244147998993204</v>
      </c>
      <c r="L1589" s="6">
        <f>IF(Table1[[#This Row],[Conversions]]=0,0,Table1[[#This Row],[Ad Spend]]/Table1[[#This Row],[Conversions]])</f>
        <v>9.1530221130221143</v>
      </c>
      <c r="M1589" s="8">
        <f>IF(Table1[[#This Row],[Ad Spend]]=0,0,Table1[[#This Row],[Revenue]]/Table1[[#This Row],[Ad Spend]])</f>
        <v>8.3612480135721334</v>
      </c>
      <c r="N1589">
        <f>YEAR(Table1[[#This Row],[Date]])</f>
        <v>2024</v>
      </c>
      <c r="O1589" t="str">
        <f>TEXT(Table1[[#This Row],[Date]],"mmm")</f>
        <v>Sept</v>
      </c>
      <c r="P1589">
        <f>MONTH(Table1[[#This Row],[Date]])</f>
        <v>9</v>
      </c>
    </row>
    <row r="1590" spans="1:16" x14ac:dyDescent="0.25">
      <c r="A1590" t="s">
        <v>1609</v>
      </c>
      <c r="B1590" t="s">
        <v>9</v>
      </c>
      <c r="C1590" t="s">
        <v>12</v>
      </c>
      <c r="D1590" s="1">
        <v>45373</v>
      </c>
      <c r="E1590">
        <v>139611</v>
      </c>
      <c r="F1590">
        <v>9666</v>
      </c>
      <c r="G1590">
        <v>303</v>
      </c>
      <c r="H1590" s="4">
        <v>4627.99</v>
      </c>
      <c r="I1590" s="4">
        <v>24543.95</v>
      </c>
      <c r="J1590" s="7">
        <f>Table1[[#This Row],[Clicks]]/Table1[[#This Row],[Impressions]]</f>
        <v>6.9235232180845346E-2</v>
      </c>
      <c r="K1590" s="7">
        <f>IFERROR(Table1[[#This Row],[Conversions]]/Table1[[#This Row],[Clicks]],0)</f>
        <v>3.1346989447548108E-2</v>
      </c>
      <c r="L1590" s="6">
        <f>IF(Table1[[#This Row],[Conversions]]=0,0,Table1[[#This Row],[Ad Spend]]/Table1[[#This Row],[Conversions]])</f>
        <v>15.273894389438944</v>
      </c>
      <c r="M1590" s="8">
        <f>IF(Table1[[#This Row],[Ad Spend]]=0,0,Table1[[#This Row],[Revenue]]/Table1[[#This Row],[Ad Spend]])</f>
        <v>5.3033714420299098</v>
      </c>
      <c r="N1590">
        <f>YEAR(Table1[[#This Row],[Date]])</f>
        <v>2024</v>
      </c>
      <c r="O1590" t="str">
        <f>TEXT(Table1[[#This Row],[Date]],"mmm")</f>
        <v>Mar</v>
      </c>
      <c r="P1590">
        <f>MONTH(Table1[[#This Row],[Date]])</f>
        <v>3</v>
      </c>
    </row>
    <row r="1591" spans="1:16" x14ac:dyDescent="0.25">
      <c r="A1591" t="s">
        <v>1610</v>
      </c>
      <c r="B1591" t="s">
        <v>14</v>
      </c>
      <c r="C1591" t="s">
        <v>10</v>
      </c>
      <c r="D1591" s="1">
        <v>45684</v>
      </c>
      <c r="E1591">
        <v>117970</v>
      </c>
      <c r="F1591">
        <v>7932</v>
      </c>
      <c r="G1591">
        <v>638</v>
      </c>
      <c r="H1591" s="4">
        <v>4468.91</v>
      </c>
      <c r="I1591" s="4">
        <v>76199.509999999995</v>
      </c>
      <c r="J1591" s="7">
        <f>Table1[[#This Row],[Clicks]]/Table1[[#This Row],[Impressions]]</f>
        <v>6.7237433245740441E-2</v>
      </c>
      <c r="K1591" s="7">
        <f>IFERROR(Table1[[#This Row],[Conversions]]/Table1[[#This Row],[Clicks]],0)</f>
        <v>8.0433686333837615E-2</v>
      </c>
      <c r="L1591" s="6">
        <f>IF(Table1[[#This Row],[Conversions]]=0,0,Table1[[#This Row],[Ad Spend]]/Table1[[#This Row],[Conversions]])</f>
        <v>7.0045611285266451</v>
      </c>
      <c r="M1591" s="8">
        <f>IF(Table1[[#This Row],[Ad Spend]]=0,0,Table1[[#This Row],[Revenue]]/Table1[[#This Row],[Ad Spend]])</f>
        <v>17.051028103049735</v>
      </c>
      <c r="N1591">
        <f>YEAR(Table1[[#This Row],[Date]])</f>
        <v>2025</v>
      </c>
      <c r="O1591" t="str">
        <f>TEXT(Table1[[#This Row],[Date]],"mmm")</f>
        <v>Jan</v>
      </c>
      <c r="P1591">
        <f>MONTH(Table1[[#This Row],[Date]])</f>
        <v>1</v>
      </c>
    </row>
    <row r="1592" spans="1:16" x14ac:dyDescent="0.25">
      <c r="A1592" t="s">
        <v>1611</v>
      </c>
      <c r="B1592" t="s">
        <v>16</v>
      </c>
      <c r="C1592" t="s">
        <v>19</v>
      </c>
      <c r="D1592" s="1">
        <v>45329</v>
      </c>
      <c r="E1592">
        <v>52624</v>
      </c>
      <c r="F1592">
        <v>2912</v>
      </c>
      <c r="G1592">
        <v>186</v>
      </c>
      <c r="H1592" s="4">
        <v>2733.03</v>
      </c>
      <c r="I1592" s="4">
        <v>16602.099999999999</v>
      </c>
      <c r="J1592" s="7">
        <f>Table1[[#This Row],[Clicks]]/Table1[[#This Row],[Impressions]]</f>
        <v>5.533596837944664E-2</v>
      </c>
      <c r="K1592" s="7">
        <f>IFERROR(Table1[[#This Row],[Conversions]]/Table1[[#This Row],[Clicks]],0)</f>
        <v>6.3873626373626369E-2</v>
      </c>
      <c r="L1592" s="6">
        <f>IF(Table1[[#This Row],[Conversions]]=0,0,Table1[[#This Row],[Ad Spend]]/Table1[[#This Row],[Conversions]])</f>
        <v>14.693709677419356</v>
      </c>
      <c r="M1592" s="8">
        <f>IF(Table1[[#This Row],[Ad Spend]]=0,0,Table1[[#This Row],[Revenue]]/Table1[[#This Row],[Ad Spend]])</f>
        <v>6.0746131582895169</v>
      </c>
      <c r="N1592">
        <f>YEAR(Table1[[#This Row],[Date]])</f>
        <v>2024</v>
      </c>
      <c r="O1592" t="str">
        <f>TEXT(Table1[[#This Row],[Date]],"mmm")</f>
        <v>Feb</v>
      </c>
      <c r="P1592">
        <f>MONTH(Table1[[#This Row],[Date]])</f>
        <v>2</v>
      </c>
    </row>
    <row r="1593" spans="1:16" x14ac:dyDescent="0.25">
      <c r="A1593" t="s">
        <v>1612</v>
      </c>
      <c r="B1593" t="s">
        <v>21</v>
      </c>
      <c r="C1593" t="s">
        <v>10</v>
      </c>
      <c r="D1593" s="1">
        <v>45497</v>
      </c>
      <c r="E1593">
        <v>82021</v>
      </c>
      <c r="F1593">
        <v>856</v>
      </c>
      <c r="G1593">
        <v>109</v>
      </c>
      <c r="H1593" s="4">
        <v>290.58</v>
      </c>
      <c r="I1593" s="4">
        <v>4635.01</v>
      </c>
      <c r="J1593" s="7">
        <f>Table1[[#This Row],[Clicks]]/Table1[[#This Row],[Impressions]]</f>
        <v>1.0436351666036747E-2</v>
      </c>
      <c r="K1593" s="7">
        <f>IFERROR(Table1[[#This Row],[Conversions]]/Table1[[#This Row],[Clicks]],0)</f>
        <v>0.12733644859813084</v>
      </c>
      <c r="L1593" s="6">
        <f>IF(Table1[[#This Row],[Conversions]]=0,0,Table1[[#This Row],[Ad Spend]]/Table1[[#This Row],[Conversions]])</f>
        <v>2.6658715596330276</v>
      </c>
      <c r="M1593" s="8">
        <f>IF(Table1[[#This Row],[Ad Spend]]=0,0,Table1[[#This Row],[Revenue]]/Table1[[#This Row],[Ad Spend]])</f>
        <v>15.950891320806663</v>
      </c>
      <c r="N1593">
        <f>YEAR(Table1[[#This Row],[Date]])</f>
        <v>2024</v>
      </c>
      <c r="O1593" t="str">
        <f>TEXT(Table1[[#This Row],[Date]],"mmm")</f>
        <v>Jul</v>
      </c>
      <c r="P1593">
        <f>MONTH(Table1[[#This Row],[Date]])</f>
        <v>7</v>
      </c>
    </row>
    <row r="1594" spans="1:16" x14ac:dyDescent="0.25">
      <c r="A1594" t="s">
        <v>1613</v>
      </c>
      <c r="B1594" t="s">
        <v>21</v>
      </c>
      <c r="C1594" t="s">
        <v>37</v>
      </c>
      <c r="D1594" s="1">
        <v>45424</v>
      </c>
      <c r="E1594">
        <v>63429</v>
      </c>
      <c r="F1594">
        <v>3228</v>
      </c>
      <c r="G1594">
        <v>386</v>
      </c>
      <c r="H1594" s="4">
        <v>2755.35</v>
      </c>
      <c r="I1594" s="4">
        <v>32949.449999999997</v>
      </c>
      <c r="J1594" s="7">
        <f>Table1[[#This Row],[Clicks]]/Table1[[#This Row],[Impressions]]</f>
        <v>5.0891548030080877E-2</v>
      </c>
      <c r="K1594" s="7">
        <f>IFERROR(Table1[[#This Row],[Conversions]]/Table1[[#This Row],[Clicks]],0)</f>
        <v>0.11957868649318464</v>
      </c>
      <c r="L1594" s="6">
        <f>IF(Table1[[#This Row],[Conversions]]=0,0,Table1[[#This Row],[Ad Spend]]/Table1[[#This Row],[Conversions]])</f>
        <v>7.13821243523316</v>
      </c>
      <c r="M1594" s="8">
        <f>IF(Table1[[#This Row],[Ad Spend]]=0,0,Table1[[#This Row],[Revenue]]/Table1[[#This Row],[Ad Spend]])</f>
        <v>11.958353748162665</v>
      </c>
      <c r="N1594">
        <f>YEAR(Table1[[#This Row],[Date]])</f>
        <v>2024</v>
      </c>
      <c r="O1594" t="str">
        <f>TEXT(Table1[[#This Row],[Date]],"mmm")</f>
        <v>May</v>
      </c>
      <c r="P1594">
        <f>MONTH(Table1[[#This Row],[Date]])</f>
        <v>5</v>
      </c>
    </row>
    <row r="1595" spans="1:16" x14ac:dyDescent="0.25">
      <c r="A1595" t="s">
        <v>1614</v>
      </c>
      <c r="B1595" t="s">
        <v>14</v>
      </c>
      <c r="C1595" t="s">
        <v>12</v>
      </c>
      <c r="D1595" s="1">
        <v>45473</v>
      </c>
      <c r="E1595">
        <v>45004</v>
      </c>
      <c r="F1595">
        <v>1044</v>
      </c>
      <c r="G1595">
        <v>41</v>
      </c>
      <c r="H1595" s="4">
        <v>1680.71</v>
      </c>
      <c r="I1595" s="4">
        <v>1233.68</v>
      </c>
      <c r="J1595" s="7">
        <f>Table1[[#This Row],[Clicks]]/Table1[[#This Row],[Impressions]]</f>
        <v>2.3197937961070128E-2</v>
      </c>
      <c r="K1595" s="7">
        <f>IFERROR(Table1[[#This Row],[Conversions]]/Table1[[#This Row],[Clicks]],0)</f>
        <v>3.9272030651340994E-2</v>
      </c>
      <c r="L1595" s="6">
        <f>IF(Table1[[#This Row],[Conversions]]=0,0,Table1[[#This Row],[Ad Spend]]/Table1[[#This Row],[Conversions]])</f>
        <v>40.992926829268292</v>
      </c>
      <c r="M1595" s="8">
        <f>IF(Table1[[#This Row],[Ad Spend]]=0,0,Table1[[#This Row],[Revenue]]/Table1[[#This Row],[Ad Spend]])</f>
        <v>0.73402312118092949</v>
      </c>
      <c r="N1595">
        <f>YEAR(Table1[[#This Row],[Date]])</f>
        <v>2024</v>
      </c>
      <c r="O1595" t="str">
        <f>TEXT(Table1[[#This Row],[Date]],"mmm")</f>
        <v>Jun</v>
      </c>
      <c r="P1595">
        <f>MONTH(Table1[[#This Row],[Date]])</f>
        <v>6</v>
      </c>
    </row>
    <row r="1596" spans="1:16" x14ac:dyDescent="0.25">
      <c r="A1596" t="s">
        <v>1615</v>
      </c>
      <c r="B1596" t="s">
        <v>31</v>
      </c>
      <c r="C1596" t="s">
        <v>37</v>
      </c>
      <c r="D1596" s="1">
        <v>45568</v>
      </c>
      <c r="E1596">
        <v>96362</v>
      </c>
      <c r="F1596">
        <v>7403</v>
      </c>
      <c r="G1596">
        <v>463</v>
      </c>
      <c r="H1596" s="4">
        <v>1713.61</v>
      </c>
      <c r="I1596" s="4">
        <v>19913.810000000001</v>
      </c>
      <c r="J1596" s="7">
        <f>Table1[[#This Row],[Clicks]]/Table1[[#This Row],[Impressions]]</f>
        <v>7.6824889479255309E-2</v>
      </c>
      <c r="K1596" s="7">
        <f>IFERROR(Table1[[#This Row],[Conversions]]/Table1[[#This Row],[Clicks]],0)</f>
        <v>6.2542212616506818E-2</v>
      </c>
      <c r="L1596" s="6">
        <f>IF(Table1[[#This Row],[Conversions]]=0,0,Table1[[#This Row],[Ad Spend]]/Table1[[#This Row],[Conversions]])</f>
        <v>3.7011015118790493</v>
      </c>
      <c r="M1596" s="8">
        <f>IF(Table1[[#This Row],[Ad Spend]]=0,0,Table1[[#This Row],[Revenue]]/Table1[[#This Row],[Ad Spend]])</f>
        <v>11.620969765582602</v>
      </c>
      <c r="N1596">
        <f>YEAR(Table1[[#This Row],[Date]])</f>
        <v>2024</v>
      </c>
      <c r="O1596" t="str">
        <f>TEXT(Table1[[#This Row],[Date]],"mmm")</f>
        <v>Oct</v>
      </c>
      <c r="P1596">
        <f>MONTH(Table1[[#This Row],[Date]])</f>
        <v>10</v>
      </c>
    </row>
    <row r="1597" spans="1:16" x14ac:dyDescent="0.25">
      <c r="A1597" t="s">
        <v>1616</v>
      </c>
      <c r="B1597" t="s">
        <v>14</v>
      </c>
      <c r="C1597" t="s">
        <v>37</v>
      </c>
      <c r="D1597" s="1">
        <v>45447</v>
      </c>
      <c r="E1597">
        <v>47805</v>
      </c>
      <c r="F1597">
        <v>1897</v>
      </c>
      <c r="G1597">
        <v>104</v>
      </c>
      <c r="H1597" s="4">
        <v>4694.25</v>
      </c>
      <c r="I1597" s="4">
        <v>4339.25</v>
      </c>
      <c r="J1597" s="7">
        <f>Table1[[#This Row],[Clicks]]/Table1[[#This Row],[Impressions]]</f>
        <v>3.9682041627444826E-2</v>
      </c>
      <c r="K1597" s="7">
        <f>IFERROR(Table1[[#This Row],[Conversions]]/Table1[[#This Row],[Clicks]],0)</f>
        <v>5.4823405376910911E-2</v>
      </c>
      <c r="L1597" s="6">
        <f>IF(Table1[[#This Row],[Conversions]]=0,0,Table1[[#This Row],[Ad Spend]]/Table1[[#This Row],[Conversions]])</f>
        <v>45.137019230769234</v>
      </c>
      <c r="M1597" s="8">
        <f>IF(Table1[[#This Row],[Ad Spend]]=0,0,Table1[[#This Row],[Revenue]]/Table1[[#This Row],[Ad Spend]])</f>
        <v>0.92437556585184</v>
      </c>
      <c r="N1597">
        <f>YEAR(Table1[[#This Row],[Date]])</f>
        <v>2024</v>
      </c>
      <c r="O1597" t="str">
        <f>TEXT(Table1[[#This Row],[Date]],"mmm")</f>
        <v>Jun</v>
      </c>
      <c r="P1597">
        <f>MONTH(Table1[[#This Row],[Date]])</f>
        <v>6</v>
      </c>
    </row>
    <row r="1598" spans="1:16" x14ac:dyDescent="0.25">
      <c r="A1598" t="s">
        <v>1617</v>
      </c>
      <c r="B1598" t="s">
        <v>47</v>
      </c>
      <c r="C1598" t="s">
        <v>10</v>
      </c>
      <c r="D1598" s="1">
        <v>45362</v>
      </c>
      <c r="E1598">
        <v>120249</v>
      </c>
      <c r="F1598">
        <v>2238</v>
      </c>
      <c r="G1598">
        <v>320</v>
      </c>
      <c r="H1598" s="4">
        <v>322.02999999999997</v>
      </c>
      <c r="I1598" s="4">
        <v>34161.050000000003</v>
      </c>
      <c r="J1598" s="7">
        <f>Table1[[#This Row],[Clicks]]/Table1[[#This Row],[Impressions]]</f>
        <v>1.8611381383628969E-2</v>
      </c>
      <c r="K1598" s="7">
        <f>IFERROR(Table1[[#This Row],[Conversions]]/Table1[[#This Row],[Clicks]],0)</f>
        <v>0.14298480786416443</v>
      </c>
      <c r="L1598" s="6">
        <f>IF(Table1[[#This Row],[Conversions]]=0,0,Table1[[#This Row],[Ad Spend]]/Table1[[#This Row],[Conversions]])</f>
        <v>1.0063437499999999</v>
      </c>
      <c r="M1598" s="8">
        <f>IF(Table1[[#This Row],[Ad Spend]]=0,0,Table1[[#This Row],[Revenue]]/Table1[[#This Row],[Ad Spend]])</f>
        <v>106.08033413036054</v>
      </c>
      <c r="N1598">
        <f>YEAR(Table1[[#This Row],[Date]])</f>
        <v>2024</v>
      </c>
      <c r="O1598" t="str">
        <f>TEXT(Table1[[#This Row],[Date]],"mmm")</f>
        <v>Mar</v>
      </c>
      <c r="P1598">
        <f>MONTH(Table1[[#This Row],[Date]])</f>
        <v>3</v>
      </c>
    </row>
    <row r="1599" spans="1:16" x14ac:dyDescent="0.25">
      <c r="A1599" t="s">
        <v>1618</v>
      </c>
      <c r="B1599" t="s">
        <v>14</v>
      </c>
      <c r="C1599" t="s">
        <v>17</v>
      </c>
      <c r="D1599" s="1">
        <v>45317</v>
      </c>
      <c r="E1599">
        <v>122129</v>
      </c>
      <c r="F1599">
        <v>4970</v>
      </c>
      <c r="G1599">
        <v>227</v>
      </c>
      <c r="H1599" s="4">
        <v>3900.72</v>
      </c>
      <c r="I1599" s="4">
        <v>17937.93</v>
      </c>
      <c r="J1599" s="7">
        <f>Table1[[#This Row],[Clicks]]/Table1[[#This Row],[Impressions]]</f>
        <v>4.069467530234424E-2</v>
      </c>
      <c r="K1599" s="7">
        <f>IFERROR(Table1[[#This Row],[Conversions]]/Table1[[#This Row],[Clicks]],0)</f>
        <v>4.5674044265593558E-2</v>
      </c>
      <c r="L1599" s="6">
        <f>IF(Table1[[#This Row],[Conversions]]=0,0,Table1[[#This Row],[Ad Spend]]/Table1[[#This Row],[Conversions]])</f>
        <v>17.183788546255506</v>
      </c>
      <c r="M1599" s="8">
        <f>IF(Table1[[#This Row],[Ad Spend]]=0,0,Table1[[#This Row],[Revenue]]/Table1[[#This Row],[Ad Spend]])</f>
        <v>4.5986202547222055</v>
      </c>
      <c r="N1599">
        <f>YEAR(Table1[[#This Row],[Date]])</f>
        <v>2024</v>
      </c>
      <c r="O1599" t="str">
        <f>TEXT(Table1[[#This Row],[Date]],"mmm")</f>
        <v>Jan</v>
      </c>
      <c r="P1599">
        <f>MONTH(Table1[[#This Row],[Date]])</f>
        <v>1</v>
      </c>
    </row>
    <row r="1600" spans="1:16" x14ac:dyDescent="0.25">
      <c r="A1600" t="s">
        <v>1619</v>
      </c>
      <c r="B1600" t="s">
        <v>9</v>
      </c>
      <c r="C1600" t="s">
        <v>10</v>
      </c>
      <c r="D1600" s="1">
        <v>45381</v>
      </c>
      <c r="E1600">
        <v>137829</v>
      </c>
      <c r="F1600">
        <v>10189</v>
      </c>
      <c r="G1600">
        <v>1163</v>
      </c>
      <c r="H1600" s="4">
        <v>784.18</v>
      </c>
      <c r="I1600" s="4">
        <v>111253.32</v>
      </c>
      <c r="J1600" s="7">
        <f>Table1[[#This Row],[Clicks]]/Table1[[#This Row],[Impressions]]</f>
        <v>7.3924935971384831E-2</v>
      </c>
      <c r="K1600" s="7">
        <f>IFERROR(Table1[[#This Row],[Conversions]]/Table1[[#This Row],[Clicks]],0)</f>
        <v>0.11414270291490823</v>
      </c>
      <c r="L1600" s="6">
        <f>IF(Table1[[#This Row],[Conversions]]=0,0,Table1[[#This Row],[Ad Spend]]/Table1[[#This Row],[Conversions]])</f>
        <v>0.67427343078245916</v>
      </c>
      <c r="M1600" s="8">
        <f>IF(Table1[[#This Row],[Ad Spend]]=0,0,Table1[[#This Row],[Revenue]]/Table1[[#This Row],[Ad Spend]])</f>
        <v>141.87217220536104</v>
      </c>
      <c r="N1600">
        <f>YEAR(Table1[[#This Row],[Date]])</f>
        <v>2024</v>
      </c>
      <c r="O1600" t="str">
        <f>TEXT(Table1[[#This Row],[Date]],"mmm")</f>
        <v>Mar</v>
      </c>
      <c r="P1600">
        <f>MONTH(Table1[[#This Row],[Date]])</f>
        <v>3</v>
      </c>
    </row>
    <row r="1601" spans="1:16" x14ac:dyDescent="0.25">
      <c r="A1601" t="s">
        <v>1620</v>
      </c>
      <c r="B1601" t="s">
        <v>9</v>
      </c>
      <c r="C1601" t="s">
        <v>17</v>
      </c>
      <c r="D1601" s="1">
        <v>45671</v>
      </c>
      <c r="E1601">
        <v>98949</v>
      </c>
      <c r="F1601">
        <v>6182</v>
      </c>
      <c r="G1601">
        <v>378</v>
      </c>
      <c r="H1601" s="4">
        <v>1116.71</v>
      </c>
      <c r="I1601" s="4">
        <v>44798.75</v>
      </c>
      <c r="J1601" s="7">
        <f>Table1[[#This Row],[Clicks]]/Table1[[#This Row],[Impressions]]</f>
        <v>6.2476629374728393E-2</v>
      </c>
      <c r="K1601" s="7">
        <f>IFERROR(Table1[[#This Row],[Conversions]]/Table1[[#This Row],[Clicks]],0)</f>
        <v>6.114526043351666E-2</v>
      </c>
      <c r="L1601" s="6">
        <f>IF(Table1[[#This Row],[Conversions]]=0,0,Table1[[#This Row],[Ad Spend]]/Table1[[#This Row],[Conversions]])</f>
        <v>2.9542592592592594</v>
      </c>
      <c r="M1601" s="8">
        <f>IF(Table1[[#This Row],[Ad Spend]]=0,0,Table1[[#This Row],[Revenue]]/Table1[[#This Row],[Ad Spend]])</f>
        <v>40.11672681358634</v>
      </c>
      <c r="N1601">
        <f>YEAR(Table1[[#This Row],[Date]])</f>
        <v>2025</v>
      </c>
      <c r="O1601" t="str">
        <f>TEXT(Table1[[#This Row],[Date]],"mmm")</f>
        <v>Jan</v>
      </c>
      <c r="P1601">
        <f>MONTH(Table1[[#This Row],[Date]])</f>
        <v>1</v>
      </c>
    </row>
    <row r="1602" spans="1:16" x14ac:dyDescent="0.25">
      <c r="A1602" t="s">
        <v>1621</v>
      </c>
      <c r="B1602" t="s">
        <v>47</v>
      </c>
      <c r="C1602" t="s">
        <v>17</v>
      </c>
      <c r="D1602" s="1">
        <v>45422</v>
      </c>
      <c r="E1602">
        <v>138361</v>
      </c>
      <c r="F1602">
        <v>2468</v>
      </c>
      <c r="G1602">
        <v>195</v>
      </c>
      <c r="H1602" s="4">
        <v>234.83</v>
      </c>
      <c r="I1602" s="4">
        <v>19566.53</v>
      </c>
      <c r="J1602" s="7">
        <f>Table1[[#This Row],[Clicks]]/Table1[[#This Row],[Impressions]]</f>
        <v>1.7837396376146456E-2</v>
      </c>
      <c r="K1602" s="7">
        <f>IFERROR(Table1[[#This Row],[Conversions]]/Table1[[#This Row],[Clicks]],0)</f>
        <v>7.9011345218800655E-2</v>
      </c>
      <c r="L1602" s="6">
        <f>IF(Table1[[#This Row],[Conversions]]=0,0,Table1[[#This Row],[Ad Spend]]/Table1[[#This Row],[Conversions]])</f>
        <v>1.2042564102564104</v>
      </c>
      <c r="M1602" s="8">
        <f>IF(Table1[[#This Row],[Ad Spend]]=0,0,Table1[[#This Row],[Revenue]]/Table1[[#This Row],[Ad Spend]])</f>
        <v>83.322105352808407</v>
      </c>
      <c r="N1602">
        <f>YEAR(Table1[[#This Row],[Date]])</f>
        <v>2024</v>
      </c>
      <c r="O1602" t="str">
        <f>TEXT(Table1[[#This Row],[Date]],"mmm")</f>
        <v>May</v>
      </c>
      <c r="P1602">
        <f>MONTH(Table1[[#This Row],[Date]])</f>
        <v>5</v>
      </c>
    </row>
    <row r="1603" spans="1:16" x14ac:dyDescent="0.25">
      <c r="A1603" t="s">
        <v>1622</v>
      </c>
      <c r="B1603" t="s">
        <v>21</v>
      </c>
      <c r="C1603" t="s">
        <v>10</v>
      </c>
      <c r="D1603" s="1">
        <v>45473</v>
      </c>
      <c r="E1603">
        <v>99474</v>
      </c>
      <c r="F1603">
        <v>7580</v>
      </c>
      <c r="G1603">
        <v>975</v>
      </c>
      <c r="H1603" s="4">
        <v>2283.91</v>
      </c>
      <c r="I1603" s="4">
        <v>102161.3</v>
      </c>
      <c r="J1603" s="7">
        <f>Table1[[#This Row],[Clicks]]/Table1[[#This Row],[Impressions]]</f>
        <v>7.6200816293704884E-2</v>
      </c>
      <c r="K1603" s="7">
        <f>IFERROR(Table1[[#This Row],[Conversions]]/Table1[[#This Row],[Clicks]],0)</f>
        <v>0.12862796833773088</v>
      </c>
      <c r="L1603" s="6">
        <f>IF(Table1[[#This Row],[Conversions]]=0,0,Table1[[#This Row],[Ad Spend]]/Table1[[#This Row],[Conversions]])</f>
        <v>2.3424717948717948</v>
      </c>
      <c r="M1603" s="8">
        <f>IF(Table1[[#This Row],[Ad Spend]]=0,0,Table1[[#This Row],[Revenue]]/Table1[[#This Row],[Ad Spend]])</f>
        <v>44.730878186968845</v>
      </c>
      <c r="N1603">
        <f>YEAR(Table1[[#This Row],[Date]])</f>
        <v>2024</v>
      </c>
      <c r="O1603" t="str">
        <f>TEXT(Table1[[#This Row],[Date]],"mmm")</f>
        <v>Jun</v>
      </c>
      <c r="P1603">
        <f>MONTH(Table1[[#This Row],[Date]])</f>
        <v>6</v>
      </c>
    </row>
    <row r="1604" spans="1:16" x14ac:dyDescent="0.25">
      <c r="A1604" t="s">
        <v>1623</v>
      </c>
      <c r="B1604" t="s">
        <v>34</v>
      </c>
      <c r="C1604" t="s">
        <v>37</v>
      </c>
      <c r="D1604" s="1">
        <v>45651</v>
      </c>
      <c r="E1604">
        <v>27138</v>
      </c>
      <c r="F1604">
        <v>1506</v>
      </c>
      <c r="G1604">
        <v>188</v>
      </c>
      <c r="H1604" s="4">
        <v>4404.5200000000004</v>
      </c>
      <c r="I1604" s="4">
        <v>4057.98</v>
      </c>
      <c r="J1604" s="7">
        <f>Table1[[#This Row],[Clicks]]/Table1[[#This Row],[Impressions]]</f>
        <v>5.5494141056820691E-2</v>
      </c>
      <c r="K1604" s="7">
        <f>IFERROR(Table1[[#This Row],[Conversions]]/Table1[[#This Row],[Clicks]],0)</f>
        <v>0.1248339973439575</v>
      </c>
      <c r="L1604" s="6">
        <f>IF(Table1[[#This Row],[Conversions]]=0,0,Table1[[#This Row],[Ad Spend]]/Table1[[#This Row],[Conversions]])</f>
        <v>23.428297872340426</v>
      </c>
      <c r="M1604" s="8">
        <f>IF(Table1[[#This Row],[Ad Spend]]=0,0,Table1[[#This Row],[Revenue]]/Table1[[#This Row],[Ad Spend]])</f>
        <v>0.92132173312869503</v>
      </c>
      <c r="N1604">
        <f>YEAR(Table1[[#This Row],[Date]])</f>
        <v>2024</v>
      </c>
      <c r="O1604" t="str">
        <f>TEXT(Table1[[#This Row],[Date]],"mmm")</f>
        <v>Dec</v>
      </c>
      <c r="P1604">
        <f>MONTH(Table1[[#This Row],[Date]])</f>
        <v>12</v>
      </c>
    </row>
    <row r="1605" spans="1:16" x14ac:dyDescent="0.25">
      <c r="A1605" t="s">
        <v>1624</v>
      </c>
      <c r="B1605" t="s">
        <v>34</v>
      </c>
      <c r="C1605" t="s">
        <v>19</v>
      </c>
      <c r="D1605" s="1">
        <v>45315</v>
      </c>
      <c r="E1605">
        <v>41893</v>
      </c>
      <c r="F1605">
        <v>2903</v>
      </c>
      <c r="G1605">
        <v>124</v>
      </c>
      <c r="H1605" s="4">
        <v>244.51</v>
      </c>
      <c r="I1605" s="4">
        <v>8910.91</v>
      </c>
      <c r="J1605" s="7">
        <f>Table1[[#This Row],[Clicks]]/Table1[[#This Row],[Impressions]]</f>
        <v>6.9295586374812021E-2</v>
      </c>
      <c r="K1605" s="7">
        <f>IFERROR(Table1[[#This Row],[Conversions]]/Table1[[#This Row],[Clicks]],0)</f>
        <v>4.2714433344815707E-2</v>
      </c>
      <c r="L1605" s="6">
        <f>IF(Table1[[#This Row],[Conversions]]=0,0,Table1[[#This Row],[Ad Spend]]/Table1[[#This Row],[Conversions]])</f>
        <v>1.9718548387096773</v>
      </c>
      <c r="M1605" s="8">
        <f>IF(Table1[[#This Row],[Ad Spend]]=0,0,Table1[[#This Row],[Revenue]]/Table1[[#This Row],[Ad Spend]])</f>
        <v>36.443949122735269</v>
      </c>
      <c r="N1605">
        <f>YEAR(Table1[[#This Row],[Date]])</f>
        <v>2024</v>
      </c>
      <c r="O1605" t="str">
        <f>TEXT(Table1[[#This Row],[Date]],"mmm")</f>
        <v>Jan</v>
      </c>
      <c r="P1605">
        <f>MONTH(Table1[[#This Row],[Date]])</f>
        <v>1</v>
      </c>
    </row>
    <row r="1606" spans="1:16" x14ac:dyDescent="0.25">
      <c r="A1606" t="s">
        <v>1625</v>
      </c>
      <c r="B1606" t="s">
        <v>16</v>
      </c>
      <c r="C1606" t="s">
        <v>17</v>
      </c>
      <c r="D1606" s="1">
        <v>45682</v>
      </c>
      <c r="E1606">
        <v>15221</v>
      </c>
      <c r="F1606">
        <v>217</v>
      </c>
      <c r="G1606">
        <v>26</v>
      </c>
      <c r="H1606" s="4">
        <v>4358.46</v>
      </c>
      <c r="I1606" s="4">
        <v>2238.48</v>
      </c>
      <c r="J1606" s="7">
        <f>Table1[[#This Row],[Clicks]]/Table1[[#This Row],[Impressions]]</f>
        <v>1.4256619144602852E-2</v>
      </c>
      <c r="K1606" s="7">
        <f>IFERROR(Table1[[#This Row],[Conversions]]/Table1[[#This Row],[Clicks]],0)</f>
        <v>0.11981566820276497</v>
      </c>
      <c r="L1606" s="6">
        <f>IF(Table1[[#This Row],[Conversions]]=0,0,Table1[[#This Row],[Ad Spend]]/Table1[[#This Row],[Conversions]])</f>
        <v>167.63307692307691</v>
      </c>
      <c r="M1606" s="8">
        <f>IF(Table1[[#This Row],[Ad Spend]]=0,0,Table1[[#This Row],[Revenue]]/Table1[[#This Row],[Ad Spend]])</f>
        <v>0.51359425118046287</v>
      </c>
      <c r="N1606">
        <f>YEAR(Table1[[#This Row],[Date]])</f>
        <v>2025</v>
      </c>
      <c r="O1606" t="str">
        <f>TEXT(Table1[[#This Row],[Date]],"mmm")</f>
        <v>Jan</v>
      </c>
      <c r="P1606">
        <f>MONTH(Table1[[#This Row],[Date]])</f>
        <v>1</v>
      </c>
    </row>
    <row r="1607" spans="1:16" x14ac:dyDescent="0.25">
      <c r="A1607" t="s">
        <v>1626</v>
      </c>
      <c r="B1607" t="s">
        <v>47</v>
      </c>
      <c r="C1607" t="s">
        <v>12</v>
      </c>
      <c r="D1607" s="1">
        <v>45504</v>
      </c>
      <c r="E1607">
        <v>46283</v>
      </c>
      <c r="F1607">
        <v>1821</v>
      </c>
      <c r="G1607">
        <v>77</v>
      </c>
      <c r="H1607" s="4">
        <v>2689.28</v>
      </c>
      <c r="I1607" s="4">
        <v>2705.63</v>
      </c>
      <c r="J1607" s="7">
        <f>Table1[[#This Row],[Clicks]]/Table1[[#This Row],[Impressions]]</f>
        <v>3.9344899855238424E-2</v>
      </c>
      <c r="K1607" s="7">
        <f>IFERROR(Table1[[#This Row],[Conversions]]/Table1[[#This Row],[Clicks]],0)</f>
        <v>4.2284459088412961E-2</v>
      </c>
      <c r="L1607" s="6">
        <f>IF(Table1[[#This Row],[Conversions]]=0,0,Table1[[#This Row],[Ad Spend]]/Table1[[#This Row],[Conversions]])</f>
        <v>34.925714285714285</v>
      </c>
      <c r="M1607" s="8">
        <f>IF(Table1[[#This Row],[Ad Spend]]=0,0,Table1[[#This Row],[Revenue]]/Table1[[#This Row],[Ad Spend]])</f>
        <v>1.0060796941932413</v>
      </c>
      <c r="N1607">
        <f>YEAR(Table1[[#This Row],[Date]])</f>
        <v>2024</v>
      </c>
      <c r="O1607" t="str">
        <f>TEXT(Table1[[#This Row],[Date]],"mmm")</f>
        <v>Jul</v>
      </c>
      <c r="P1607">
        <f>MONTH(Table1[[#This Row],[Date]])</f>
        <v>7</v>
      </c>
    </row>
    <row r="1608" spans="1:16" x14ac:dyDescent="0.25">
      <c r="A1608" t="s">
        <v>1627</v>
      </c>
      <c r="B1608" t="s">
        <v>16</v>
      </c>
      <c r="C1608" t="s">
        <v>19</v>
      </c>
      <c r="D1608" s="1">
        <v>45348</v>
      </c>
      <c r="E1608">
        <v>47565</v>
      </c>
      <c r="F1608">
        <v>575</v>
      </c>
      <c r="G1608">
        <v>26</v>
      </c>
      <c r="H1608" s="4">
        <v>2137.54</v>
      </c>
      <c r="I1608" s="4">
        <v>1490.28</v>
      </c>
      <c r="J1608" s="7">
        <f>Table1[[#This Row],[Clicks]]/Table1[[#This Row],[Impressions]]</f>
        <v>1.2088720697992222E-2</v>
      </c>
      <c r="K1608" s="7">
        <f>IFERROR(Table1[[#This Row],[Conversions]]/Table1[[#This Row],[Clicks]],0)</f>
        <v>4.5217391304347827E-2</v>
      </c>
      <c r="L1608" s="6">
        <f>IF(Table1[[#This Row],[Conversions]]=0,0,Table1[[#This Row],[Ad Spend]]/Table1[[#This Row],[Conversions]])</f>
        <v>82.213076923076926</v>
      </c>
      <c r="M1608" s="8">
        <f>IF(Table1[[#This Row],[Ad Spend]]=0,0,Table1[[#This Row],[Revenue]]/Table1[[#This Row],[Ad Spend]])</f>
        <v>0.6971939706391459</v>
      </c>
      <c r="N1608">
        <f>YEAR(Table1[[#This Row],[Date]])</f>
        <v>2024</v>
      </c>
      <c r="O1608" t="str">
        <f>TEXT(Table1[[#This Row],[Date]],"mmm")</f>
        <v>Feb</v>
      </c>
      <c r="P1608">
        <f>MONTH(Table1[[#This Row],[Date]])</f>
        <v>2</v>
      </c>
    </row>
    <row r="1609" spans="1:16" x14ac:dyDescent="0.25">
      <c r="A1609" t="s">
        <v>1628</v>
      </c>
      <c r="B1609" t="s">
        <v>34</v>
      </c>
      <c r="C1609" t="s">
        <v>12</v>
      </c>
      <c r="D1609" s="1">
        <v>45456</v>
      </c>
      <c r="E1609">
        <v>12465</v>
      </c>
      <c r="F1609">
        <v>808</v>
      </c>
      <c r="G1609">
        <v>50</v>
      </c>
      <c r="H1609" s="4">
        <v>4466.34</v>
      </c>
      <c r="I1609" s="4">
        <v>1171.1099999999999</v>
      </c>
      <c r="J1609" s="7">
        <f>Table1[[#This Row],[Clicks]]/Table1[[#This Row],[Impressions]]</f>
        <v>6.4821500200561571E-2</v>
      </c>
      <c r="K1609" s="7">
        <f>IFERROR(Table1[[#This Row],[Conversions]]/Table1[[#This Row],[Clicks]],0)</f>
        <v>6.1881188118811881E-2</v>
      </c>
      <c r="L1609" s="6">
        <f>IF(Table1[[#This Row],[Conversions]]=0,0,Table1[[#This Row],[Ad Spend]]/Table1[[#This Row],[Conversions]])</f>
        <v>89.326800000000006</v>
      </c>
      <c r="M1609" s="8">
        <f>IF(Table1[[#This Row],[Ad Spend]]=0,0,Table1[[#This Row],[Revenue]]/Table1[[#This Row],[Ad Spend]])</f>
        <v>0.26220798237483034</v>
      </c>
      <c r="N1609">
        <f>YEAR(Table1[[#This Row],[Date]])</f>
        <v>2024</v>
      </c>
      <c r="O1609" t="str">
        <f>TEXT(Table1[[#This Row],[Date]],"mmm")</f>
        <v>Jun</v>
      </c>
      <c r="P1609">
        <f>MONTH(Table1[[#This Row],[Date]])</f>
        <v>6</v>
      </c>
    </row>
    <row r="1610" spans="1:16" x14ac:dyDescent="0.25">
      <c r="A1610" t="s">
        <v>1629</v>
      </c>
      <c r="B1610" t="s">
        <v>16</v>
      </c>
      <c r="C1610" t="s">
        <v>17</v>
      </c>
      <c r="D1610" s="1">
        <v>45315</v>
      </c>
      <c r="E1610">
        <v>146420</v>
      </c>
      <c r="F1610">
        <v>5328</v>
      </c>
      <c r="G1610">
        <v>521</v>
      </c>
      <c r="H1610" s="4">
        <v>2720.98</v>
      </c>
      <c r="I1610" s="4">
        <v>18660.79</v>
      </c>
      <c r="J1610" s="7">
        <f>Table1[[#This Row],[Clicks]]/Table1[[#This Row],[Impressions]]</f>
        <v>3.6388471520284113E-2</v>
      </c>
      <c r="K1610" s="7">
        <f>IFERROR(Table1[[#This Row],[Conversions]]/Table1[[#This Row],[Clicks]],0)</f>
        <v>9.7785285285285281E-2</v>
      </c>
      <c r="L1610" s="6">
        <f>IF(Table1[[#This Row],[Conversions]]=0,0,Table1[[#This Row],[Ad Spend]]/Table1[[#This Row],[Conversions]])</f>
        <v>5.2226103646833018</v>
      </c>
      <c r="M1610" s="8">
        <f>IF(Table1[[#This Row],[Ad Spend]]=0,0,Table1[[#This Row],[Revenue]]/Table1[[#This Row],[Ad Spend]])</f>
        <v>6.8581136208277904</v>
      </c>
      <c r="N1610">
        <f>YEAR(Table1[[#This Row],[Date]])</f>
        <v>2024</v>
      </c>
      <c r="O1610" t="str">
        <f>TEXT(Table1[[#This Row],[Date]],"mmm")</f>
        <v>Jan</v>
      </c>
      <c r="P1610">
        <f>MONTH(Table1[[#This Row],[Date]])</f>
        <v>1</v>
      </c>
    </row>
    <row r="1611" spans="1:16" x14ac:dyDescent="0.25">
      <c r="A1611" t="s">
        <v>1630</v>
      </c>
      <c r="B1611" t="s">
        <v>31</v>
      </c>
      <c r="C1611" t="s">
        <v>19</v>
      </c>
      <c r="D1611" s="1">
        <v>45406</v>
      </c>
      <c r="E1611">
        <v>29149</v>
      </c>
      <c r="F1611">
        <v>1148</v>
      </c>
      <c r="G1611">
        <v>32</v>
      </c>
      <c r="H1611" s="4">
        <v>4849.91</v>
      </c>
      <c r="I1611" s="4">
        <v>2126.19</v>
      </c>
      <c r="J1611" s="7">
        <f>Table1[[#This Row],[Clicks]]/Table1[[#This Row],[Impressions]]</f>
        <v>3.9383855363820372E-2</v>
      </c>
      <c r="K1611" s="7">
        <f>IFERROR(Table1[[#This Row],[Conversions]]/Table1[[#This Row],[Clicks]],0)</f>
        <v>2.7874564459930314E-2</v>
      </c>
      <c r="L1611" s="6">
        <f>IF(Table1[[#This Row],[Conversions]]=0,0,Table1[[#This Row],[Ad Spend]]/Table1[[#This Row],[Conversions]])</f>
        <v>151.5596875</v>
      </c>
      <c r="M1611" s="8">
        <f>IF(Table1[[#This Row],[Ad Spend]]=0,0,Table1[[#This Row],[Revenue]]/Table1[[#This Row],[Ad Spend]])</f>
        <v>0.43839782593903809</v>
      </c>
      <c r="N1611">
        <f>YEAR(Table1[[#This Row],[Date]])</f>
        <v>2024</v>
      </c>
      <c r="O1611" t="str">
        <f>TEXT(Table1[[#This Row],[Date]],"mmm")</f>
        <v>Apr</v>
      </c>
      <c r="P1611">
        <f>MONTH(Table1[[#This Row],[Date]])</f>
        <v>4</v>
      </c>
    </row>
    <row r="1612" spans="1:16" x14ac:dyDescent="0.25">
      <c r="A1612" t="s">
        <v>1631</v>
      </c>
      <c r="B1612" t="s">
        <v>21</v>
      </c>
      <c r="C1612" t="s">
        <v>12</v>
      </c>
      <c r="D1612" s="1">
        <v>45517</v>
      </c>
      <c r="E1612">
        <v>40233</v>
      </c>
      <c r="F1612">
        <v>2815</v>
      </c>
      <c r="G1612">
        <v>352</v>
      </c>
      <c r="H1612" s="4">
        <v>203.46</v>
      </c>
      <c r="I1612" s="4">
        <v>23803.77</v>
      </c>
      <c r="J1612" s="7">
        <f>Table1[[#This Row],[Clicks]]/Table1[[#This Row],[Impressions]]</f>
        <v>6.9967439663957451E-2</v>
      </c>
      <c r="K1612" s="7">
        <f>IFERROR(Table1[[#This Row],[Conversions]]/Table1[[#This Row],[Clicks]],0)</f>
        <v>0.125044404973357</v>
      </c>
      <c r="L1612" s="6">
        <f>IF(Table1[[#This Row],[Conversions]]=0,0,Table1[[#This Row],[Ad Spend]]/Table1[[#This Row],[Conversions]])</f>
        <v>0.57801136363636363</v>
      </c>
      <c r="M1612" s="8">
        <f>IF(Table1[[#This Row],[Ad Spend]]=0,0,Table1[[#This Row],[Revenue]]/Table1[[#This Row],[Ad Spend]])</f>
        <v>116.99483928044825</v>
      </c>
      <c r="N1612">
        <f>YEAR(Table1[[#This Row],[Date]])</f>
        <v>2024</v>
      </c>
      <c r="O1612" t="str">
        <f>TEXT(Table1[[#This Row],[Date]],"mmm")</f>
        <v>Aug</v>
      </c>
      <c r="P1612">
        <f>MONTH(Table1[[#This Row],[Date]])</f>
        <v>8</v>
      </c>
    </row>
    <row r="1613" spans="1:16" x14ac:dyDescent="0.25">
      <c r="A1613" t="s">
        <v>1632</v>
      </c>
      <c r="B1613" t="s">
        <v>34</v>
      </c>
      <c r="C1613" t="s">
        <v>37</v>
      </c>
      <c r="D1613" s="1">
        <v>45457</v>
      </c>
      <c r="E1613">
        <v>146554</v>
      </c>
      <c r="F1613">
        <v>5215</v>
      </c>
      <c r="G1613">
        <v>520</v>
      </c>
      <c r="H1613" s="4">
        <v>3638.31</v>
      </c>
      <c r="I1613" s="4">
        <v>35245.07</v>
      </c>
      <c r="J1613" s="7">
        <f>Table1[[#This Row],[Clicks]]/Table1[[#This Row],[Impressions]]</f>
        <v>3.5584153281384333E-2</v>
      </c>
      <c r="K1613" s="7">
        <f>IFERROR(Table1[[#This Row],[Conversions]]/Table1[[#This Row],[Clicks]],0)</f>
        <v>9.9712368168744014E-2</v>
      </c>
      <c r="L1613" s="6">
        <f>IF(Table1[[#This Row],[Conversions]]=0,0,Table1[[#This Row],[Ad Spend]]/Table1[[#This Row],[Conversions]])</f>
        <v>6.9967499999999996</v>
      </c>
      <c r="M1613" s="8">
        <f>IF(Table1[[#This Row],[Ad Spend]]=0,0,Table1[[#This Row],[Revenue]]/Table1[[#This Row],[Ad Spend]])</f>
        <v>9.687209171291066</v>
      </c>
      <c r="N1613">
        <f>YEAR(Table1[[#This Row],[Date]])</f>
        <v>2024</v>
      </c>
      <c r="O1613" t="str">
        <f>TEXT(Table1[[#This Row],[Date]],"mmm")</f>
        <v>Jun</v>
      </c>
      <c r="P1613">
        <f>MONTH(Table1[[#This Row],[Date]])</f>
        <v>6</v>
      </c>
    </row>
    <row r="1614" spans="1:16" x14ac:dyDescent="0.25">
      <c r="A1614" t="s">
        <v>1633</v>
      </c>
      <c r="B1614" t="s">
        <v>14</v>
      </c>
      <c r="C1614" t="s">
        <v>37</v>
      </c>
      <c r="D1614" s="1">
        <v>45404</v>
      </c>
      <c r="E1614">
        <v>139934</v>
      </c>
      <c r="F1614">
        <v>2670</v>
      </c>
      <c r="G1614">
        <v>380</v>
      </c>
      <c r="H1614" s="4">
        <v>1282.6500000000001</v>
      </c>
      <c r="I1614" s="4">
        <v>10723.18</v>
      </c>
      <c r="J1614" s="7">
        <f>Table1[[#This Row],[Clicks]]/Table1[[#This Row],[Impressions]]</f>
        <v>1.9080423628281905E-2</v>
      </c>
      <c r="K1614" s="7">
        <f>IFERROR(Table1[[#This Row],[Conversions]]/Table1[[#This Row],[Clicks]],0)</f>
        <v>0.14232209737827714</v>
      </c>
      <c r="L1614" s="6">
        <f>IF(Table1[[#This Row],[Conversions]]=0,0,Table1[[#This Row],[Ad Spend]]/Table1[[#This Row],[Conversions]])</f>
        <v>3.3753947368421056</v>
      </c>
      <c r="M1614" s="8">
        <f>IF(Table1[[#This Row],[Ad Spend]]=0,0,Table1[[#This Row],[Revenue]]/Table1[[#This Row],[Ad Spend]])</f>
        <v>8.360176197715667</v>
      </c>
      <c r="N1614">
        <f>YEAR(Table1[[#This Row],[Date]])</f>
        <v>2024</v>
      </c>
      <c r="O1614" t="str">
        <f>TEXT(Table1[[#This Row],[Date]],"mmm")</f>
        <v>Apr</v>
      </c>
      <c r="P1614">
        <f>MONTH(Table1[[#This Row],[Date]])</f>
        <v>4</v>
      </c>
    </row>
    <row r="1615" spans="1:16" x14ac:dyDescent="0.25">
      <c r="A1615" t="s">
        <v>1634</v>
      </c>
      <c r="B1615" t="s">
        <v>9</v>
      </c>
      <c r="C1615" t="s">
        <v>17</v>
      </c>
      <c r="D1615" s="1">
        <v>45436</v>
      </c>
      <c r="E1615">
        <v>32584</v>
      </c>
      <c r="F1615">
        <v>895</v>
      </c>
      <c r="G1615">
        <v>47</v>
      </c>
      <c r="H1615" s="4">
        <v>3704.15</v>
      </c>
      <c r="I1615" s="4">
        <v>2355.21</v>
      </c>
      <c r="J1615" s="7">
        <f>Table1[[#This Row],[Clicks]]/Table1[[#This Row],[Impressions]]</f>
        <v>2.7467468696292657E-2</v>
      </c>
      <c r="K1615" s="7">
        <f>IFERROR(Table1[[#This Row],[Conversions]]/Table1[[#This Row],[Clicks]],0)</f>
        <v>5.2513966480446927E-2</v>
      </c>
      <c r="L1615" s="6">
        <f>IF(Table1[[#This Row],[Conversions]]=0,0,Table1[[#This Row],[Ad Spend]]/Table1[[#This Row],[Conversions]])</f>
        <v>78.811702127659572</v>
      </c>
      <c r="M1615" s="8">
        <f>IF(Table1[[#This Row],[Ad Spend]]=0,0,Table1[[#This Row],[Revenue]]/Table1[[#This Row],[Ad Spend]])</f>
        <v>0.63583008247506179</v>
      </c>
      <c r="N1615">
        <f>YEAR(Table1[[#This Row],[Date]])</f>
        <v>2024</v>
      </c>
      <c r="O1615" t="str">
        <f>TEXT(Table1[[#This Row],[Date]],"mmm")</f>
        <v>May</v>
      </c>
      <c r="P1615">
        <f>MONTH(Table1[[#This Row],[Date]])</f>
        <v>5</v>
      </c>
    </row>
    <row r="1616" spans="1:16" x14ac:dyDescent="0.25">
      <c r="A1616" t="s">
        <v>1635</v>
      </c>
      <c r="B1616" t="s">
        <v>41</v>
      </c>
      <c r="C1616" t="s">
        <v>12</v>
      </c>
      <c r="D1616" s="1">
        <v>45558</v>
      </c>
      <c r="E1616">
        <v>140503</v>
      </c>
      <c r="F1616">
        <v>7081</v>
      </c>
      <c r="G1616">
        <v>954</v>
      </c>
      <c r="H1616" s="4">
        <v>3847.49</v>
      </c>
      <c r="I1616" s="4">
        <v>31644.86</v>
      </c>
      <c r="J1616" s="7">
        <f>Table1[[#This Row],[Clicks]]/Table1[[#This Row],[Impressions]]</f>
        <v>5.0397500409243928E-2</v>
      </c>
      <c r="K1616" s="7">
        <f>IFERROR(Table1[[#This Row],[Conversions]]/Table1[[#This Row],[Clicks]],0)</f>
        <v>0.13472673351221578</v>
      </c>
      <c r="L1616" s="6">
        <f>IF(Table1[[#This Row],[Conversions]]=0,0,Table1[[#This Row],[Ad Spend]]/Table1[[#This Row],[Conversions]])</f>
        <v>4.0330083857442345</v>
      </c>
      <c r="M1616" s="8">
        <f>IF(Table1[[#This Row],[Ad Spend]]=0,0,Table1[[#This Row],[Revenue]]/Table1[[#This Row],[Ad Spend]])</f>
        <v>8.2248063022905846</v>
      </c>
      <c r="N1616">
        <f>YEAR(Table1[[#This Row],[Date]])</f>
        <v>2024</v>
      </c>
      <c r="O1616" t="str">
        <f>TEXT(Table1[[#This Row],[Date]],"mmm")</f>
        <v>Sept</v>
      </c>
      <c r="P1616">
        <f>MONTH(Table1[[#This Row],[Date]])</f>
        <v>9</v>
      </c>
    </row>
    <row r="1617" spans="1:16" x14ac:dyDescent="0.25">
      <c r="A1617" t="s">
        <v>1636</v>
      </c>
      <c r="B1617" t="s">
        <v>21</v>
      </c>
      <c r="C1617" t="s">
        <v>19</v>
      </c>
      <c r="D1617" s="1">
        <v>45630</v>
      </c>
      <c r="E1617">
        <v>43068</v>
      </c>
      <c r="F1617">
        <v>2177</v>
      </c>
      <c r="G1617">
        <v>308</v>
      </c>
      <c r="H1617" s="4">
        <v>364.28</v>
      </c>
      <c r="I1617" s="4">
        <v>34065.25</v>
      </c>
      <c r="J1617" s="7">
        <f>Table1[[#This Row],[Clicks]]/Table1[[#This Row],[Impressions]]</f>
        <v>5.0547970651063437E-2</v>
      </c>
      <c r="K1617" s="7">
        <f>IFERROR(Table1[[#This Row],[Conversions]]/Table1[[#This Row],[Clicks]],0)</f>
        <v>0.14147909967845659</v>
      </c>
      <c r="L1617" s="6">
        <f>IF(Table1[[#This Row],[Conversions]]=0,0,Table1[[#This Row],[Ad Spend]]/Table1[[#This Row],[Conversions]])</f>
        <v>1.1827272727272726</v>
      </c>
      <c r="M1617" s="8">
        <f>IF(Table1[[#This Row],[Ad Spend]]=0,0,Table1[[#This Row],[Revenue]]/Table1[[#This Row],[Ad Spend]])</f>
        <v>93.513917865378289</v>
      </c>
      <c r="N1617">
        <f>YEAR(Table1[[#This Row],[Date]])</f>
        <v>2024</v>
      </c>
      <c r="O1617" t="str">
        <f>TEXT(Table1[[#This Row],[Date]],"mmm")</f>
        <v>Dec</v>
      </c>
      <c r="P1617">
        <f>MONTH(Table1[[#This Row],[Date]])</f>
        <v>12</v>
      </c>
    </row>
    <row r="1618" spans="1:16" x14ac:dyDescent="0.25">
      <c r="A1618" t="s">
        <v>1637</v>
      </c>
      <c r="B1618" t="s">
        <v>21</v>
      </c>
      <c r="C1618" t="s">
        <v>10</v>
      </c>
      <c r="D1618" s="1">
        <v>45698</v>
      </c>
      <c r="E1618">
        <v>56877</v>
      </c>
      <c r="F1618">
        <v>4468</v>
      </c>
      <c r="G1618">
        <v>97</v>
      </c>
      <c r="H1618" s="4">
        <v>3246.23</v>
      </c>
      <c r="I1618" s="4">
        <v>10043.18</v>
      </c>
      <c r="J1618" s="7">
        <f>Table1[[#This Row],[Clicks]]/Table1[[#This Row],[Impressions]]</f>
        <v>7.8555479367758502E-2</v>
      </c>
      <c r="K1618" s="7">
        <f>IFERROR(Table1[[#This Row],[Conversions]]/Table1[[#This Row],[Clicks]],0)</f>
        <v>2.1709937332139658E-2</v>
      </c>
      <c r="L1618" s="6">
        <f>IF(Table1[[#This Row],[Conversions]]=0,0,Table1[[#This Row],[Ad Spend]]/Table1[[#This Row],[Conversions]])</f>
        <v>33.466288659793811</v>
      </c>
      <c r="M1618" s="8">
        <f>IF(Table1[[#This Row],[Ad Spend]]=0,0,Table1[[#This Row],[Revenue]]/Table1[[#This Row],[Ad Spend]])</f>
        <v>3.0937980364915609</v>
      </c>
      <c r="N1618">
        <f>YEAR(Table1[[#This Row],[Date]])</f>
        <v>2025</v>
      </c>
      <c r="O1618" t="str">
        <f>TEXT(Table1[[#This Row],[Date]],"mmm")</f>
        <v>Feb</v>
      </c>
      <c r="P1618">
        <f>MONTH(Table1[[#This Row],[Date]])</f>
        <v>2</v>
      </c>
    </row>
    <row r="1619" spans="1:16" x14ac:dyDescent="0.25">
      <c r="A1619" t="s">
        <v>1638</v>
      </c>
      <c r="B1619" t="s">
        <v>14</v>
      </c>
      <c r="C1619" t="s">
        <v>37</v>
      </c>
      <c r="D1619" s="1">
        <v>45495</v>
      </c>
      <c r="E1619">
        <v>89549</v>
      </c>
      <c r="F1619">
        <v>968</v>
      </c>
      <c r="G1619">
        <v>79</v>
      </c>
      <c r="H1619" s="4">
        <v>4316.87</v>
      </c>
      <c r="I1619" s="4">
        <v>3063.21</v>
      </c>
      <c r="J1619" s="7">
        <f>Table1[[#This Row],[Clicks]]/Table1[[#This Row],[Impressions]]</f>
        <v>1.0809724285028308E-2</v>
      </c>
      <c r="K1619" s="7">
        <f>IFERROR(Table1[[#This Row],[Conversions]]/Table1[[#This Row],[Clicks]],0)</f>
        <v>8.161157024793389E-2</v>
      </c>
      <c r="L1619" s="6">
        <f>IF(Table1[[#This Row],[Conversions]]=0,0,Table1[[#This Row],[Ad Spend]]/Table1[[#This Row],[Conversions]])</f>
        <v>54.643924050632911</v>
      </c>
      <c r="M1619" s="8">
        <f>IF(Table1[[#This Row],[Ad Spend]]=0,0,Table1[[#This Row],[Revenue]]/Table1[[#This Row],[Ad Spend]])</f>
        <v>0.7095905134970476</v>
      </c>
      <c r="N1619">
        <f>YEAR(Table1[[#This Row],[Date]])</f>
        <v>2024</v>
      </c>
      <c r="O1619" t="str">
        <f>TEXT(Table1[[#This Row],[Date]],"mmm")</f>
        <v>Jul</v>
      </c>
      <c r="P1619">
        <f>MONTH(Table1[[#This Row],[Date]])</f>
        <v>7</v>
      </c>
    </row>
    <row r="1620" spans="1:16" x14ac:dyDescent="0.25">
      <c r="A1620" t="s">
        <v>1639</v>
      </c>
      <c r="B1620" t="s">
        <v>21</v>
      </c>
      <c r="C1620" t="s">
        <v>17</v>
      </c>
      <c r="D1620" s="1">
        <v>45401</v>
      </c>
      <c r="E1620">
        <v>123801</v>
      </c>
      <c r="F1620">
        <v>6622</v>
      </c>
      <c r="G1620">
        <v>602</v>
      </c>
      <c r="H1620" s="4">
        <v>765.53</v>
      </c>
      <c r="I1620" s="4">
        <v>28854.17</v>
      </c>
      <c r="J1620" s="7">
        <f>Table1[[#This Row],[Clicks]]/Table1[[#This Row],[Impressions]]</f>
        <v>5.3489067131929469E-2</v>
      </c>
      <c r="K1620" s="7">
        <f>IFERROR(Table1[[#This Row],[Conversions]]/Table1[[#This Row],[Clicks]],0)</f>
        <v>9.0909090909090912E-2</v>
      </c>
      <c r="L1620" s="6">
        <f>IF(Table1[[#This Row],[Conversions]]=0,0,Table1[[#This Row],[Ad Spend]]/Table1[[#This Row],[Conversions]])</f>
        <v>1.2716445182724252</v>
      </c>
      <c r="M1620" s="8">
        <f>IF(Table1[[#This Row],[Ad Spend]]=0,0,Table1[[#This Row],[Revenue]]/Table1[[#This Row],[Ad Spend]])</f>
        <v>37.691756038300262</v>
      </c>
      <c r="N1620">
        <f>YEAR(Table1[[#This Row],[Date]])</f>
        <v>2024</v>
      </c>
      <c r="O1620" t="str">
        <f>TEXT(Table1[[#This Row],[Date]],"mmm")</f>
        <v>Apr</v>
      </c>
      <c r="P1620">
        <f>MONTH(Table1[[#This Row],[Date]])</f>
        <v>4</v>
      </c>
    </row>
    <row r="1621" spans="1:16" x14ac:dyDescent="0.25">
      <c r="A1621" t="s">
        <v>1640</v>
      </c>
      <c r="B1621" t="s">
        <v>47</v>
      </c>
      <c r="C1621" t="s">
        <v>19</v>
      </c>
      <c r="D1621" s="1">
        <v>45387</v>
      </c>
      <c r="E1621">
        <v>71921</v>
      </c>
      <c r="F1621">
        <v>2435</v>
      </c>
      <c r="G1621">
        <v>324</v>
      </c>
      <c r="H1621" s="4">
        <v>3905.64</v>
      </c>
      <c r="I1621" s="4">
        <v>21264.639999999999</v>
      </c>
      <c r="J1621" s="7">
        <f>Table1[[#This Row],[Clicks]]/Table1[[#This Row],[Impressions]]</f>
        <v>3.3856592650269045E-2</v>
      </c>
      <c r="K1621" s="7">
        <f>IFERROR(Table1[[#This Row],[Conversions]]/Table1[[#This Row],[Clicks]],0)</f>
        <v>0.13305954825462013</v>
      </c>
      <c r="L1621" s="6">
        <f>IF(Table1[[#This Row],[Conversions]]=0,0,Table1[[#This Row],[Ad Spend]]/Table1[[#This Row],[Conversions]])</f>
        <v>12.054444444444444</v>
      </c>
      <c r="M1621" s="8">
        <f>IF(Table1[[#This Row],[Ad Spend]]=0,0,Table1[[#This Row],[Revenue]]/Table1[[#This Row],[Ad Spend]])</f>
        <v>5.4445980684343667</v>
      </c>
      <c r="N1621">
        <f>YEAR(Table1[[#This Row],[Date]])</f>
        <v>2024</v>
      </c>
      <c r="O1621" t="str">
        <f>TEXT(Table1[[#This Row],[Date]],"mmm")</f>
        <v>Apr</v>
      </c>
      <c r="P1621">
        <f>MONTH(Table1[[#This Row],[Date]])</f>
        <v>4</v>
      </c>
    </row>
    <row r="1622" spans="1:16" x14ac:dyDescent="0.25">
      <c r="A1622" t="s">
        <v>1641</v>
      </c>
      <c r="B1622" t="s">
        <v>9</v>
      </c>
      <c r="C1622" t="s">
        <v>19</v>
      </c>
      <c r="D1622" s="1">
        <v>45682</v>
      </c>
      <c r="E1622">
        <v>141071</v>
      </c>
      <c r="F1622">
        <v>4006</v>
      </c>
      <c r="G1622">
        <v>487</v>
      </c>
      <c r="H1622" s="4">
        <v>2247.27</v>
      </c>
      <c r="I1622" s="4">
        <v>10977.66</v>
      </c>
      <c r="J1622" s="7">
        <f>Table1[[#This Row],[Clicks]]/Table1[[#This Row],[Impressions]]</f>
        <v>2.8397048294830262E-2</v>
      </c>
      <c r="K1622" s="7">
        <f>IFERROR(Table1[[#This Row],[Conversions]]/Table1[[#This Row],[Clicks]],0)</f>
        <v>0.12156764852720918</v>
      </c>
      <c r="L1622" s="6">
        <f>IF(Table1[[#This Row],[Conversions]]=0,0,Table1[[#This Row],[Ad Spend]]/Table1[[#This Row],[Conversions]])</f>
        <v>4.6145174537987677</v>
      </c>
      <c r="M1622" s="8">
        <f>IF(Table1[[#This Row],[Ad Spend]]=0,0,Table1[[#This Row],[Revenue]]/Table1[[#This Row],[Ad Spend]])</f>
        <v>4.8848869962220824</v>
      </c>
      <c r="N1622">
        <f>YEAR(Table1[[#This Row],[Date]])</f>
        <v>2025</v>
      </c>
      <c r="O1622" t="str">
        <f>TEXT(Table1[[#This Row],[Date]],"mmm")</f>
        <v>Jan</v>
      </c>
      <c r="P1622">
        <f>MONTH(Table1[[#This Row],[Date]])</f>
        <v>1</v>
      </c>
    </row>
    <row r="1623" spans="1:16" x14ac:dyDescent="0.25">
      <c r="A1623" t="s">
        <v>1642</v>
      </c>
      <c r="B1623" t="s">
        <v>16</v>
      </c>
      <c r="C1623" t="s">
        <v>10</v>
      </c>
      <c r="D1623" s="1">
        <v>45408</v>
      </c>
      <c r="E1623">
        <v>124913</v>
      </c>
      <c r="F1623">
        <v>8507</v>
      </c>
      <c r="G1623">
        <v>303</v>
      </c>
      <c r="H1623" s="4">
        <v>3620.94</v>
      </c>
      <c r="I1623" s="4">
        <v>9886.8700000000008</v>
      </c>
      <c r="J1623" s="7">
        <f>Table1[[#This Row],[Clicks]]/Table1[[#This Row],[Impressions]]</f>
        <v>6.8103399966376599E-2</v>
      </c>
      <c r="K1623" s="7">
        <f>IFERROR(Table1[[#This Row],[Conversions]]/Table1[[#This Row],[Clicks]],0)</f>
        <v>3.5617726578112144E-2</v>
      </c>
      <c r="L1623" s="6">
        <f>IF(Table1[[#This Row],[Conversions]]=0,0,Table1[[#This Row],[Ad Spend]]/Table1[[#This Row],[Conversions]])</f>
        <v>11.95029702970297</v>
      </c>
      <c r="M1623" s="8">
        <f>IF(Table1[[#This Row],[Ad Spend]]=0,0,Table1[[#This Row],[Revenue]]/Table1[[#This Row],[Ad Spend]])</f>
        <v>2.7304705407987981</v>
      </c>
      <c r="N1623">
        <f>YEAR(Table1[[#This Row],[Date]])</f>
        <v>2024</v>
      </c>
      <c r="O1623" t="str">
        <f>TEXT(Table1[[#This Row],[Date]],"mmm")</f>
        <v>Apr</v>
      </c>
      <c r="P1623">
        <f>MONTH(Table1[[#This Row],[Date]])</f>
        <v>4</v>
      </c>
    </row>
    <row r="1624" spans="1:16" x14ac:dyDescent="0.25">
      <c r="A1624" t="s">
        <v>1643</v>
      </c>
      <c r="B1624" t="s">
        <v>47</v>
      </c>
      <c r="C1624" t="s">
        <v>19</v>
      </c>
      <c r="D1624" s="1">
        <v>45523</v>
      </c>
      <c r="E1624">
        <v>119337</v>
      </c>
      <c r="F1624">
        <v>5815</v>
      </c>
      <c r="G1624">
        <v>826</v>
      </c>
      <c r="H1624" s="4">
        <v>4838.2</v>
      </c>
      <c r="I1624" s="4">
        <v>96780.75</v>
      </c>
      <c r="J1624" s="7">
        <f>Table1[[#This Row],[Clicks]]/Table1[[#This Row],[Impressions]]</f>
        <v>4.8727553064011997E-2</v>
      </c>
      <c r="K1624" s="7">
        <f>IFERROR(Table1[[#This Row],[Conversions]]/Table1[[#This Row],[Clicks]],0)</f>
        <v>0.14204643164230438</v>
      </c>
      <c r="L1624" s="6">
        <f>IF(Table1[[#This Row],[Conversions]]=0,0,Table1[[#This Row],[Ad Spend]]/Table1[[#This Row],[Conversions]])</f>
        <v>5.8573849878934618</v>
      </c>
      <c r="M1624" s="8">
        <f>IF(Table1[[#This Row],[Ad Spend]]=0,0,Table1[[#This Row],[Revenue]]/Table1[[#This Row],[Ad Spend]])</f>
        <v>20.003462031333967</v>
      </c>
      <c r="N1624">
        <f>YEAR(Table1[[#This Row],[Date]])</f>
        <v>2024</v>
      </c>
      <c r="O1624" t="str">
        <f>TEXT(Table1[[#This Row],[Date]],"mmm")</f>
        <v>Aug</v>
      </c>
      <c r="P1624">
        <f>MONTH(Table1[[#This Row],[Date]])</f>
        <v>8</v>
      </c>
    </row>
    <row r="1625" spans="1:16" x14ac:dyDescent="0.25">
      <c r="A1625" t="s">
        <v>1644</v>
      </c>
      <c r="B1625" t="s">
        <v>16</v>
      </c>
      <c r="C1625" t="s">
        <v>17</v>
      </c>
      <c r="D1625" s="1">
        <v>45711</v>
      </c>
      <c r="E1625">
        <v>138930</v>
      </c>
      <c r="F1625">
        <v>3284</v>
      </c>
      <c r="G1625">
        <v>424</v>
      </c>
      <c r="H1625" s="4">
        <v>1264.9100000000001</v>
      </c>
      <c r="I1625" s="4">
        <v>9188.9</v>
      </c>
      <c r="J1625" s="7">
        <f>Table1[[#This Row],[Clicks]]/Table1[[#This Row],[Impressions]]</f>
        <v>2.3637803210249764E-2</v>
      </c>
      <c r="K1625" s="7">
        <f>IFERROR(Table1[[#This Row],[Conversions]]/Table1[[#This Row],[Clicks]],0)</f>
        <v>0.12911084043848964</v>
      </c>
      <c r="L1625" s="6">
        <f>IF(Table1[[#This Row],[Conversions]]=0,0,Table1[[#This Row],[Ad Spend]]/Table1[[#This Row],[Conversions]])</f>
        <v>2.9832783018867928</v>
      </c>
      <c r="M1625" s="8">
        <f>IF(Table1[[#This Row],[Ad Spend]]=0,0,Table1[[#This Row],[Revenue]]/Table1[[#This Row],[Ad Spend]])</f>
        <v>7.2644694088907507</v>
      </c>
      <c r="N1625">
        <f>YEAR(Table1[[#This Row],[Date]])</f>
        <v>2025</v>
      </c>
      <c r="O1625" t="str">
        <f>TEXT(Table1[[#This Row],[Date]],"mmm")</f>
        <v>Feb</v>
      </c>
      <c r="P1625">
        <f>MONTH(Table1[[#This Row],[Date]])</f>
        <v>2</v>
      </c>
    </row>
    <row r="1626" spans="1:16" x14ac:dyDescent="0.25">
      <c r="A1626" t="s">
        <v>1645</v>
      </c>
      <c r="B1626" t="s">
        <v>47</v>
      </c>
      <c r="C1626" t="s">
        <v>12</v>
      </c>
      <c r="D1626" s="1">
        <v>45599</v>
      </c>
      <c r="E1626">
        <v>44785</v>
      </c>
      <c r="F1626">
        <v>2212</v>
      </c>
      <c r="G1626">
        <v>196</v>
      </c>
      <c r="H1626" s="4">
        <v>425.58</v>
      </c>
      <c r="I1626" s="4">
        <v>14369.86</v>
      </c>
      <c r="J1626" s="7">
        <f>Table1[[#This Row],[Clicks]]/Table1[[#This Row],[Impressions]]</f>
        <v>4.9391537345093224E-2</v>
      </c>
      <c r="K1626" s="7">
        <f>IFERROR(Table1[[#This Row],[Conversions]]/Table1[[#This Row],[Clicks]],0)</f>
        <v>8.8607594936708861E-2</v>
      </c>
      <c r="L1626" s="6">
        <f>IF(Table1[[#This Row],[Conversions]]=0,0,Table1[[#This Row],[Ad Spend]]/Table1[[#This Row],[Conversions]])</f>
        <v>2.1713265306122449</v>
      </c>
      <c r="M1626" s="8">
        <f>IF(Table1[[#This Row],[Ad Spend]]=0,0,Table1[[#This Row],[Revenue]]/Table1[[#This Row],[Ad Spend]])</f>
        <v>33.76535551482683</v>
      </c>
      <c r="N1626">
        <f>YEAR(Table1[[#This Row],[Date]])</f>
        <v>2024</v>
      </c>
      <c r="O1626" t="str">
        <f>TEXT(Table1[[#This Row],[Date]],"mmm")</f>
        <v>Nov</v>
      </c>
      <c r="P1626">
        <f>MONTH(Table1[[#This Row],[Date]])</f>
        <v>11</v>
      </c>
    </row>
    <row r="1627" spans="1:16" x14ac:dyDescent="0.25">
      <c r="A1627" t="s">
        <v>1646</v>
      </c>
      <c r="B1627" t="s">
        <v>14</v>
      </c>
      <c r="C1627" t="s">
        <v>12</v>
      </c>
      <c r="D1627" s="1">
        <v>45377</v>
      </c>
      <c r="E1627">
        <v>103165</v>
      </c>
      <c r="F1627">
        <v>2178</v>
      </c>
      <c r="G1627">
        <v>236</v>
      </c>
      <c r="H1627" s="4">
        <v>3247.56</v>
      </c>
      <c r="I1627" s="4">
        <v>24991</v>
      </c>
      <c r="J1627" s="7">
        <f>Table1[[#This Row],[Clicks]]/Table1[[#This Row],[Impressions]]</f>
        <v>2.1111811176271023E-2</v>
      </c>
      <c r="K1627" s="7">
        <f>IFERROR(Table1[[#This Row],[Conversions]]/Table1[[#This Row],[Clicks]],0)</f>
        <v>0.10835629017447199</v>
      </c>
      <c r="L1627" s="6">
        <f>IF(Table1[[#This Row],[Conversions]]=0,0,Table1[[#This Row],[Ad Spend]]/Table1[[#This Row],[Conversions]])</f>
        <v>13.760847457627118</v>
      </c>
      <c r="M1627" s="8">
        <f>IF(Table1[[#This Row],[Ad Spend]]=0,0,Table1[[#This Row],[Revenue]]/Table1[[#This Row],[Ad Spend]])</f>
        <v>7.6953158679131413</v>
      </c>
      <c r="N1627">
        <f>YEAR(Table1[[#This Row],[Date]])</f>
        <v>2024</v>
      </c>
      <c r="O1627" t="str">
        <f>TEXT(Table1[[#This Row],[Date]],"mmm")</f>
        <v>Mar</v>
      </c>
      <c r="P1627">
        <f>MONTH(Table1[[#This Row],[Date]])</f>
        <v>3</v>
      </c>
    </row>
    <row r="1628" spans="1:16" x14ac:dyDescent="0.25">
      <c r="A1628" t="s">
        <v>1647</v>
      </c>
      <c r="B1628" t="s">
        <v>14</v>
      </c>
      <c r="C1628" t="s">
        <v>37</v>
      </c>
      <c r="D1628" s="1">
        <v>45568</v>
      </c>
      <c r="E1628">
        <v>116153</v>
      </c>
      <c r="F1628">
        <v>8140</v>
      </c>
      <c r="G1628">
        <v>457</v>
      </c>
      <c r="H1628" s="4">
        <v>4803.47</v>
      </c>
      <c r="I1628" s="4">
        <v>52504.69</v>
      </c>
      <c r="J1628" s="7">
        <f>Table1[[#This Row],[Clicks]]/Table1[[#This Row],[Impressions]]</f>
        <v>7.0079980715091306E-2</v>
      </c>
      <c r="K1628" s="7">
        <f>IFERROR(Table1[[#This Row],[Conversions]]/Table1[[#This Row],[Clicks]],0)</f>
        <v>5.6142506142506141E-2</v>
      </c>
      <c r="L1628" s="6">
        <f>IF(Table1[[#This Row],[Conversions]]=0,0,Table1[[#This Row],[Ad Spend]]/Table1[[#This Row],[Conversions]])</f>
        <v>10.510875273522977</v>
      </c>
      <c r="M1628" s="8">
        <f>IF(Table1[[#This Row],[Ad Spend]]=0,0,Table1[[#This Row],[Revenue]]/Table1[[#This Row],[Ad Spend]])</f>
        <v>10.930575188353419</v>
      </c>
      <c r="N1628">
        <f>YEAR(Table1[[#This Row],[Date]])</f>
        <v>2024</v>
      </c>
      <c r="O1628" t="str">
        <f>TEXT(Table1[[#This Row],[Date]],"mmm")</f>
        <v>Oct</v>
      </c>
      <c r="P1628">
        <f>MONTH(Table1[[#This Row],[Date]])</f>
        <v>10</v>
      </c>
    </row>
    <row r="1629" spans="1:16" x14ac:dyDescent="0.25">
      <c r="A1629" t="s">
        <v>1648</v>
      </c>
      <c r="B1629" t="s">
        <v>34</v>
      </c>
      <c r="C1629" t="s">
        <v>17</v>
      </c>
      <c r="D1629" s="1">
        <v>45559</v>
      </c>
      <c r="E1629">
        <v>115431</v>
      </c>
      <c r="F1629">
        <v>8375</v>
      </c>
      <c r="G1629">
        <v>677</v>
      </c>
      <c r="H1629" s="4">
        <v>853.38</v>
      </c>
      <c r="I1629" s="4">
        <v>77052.3</v>
      </c>
      <c r="J1629" s="7">
        <f>Table1[[#This Row],[Clicks]]/Table1[[#This Row],[Impressions]]</f>
        <v>7.2554166558376862E-2</v>
      </c>
      <c r="K1629" s="7">
        <f>IFERROR(Table1[[#This Row],[Conversions]]/Table1[[#This Row],[Clicks]],0)</f>
        <v>8.0835820895522381E-2</v>
      </c>
      <c r="L1629" s="6">
        <f>IF(Table1[[#This Row],[Conversions]]=0,0,Table1[[#This Row],[Ad Spend]]/Table1[[#This Row],[Conversions]])</f>
        <v>1.2605317577548005</v>
      </c>
      <c r="M1629" s="8">
        <f>IF(Table1[[#This Row],[Ad Spend]]=0,0,Table1[[#This Row],[Revenue]]/Table1[[#This Row],[Ad Spend]])</f>
        <v>90.290726288406105</v>
      </c>
      <c r="N1629">
        <f>YEAR(Table1[[#This Row],[Date]])</f>
        <v>2024</v>
      </c>
      <c r="O1629" t="str">
        <f>TEXT(Table1[[#This Row],[Date]],"mmm")</f>
        <v>Sept</v>
      </c>
      <c r="P1629">
        <f>MONTH(Table1[[#This Row],[Date]])</f>
        <v>9</v>
      </c>
    </row>
    <row r="1630" spans="1:16" x14ac:dyDescent="0.25">
      <c r="A1630" t="s">
        <v>1649</v>
      </c>
      <c r="B1630" t="s">
        <v>31</v>
      </c>
      <c r="C1630" t="s">
        <v>10</v>
      </c>
      <c r="D1630" s="1">
        <v>45420</v>
      </c>
      <c r="E1630">
        <v>86685</v>
      </c>
      <c r="F1630">
        <v>2133</v>
      </c>
      <c r="G1630">
        <v>246</v>
      </c>
      <c r="H1630" s="4">
        <v>3051.13</v>
      </c>
      <c r="I1630" s="4">
        <v>6563.64</v>
      </c>
      <c r="J1630" s="7">
        <f>Table1[[#This Row],[Clicks]]/Table1[[#This Row],[Impressions]]</f>
        <v>2.4606333275653227E-2</v>
      </c>
      <c r="K1630" s="7">
        <f>IFERROR(Table1[[#This Row],[Conversions]]/Table1[[#This Row],[Clicks]],0)</f>
        <v>0.11533052039381153</v>
      </c>
      <c r="L1630" s="6">
        <f>IF(Table1[[#This Row],[Conversions]]=0,0,Table1[[#This Row],[Ad Spend]]/Table1[[#This Row],[Conversions]])</f>
        <v>12.402967479674798</v>
      </c>
      <c r="M1630" s="8">
        <f>IF(Table1[[#This Row],[Ad Spend]]=0,0,Table1[[#This Row],[Revenue]]/Table1[[#This Row],[Ad Spend]])</f>
        <v>2.1512161068194406</v>
      </c>
      <c r="N1630">
        <f>YEAR(Table1[[#This Row],[Date]])</f>
        <v>2024</v>
      </c>
      <c r="O1630" t="str">
        <f>TEXT(Table1[[#This Row],[Date]],"mmm")</f>
        <v>May</v>
      </c>
      <c r="P1630">
        <f>MONTH(Table1[[#This Row],[Date]])</f>
        <v>5</v>
      </c>
    </row>
    <row r="1631" spans="1:16" x14ac:dyDescent="0.25">
      <c r="A1631" t="s">
        <v>1650</v>
      </c>
      <c r="B1631" t="s">
        <v>21</v>
      </c>
      <c r="C1631" t="s">
        <v>37</v>
      </c>
      <c r="D1631" s="1">
        <v>45365</v>
      </c>
      <c r="E1631">
        <v>131073</v>
      </c>
      <c r="F1631">
        <v>8856</v>
      </c>
      <c r="G1631">
        <v>1057</v>
      </c>
      <c r="H1631" s="4">
        <v>4073.54</v>
      </c>
      <c r="I1631" s="4">
        <v>121651.25</v>
      </c>
      <c r="J1631" s="7">
        <f>Table1[[#This Row],[Clicks]]/Table1[[#This Row],[Impressions]]</f>
        <v>6.7565402485637777E-2</v>
      </c>
      <c r="K1631" s="7">
        <f>IFERROR(Table1[[#This Row],[Conversions]]/Table1[[#This Row],[Clicks]],0)</f>
        <v>0.11935411020776875</v>
      </c>
      <c r="L1631" s="6">
        <f>IF(Table1[[#This Row],[Conversions]]=0,0,Table1[[#This Row],[Ad Spend]]/Table1[[#This Row],[Conversions]])</f>
        <v>3.8538694418164616</v>
      </c>
      <c r="M1631" s="8">
        <f>IF(Table1[[#This Row],[Ad Spend]]=0,0,Table1[[#This Row],[Revenue]]/Table1[[#This Row],[Ad Spend]])</f>
        <v>29.863767141110682</v>
      </c>
      <c r="N1631">
        <f>YEAR(Table1[[#This Row],[Date]])</f>
        <v>2024</v>
      </c>
      <c r="O1631" t="str">
        <f>TEXT(Table1[[#This Row],[Date]],"mmm")</f>
        <v>Mar</v>
      </c>
      <c r="P1631">
        <f>MONTH(Table1[[#This Row],[Date]])</f>
        <v>3</v>
      </c>
    </row>
    <row r="1632" spans="1:16" x14ac:dyDescent="0.25">
      <c r="A1632" t="s">
        <v>1651</v>
      </c>
      <c r="B1632" t="s">
        <v>14</v>
      </c>
      <c r="C1632" t="s">
        <v>17</v>
      </c>
      <c r="D1632" s="1">
        <v>45694</v>
      </c>
      <c r="E1632">
        <v>46797</v>
      </c>
      <c r="F1632">
        <v>2584</v>
      </c>
      <c r="G1632">
        <v>183</v>
      </c>
      <c r="H1632" s="4">
        <v>1128.18</v>
      </c>
      <c r="I1632" s="4">
        <v>18928.22</v>
      </c>
      <c r="J1632" s="7">
        <f>Table1[[#This Row],[Clicks]]/Table1[[#This Row],[Impressions]]</f>
        <v>5.5217214778725134E-2</v>
      </c>
      <c r="K1632" s="7">
        <f>IFERROR(Table1[[#This Row],[Conversions]]/Table1[[#This Row],[Clicks]],0)</f>
        <v>7.0820433436532507E-2</v>
      </c>
      <c r="L1632" s="6">
        <f>IF(Table1[[#This Row],[Conversions]]=0,0,Table1[[#This Row],[Ad Spend]]/Table1[[#This Row],[Conversions]])</f>
        <v>6.1649180327868853</v>
      </c>
      <c r="M1632" s="8">
        <f>IF(Table1[[#This Row],[Ad Spend]]=0,0,Table1[[#This Row],[Revenue]]/Table1[[#This Row],[Ad Spend]])</f>
        <v>16.777659593327307</v>
      </c>
      <c r="N1632">
        <f>YEAR(Table1[[#This Row],[Date]])</f>
        <v>2025</v>
      </c>
      <c r="O1632" t="str">
        <f>TEXT(Table1[[#This Row],[Date]],"mmm")</f>
        <v>Feb</v>
      </c>
      <c r="P1632">
        <f>MONTH(Table1[[#This Row],[Date]])</f>
        <v>2</v>
      </c>
    </row>
    <row r="1633" spans="1:16" x14ac:dyDescent="0.25">
      <c r="A1633" t="s">
        <v>1652</v>
      </c>
      <c r="B1633" t="s">
        <v>9</v>
      </c>
      <c r="C1633" t="s">
        <v>37</v>
      </c>
      <c r="D1633" s="1">
        <v>45433</v>
      </c>
      <c r="E1633">
        <v>41815</v>
      </c>
      <c r="F1633">
        <v>3030</v>
      </c>
      <c r="G1633">
        <v>109</v>
      </c>
      <c r="H1633" s="4">
        <v>3750.34</v>
      </c>
      <c r="I1633" s="4">
        <v>12473.32</v>
      </c>
      <c r="J1633" s="7">
        <f>Table1[[#This Row],[Clicks]]/Table1[[#This Row],[Impressions]]</f>
        <v>7.2462035154848739E-2</v>
      </c>
      <c r="K1633" s="7">
        <f>IFERROR(Table1[[#This Row],[Conversions]]/Table1[[#This Row],[Clicks]],0)</f>
        <v>3.5973597359735973E-2</v>
      </c>
      <c r="L1633" s="6">
        <f>IF(Table1[[#This Row],[Conversions]]=0,0,Table1[[#This Row],[Ad Spend]]/Table1[[#This Row],[Conversions]])</f>
        <v>34.406788990825689</v>
      </c>
      <c r="M1633" s="8">
        <f>IF(Table1[[#This Row],[Ad Spend]]=0,0,Table1[[#This Row],[Revenue]]/Table1[[#This Row],[Ad Spend]])</f>
        <v>3.3259171168480721</v>
      </c>
      <c r="N1633">
        <f>YEAR(Table1[[#This Row],[Date]])</f>
        <v>2024</v>
      </c>
      <c r="O1633" t="str">
        <f>TEXT(Table1[[#This Row],[Date]],"mmm")</f>
        <v>May</v>
      </c>
      <c r="P1633">
        <f>MONTH(Table1[[#This Row],[Date]])</f>
        <v>5</v>
      </c>
    </row>
    <row r="1634" spans="1:16" x14ac:dyDescent="0.25">
      <c r="A1634" t="s">
        <v>1653</v>
      </c>
      <c r="B1634" t="s">
        <v>16</v>
      </c>
      <c r="C1634" t="s">
        <v>37</v>
      </c>
      <c r="D1634" s="1">
        <v>45519</v>
      </c>
      <c r="E1634">
        <v>42331</v>
      </c>
      <c r="F1634">
        <v>2415</v>
      </c>
      <c r="G1634">
        <v>287</v>
      </c>
      <c r="H1634" s="4">
        <v>251.69</v>
      </c>
      <c r="I1634" s="4">
        <v>9106.2800000000007</v>
      </c>
      <c r="J1634" s="7">
        <f>Table1[[#This Row],[Clicks]]/Table1[[#This Row],[Impressions]]</f>
        <v>5.7050388604096287E-2</v>
      </c>
      <c r="K1634" s="7">
        <f>IFERROR(Table1[[#This Row],[Conversions]]/Table1[[#This Row],[Clicks]],0)</f>
        <v>0.11884057971014493</v>
      </c>
      <c r="L1634" s="6">
        <f>IF(Table1[[#This Row],[Conversions]]=0,0,Table1[[#This Row],[Ad Spend]]/Table1[[#This Row],[Conversions]])</f>
        <v>0.87696864111498252</v>
      </c>
      <c r="M1634" s="8">
        <f>IF(Table1[[#This Row],[Ad Spend]]=0,0,Table1[[#This Row],[Revenue]]/Table1[[#This Row],[Ad Spend]])</f>
        <v>36.180539552624261</v>
      </c>
      <c r="N1634">
        <f>YEAR(Table1[[#This Row],[Date]])</f>
        <v>2024</v>
      </c>
      <c r="O1634" t="str">
        <f>TEXT(Table1[[#This Row],[Date]],"mmm")</f>
        <v>Aug</v>
      </c>
      <c r="P1634">
        <f>MONTH(Table1[[#This Row],[Date]])</f>
        <v>8</v>
      </c>
    </row>
    <row r="1635" spans="1:16" x14ac:dyDescent="0.25">
      <c r="A1635" t="s">
        <v>1654</v>
      </c>
      <c r="B1635" t="s">
        <v>34</v>
      </c>
      <c r="C1635" t="s">
        <v>12</v>
      </c>
      <c r="D1635" s="1">
        <v>45344</v>
      </c>
      <c r="E1635">
        <v>128498</v>
      </c>
      <c r="F1635">
        <v>3373</v>
      </c>
      <c r="G1635">
        <v>259</v>
      </c>
      <c r="H1635" s="4">
        <v>4146.75</v>
      </c>
      <c r="I1635" s="4">
        <v>19198.62</v>
      </c>
      <c r="J1635" s="7">
        <f>Table1[[#This Row],[Clicks]]/Table1[[#This Row],[Impressions]]</f>
        <v>2.6249435788883873E-2</v>
      </c>
      <c r="K1635" s="7">
        <f>IFERROR(Table1[[#This Row],[Conversions]]/Table1[[#This Row],[Clicks]],0)</f>
        <v>7.678624369997035E-2</v>
      </c>
      <c r="L1635" s="6">
        <f>IF(Table1[[#This Row],[Conversions]]=0,0,Table1[[#This Row],[Ad Spend]]/Table1[[#This Row],[Conversions]])</f>
        <v>16.010617760617759</v>
      </c>
      <c r="M1635" s="8">
        <f>IF(Table1[[#This Row],[Ad Spend]]=0,0,Table1[[#This Row],[Revenue]]/Table1[[#This Row],[Ad Spend]])</f>
        <v>4.6297992403689632</v>
      </c>
      <c r="N1635">
        <f>YEAR(Table1[[#This Row],[Date]])</f>
        <v>2024</v>
      </c>
      <c r="O1635" t="str">
        <f>TEXT(Table1[[#This Row],[Date]],"mmm")</f>
        <v>Feb</v>
      </c>
      <c r="P1635">
        <f>MONTH(Table1[[#This Row],[Date]])</f>
        <v>2</v>
      </c>
    </row>
    <row r="1636" spans="1:16" x14ac:dyDescent="0.25">
      <c r="A1636" t="s">
        <v>1655</v>
      </c>
      <c r="B1636" t="s">
        <v>41</v>
      </c>
      <c r="C1636" t="s">
        <v>37</v>
      </c>
      <c r="D1636" s="1">
        <v>45328</v>
      </c>
      <c r="E1636">
        <v>94489</v>
      </c>
      <c r="F1636">
        <v>6733</v>
      </c>
      <c r="G1636">
        <v>965</v>
      </c>
      <c r="H1636" s="4">
        <v>396.66</v>
      </c>
      <c r="I1636" s="4">
        <v>100164.82</v>
      </c>
      <c r="J1636" s="7">
        <f>Table1[[#This Row],[Clicks]]/Table1[[#This Row],[Impressions]]</f>
        <v>7.1256971710992809E-2</v>
      </c>
      <c r="K1636" s="7">
        <f>IFERROR(Table1[[#This Row],[Conversions]]/Table1[[#This Row],[Clicks]],0)</f>
        <v>0.1433239269270756</v>
      </c>
      <c r="L1636" s="6">
        <f>IF(Table1[[#This Row],[Conversions]]=0,0,Table1[[#This Row],[Ad Spend]]/Table1[[#This Row],[Conversions]])</f>
        <v>0.41104663212435238</v>
      </c>
      <c r="M1636" s="8">
        <f>IF(Table1[[#This Row],[Ad Spend]]=0,0,Table1[[#This Row],[Revenue]]/Table1[[#This Row],[Ad Spend]])</f>
        <v>252.52059698482327</v>
      </c>
      <c r="N1636">
        <f>YEAR(Table1[[#This Row],[Date]])</f>
        <v>2024</v>
      </c>
      <c r="O1636" t="str">
        <f>TEXT(Table1[[#This Row],[Date]],"mmm")</f>
        <v>Feb</v>
      </c>
      <c r="P1636">
        <f>MONTH(Table1[[#This Row],[Date]])</f>
        <v>2</v>
      </c>
    </row>
    <row r="1637" spans="1:16" x14ac:dyDescent="0.25">
      <c r="A1637" t="s">
        <v>1656</v>
      </c>
      <c r="B1637" t="s">
        <v>34</v>
      </c>
      <c r="C1637" t="s">
        <v>10</v>
      </c>
      <c r="D1637" s="1">
        <v>45612</v>
      </c>
      <c r="E1637">
        <v>127296</v>
      </c>
      <c r="F1637">
        <v>5068</v>
      </c>
      <c r="G1637">
        <v>212</v>
      </c>
      <c r="H1637" s="4">
        <v>3606.85</v>
      </c>
      <c r="I1637" s="4">
        <v>22588.73</v>
      </c>
      <c r="J1637" s="7">
        <f>Table1[[#This Row],[Clicks]]/Table1[[#This Row],[Impressions]]</f>
        <v>3.9812719959778781E-2</v>
      </c>
      <c r="K1637" s="7">
        <f>IFERROR(Table1[[#This Row],[Conversions]]/Table1[[#This Row],[Clicks]],0)</f>
        <v>4.1831097079715863E-2</v>
      </c>
      <c r="L1637" s="6">
        <f>IF(Table1[[#This Row],[Conversions]]=0,0,Table1[[#This Row],[Ad Spend]]/Table1[[#This Row],[Conversions]])</f>
        <v>17.013443396226414</v>
      </c>
      <c r="M1637" s="8">
        <f>IF(Table1[[#This Row],[Ad Spend]]=0,0,Table1[[#This Row],[Revenue]]/Table1[[#This Row],[Ad Spend]])</f>
        <v>6.262730637536909</v>
      </c>
      <c r="N1637">
        <f>YEAR(Table1[[#This Row],[Date]])</f>
        <v>2024</v>
      </c>
      <c r="O1637" t="str">
        <f>TEXT(Table1[[#This Row],[Date]],"mmm")</f>
        <v>Nov</v>
      </c>
      <c r="P1637">
        <f>MONTH(Table1[[#This Row],[Date]])</f>
        <v>11</v>
      </c>
    </row>
    <row r="1638" spans="1:16" x14ac:dyDescent="0.25">
      <c r="A1638" t="s">
        <v>1657</v>
      </c>
      <c r="B1638" t="s">
        <v>41</v>
      </c>
      <c r="C1638" t="s">
        <v>19</v>
      </c>
      <c r="D1638" s="1">
        <v>45407</v>
      </c>
      <c r="E1638">
        <v>142059</v>
      </c>
      <c r="F1638">
        <v>2445</v>
      </c>
      <c r="G1638">
        <v>365</v>
      </c>
      <c r="H1638" s="4">
        <v>3095.92</v>
      </c>
      <c r="I1638" s="4">
        <v>29165.21</v>
      </c>
      <c r="J1638" s="7">
        <f>Table1[[#This Row],[Clicks]]/Table1[[#This Row],[Impressions]]</f>
        <v>1.721115874390218E-2</v>
      </c>
      <c r="K1638" s="7">
        <f>IFERROR(Table1[[#This Row],[Conversions]]/Table1[[#This Row],[Clicks]],0)</f>
        <v>0.1492842535787321</v>
      </c>
      <c r="L1638" s="6">
        <f>IF(Table1[[#This Row],[Conversions]]=0,0,Table1[[#This Row],[Ad Spend]]/Table1[[#This Row],[Conversions]])</f>
        <v>8.4819726027397255</v>
      </c>
      <c r="M1638" s="8">
        <f>IF(Table1[[#This Row],[Ad Spend]]=0,0,Table1[[#This Row],[Revenue]]/Table1[[#This Row],[Ad Spend]])</f>
        <v>9.4205308922711168</v>
      </c>
      <c r="N1638">
        <f>YEAR(Table1[[#This Row],[Date]])</f>
        <v>2024</v>
      </c>
      <c r="O1638" t="str">
        <f>TEXT(Table1[[#This Row],[Date]],"mmm")</f>
        <v>Apr</v>
      </c>
      <c r="P1638">
        <f>MONTH(Table1[[#This Row],[Date]])</f>
        <v>4</v>
      </c>
    </row>
    <row r="1639" spans="1:16" x14ac:dyDescent="0.25">
      <c r="A1639" t="s">
        <v>1658</v>
      </c>
      <c r="B1639" t="s">
        <v>47</v>
      </c>
      <c r="C1639" t="s">
        <v>37</v>
      </c>
      <c r="D1639" s="1">
        <v>45632</v>
      </c>
      <c r="E1639">
        <v>134638</v>
      </c>
      <c r="F1639">
        <v>9232</v>
      </c>
      <c r="G1639">
        <v>1340</v>
      </c>
      <c r="H1639" s="4">
        <v>2224.04</v>
      </c>
      <c r="I1639" s="4">
        <v>112300.03</v>
      </c>
      <c r="J1639" s="7">
        <f>Table1[[#This Row],[Clicks]]/Table1[[#This Row],[Impressions]]</f>
        <v>6.8569051827864352E-2</v>
      </c>
      <c r="K1639" s="7">
        <f>IFERROR(Table1[[#This Row],[Conversions]]/Table1[[#This Row],[Clicks]],0)</f>
        <v>0.1451473136915078</v>
      </c>
      <c r="L1639" s="6">
        <f>IF(Table1[[#This Row],[Conversions]]=0,0,Table1[[#This Row],[Ad Spend]]/Table1[[#This Row],[Conversions]])</f>
        <v>1.6597313432835821</v>
      </c>
      <c r="M1639" s="8">
        <f>IF(Table1[[#This Row],[Ad Spend]]=0,0,Table1[[#This Row],[Revenue]]/Table1[[#This Row],[Ad Spend]])</f>
        <v>50.493709645509973</v>
      </c>
      <c r="N1639">
        <f>YEAR(Table1[[#This Row],[Date]])</f>
        <v>2024</v>
      </c>
      <c r="O1639" t="str">
        <f>TEXT(Table1[[#This Row],[Date]],"mmm")</f>
        <v>Dec</v>
      </c>
      <c r="P1639">
        <f>MONTH(Table1[[#This Row],[Date]])</f>
        <v>12</v>
      </c>
    </row>
    <row r="1640" spans="1:16" x14ac:dyDescent="0.25">
      <c r="A1640" t="s">
        <v>1659</v>
      </c>
      <c r="B1640" t="s">
        <v>34</v>
      </c>
      <c r="C1640" t="s">
        <v>19</v>
      </c>
      <c r="D1640" s="1">
        <v>45420</v>
      </c>
      <c r="E1640">
        <v>138122</v>
      </c>
      <c r="F1640">
        <v>4560</v>
      </c>
      <c r="G1640">
        <v>486</v>
      </c>
      <c r="H1640" s="4">
        <v>1406</v>
      </c>
      <c r="I1640" s="4">
        <v>27053.74</v>
      </c>
      <c r="J1640" s="7">
        <f>Table1[[#This Row],[Clicks]]/Table1[[#This Row],[Impressions]]</f>
        <v>3.301429171312318E-2</v>
      </c>
      <c r="K1640" s="7">
        <f>IFERROR(Table1[[#This Row],[Conversions]]/Table1[[#This Row],[Clicks]],0)</f>
        <v>0.10657894736842105</v>
      </c>
      <c r="L1640" s="6">
        <f>IF(Table1[[#This Row],[Conversions]]=0,0,Table1[[#This Row],[Ad Spend]]/Table1[[#This Row],[Conversions]])</f>
        <v>2.8930041152263373</v>
      </c>
      <c r="M1640" s="8">
        <f>IF(Table1[[#This Row],[Ad Spend]]=0,0,Table1[[#This Row],[Revenue]]/Table1[[#This Row],[Ad Spend]])</f>
        <v>19.241635846372688</v>
      </c>
      <c r="N1640">
        <f>YEAR(Table1[[#This Row],[Date]])</f>
        <v>2024</v>
      </c>
      <c r="O1640" t="str">
        <f>TEXT(Table1[[#This Row],[Date]],"mmm")</f>
        <v>May</v>
      </c>
      <c r="P1640">
        <f>MONTH(Table1[[#This Row],[Date]])</f>
        <v>5</v>
      </c>
    </row>
    <row r="1641" spans="1:16" x14ac:dyDescent="0.25">
      <c r="A1641" t="s">
        <v>1660</v>
      </c>
      <c r="B1641" t="s">
        <v>31</v>
      </c>
      <c r="C1641" t="s">
        <v>10</v>
      </c>
      <c r="D1641" s="1">
        <v>45657</v>
      </c>
      <c r="E1641">
        <v>132283</v>
      </c>
      <c r="F1641">
        <v>3570</v>
      </c>
      <c r="G1641">
        <v>301</v>
      </c>
      <c r="H1641" s="4">
        <v>3037.21</v>
      </c>
      <c r="I1641" s="4">
        <v>26055.42</v>
      </c>
      <c r="J1641" s="7">
        <f>Table1[[#This Row],[Clicks]]/Table1[[#This Row],[Impressions]]</f>
        <v>2.6987594777862611E-2</v>
      </c>
      <c r="K1641" s="7">
        <f>IFERROR(Table1[[#This Row],[Conversions]]/Table1[[#This Row],[Clicks]],0)</f>
        <v>8.4313725490196084E-2</v>
      </c>
      <c r="L1641" s="6">
        <f>IF(Table1[[#This Row],[Conversions]]=0,0,Table1[[#This Row],[Ad Spend]]/Table1[[#This Row],[Conversions]])</f>
        <v>10.090398671096345</v>
      </c>
      <c r="M1641" s="8">
        <f>IF(Table1[[#This Row],[Ad Spend]]=0,0,Table1[[#This Row],[Revenue]]/Table1[[#This Row],[Ad Spend]])</f>
        <v>8.5787350891113885</v>
      </c>
      <c r="N1641">
        <f>YEAR(Table1[[#This Row],[Date]])</f>
        <v>2024</v>
      </c>
      <c r="O1641" t="str">
        <f>TEXT(Table1[[#This Row],[Date]],"mmm")</f>
        <v>Dec</v>
      </c>
      <c r="P1641">
        <f>MONTH(Table1[[#This Row],[Date]])</f>
        <v>12</v>
      </c>
    </row>
    <row r="1642" spans="1:16" x14ac:dyDescent="0.25">
      <c r="A1642" t="s">
        <v>1661</v>
      </c>
      <c r="B1642" t="s">
        <v>9</v>
      </c>
      <c r="C1642" t="s">
        <v>17</v>
      </c>
      <c r="D1642" s="1">
        <v>45579</v>
      </c>
      <c r="E1642">
        <v>103519</v>
      </c>
      <c r="F1642">
        <v>5431</v>
      </c>
      <c r="G1642">
        <v>723</v>
      </c>
      <c r="H1642" s="4">
        <v>3404.27</v>
      </c>
      <c r="I1642" s="4">
        <v>17503.919999999998</v>
      </c>
      <c r="J1642" s="7">
        <f>Table1[[#This Row],[Clicks]]/Table1[[#This Row],[Impressions]]</f>
        <v>5.2463798916140995E-2</v>
      </c>
      <c r="K1642" s="7">
        <f>IFERROR(Table1[[#This Row],[Conversions]]/Table1[[#This Row],[Clicks]],0)</f>
        <v>0.13312465475971277</v>
      </c>
      <c r="L1642" s="6">
        <f>IF(Table1[[#This Row],[Conversions]]=0,0,Table1[[#This Row],[Ad Spend]]/Table1[[#This Row],[Conversions]])</f>
        <v>4.7085338865836794</v>
      </c>
      <c r="M1642" s="8">
        <f>IF(Table1[[#This Row],[Ad Spend]]=0,0,Table1[[#This Row],[Revenue]]/Table1[[#This Row],[Ad Spend]])</f>
        <v>5.1417543261844676</v>
      </c>
      <c r="N1642">
        <f>YEAR(Table1[[#This Row],[Date]])</f>
        <v>2024</v>
      </c>
      <c r="O1642" t="str">
        <f>TEXT(Table1[[#This Row],[Date]],"mmm")</f>
        <v>Oct</v>
      </c>
      <c r="P1642">
        <f>MONTH(Table1[[#This Row],[Date]])</f>
        <v>10</v>
      </c>
    </row>
    <row r="1643" spans="1:16" x14ac:dyDescent="0.25">
      <c r="A1643" t="s">
        <v>1662</v>
      </c>
      <c r="B1643" t="s">
        <v>9</v>
      </c>
      <c r="C1643" t="s">
        <v>12</v>
      </c>
      <c r="D1643" s="1">
        <v>45698</v>
      </c>
      <c r="E1643">
        <v>30841</v>
      </c>
      <c r="F1643">
        <v>1551</v>
      </c>
      <c r="G1643">
        <v>54</v>
      </c>
      <c r="H1643" s="4">
        <v>3867.35</v>
      </c>
      <c r="I1643" s="4">
        <v>3027.78</v>
      </c>
      <c r="J1643" s="7">
        <f>Table1[[#This Row],[Clicks]]/Table1[[#This Row],[Impressions]]</f>
        <v>5.0290198112901655E-2</v>
      </c>
      <c r="K1643" s="7">
        <f>IFERROR(Table1[[#This Row],[Conversions]]/Table1[[#This Row],[Clicks]],0)</f>
        <v>3.4816247582205029E-2</v>
      </c>
      <c r="L1643" s="6">
        <f>IF(Table1[[#This Row],[Conversions]]=0,0,Table1[[#This Row],[Ad Spend]]/Table1[[#This Row],[Conversions]])</f>
        <v>71.617592592592587</v>
      </c>
      <c r="M1643" s="8">
        <f>IF(Table1[[#This Row],[Ad Spend]]=0,0,Table1[[#This Row],[Revenue]]/Table1[[#This Row],[Ad Spend]])</f>
        <v>0.78290819294865999</v>
      </c>
      <c r="N1643">
        <f>YEAR(Table1[[#This Row],[Date]])</f>
        <v>2025</v>
      </c>
      <c r="O1643" t="str">
        <f>TEXT(Table1[[#This Row],[Date]],"mmm")</f>
        <v>Feb</v>
      </c>
      <c r="P1643">
        <f>MONTH(Table1[[#This Row],[Date]])</f>
        <v>2</v>
      </c>
    </row>
    <row r="1644" spans="1:16" x14ac:dyDescent="0.25">
      <c r="A1644" t="s">
        <v>1663</v>
      </c>
      <c r="B1644" t="s">
        <v>21</v>
      </c>
      <c r="C1644" t="s">
        <v>17</v>
      </c>
      <c r="D1644" s="1">
        <v>45659</v>
      </c>
      <c r="E1644">
        <v>15450</v>
      </c>
      <c r="F1644">
        <v>530</v>
      </c>
      <c r="G1644">
        <v>64</v>
      </c>
      <c r="H1644" s="4">
        <v>4290.72</v>
      </c>
      <c r="I1644" s="4">
        <v>4949.41</v>
      </c>
      <c r="J1644" s="7">
        <f>Table1[[#This Row],[Clicks]]/Table1[[#This Row],[Impressions]]</f>
        <v>3.4304207119741102E-2</v>
      </c>
      <c r="K1644" s="7">
        <f>IFERROR(Table1[[#This Row],[Conversions]]/Table1[[#This Row],[Clicks]],0)</f>
        <v>0.12075471698113208</v>
      </c>
      <c r="L1644" s="6">
        <f>IF(Table1[[#This Row],[Conversions]]=0,0,Table1[[#This Row],[Ad Spend]]/Table1[[#This Row],[Conversions]])</f>
        <v>67.042500000000004</v>
      </c>
      <c r="M1644" s="8">
        <f>IF(Table1[[#This Row],[Ad Spend]]=0,0,Table1[[#This Row],[Revenue]]/Table1[[#This Row],[Ad Spend]])</f>
        <v>1.1535150277808852</v>
      </c>
      <c r="N1644">
        <f>YEAR(Table1[[#This Row],[Date]])</f>
        <v>2025</v>
      </c>
      <c r="O1644" t="str">
        <f>TEXT(Table1[[#This Row],[Date]],"mmm")</f>
        <v>Jan</v>
      </c>
      <c r="P1644">
        <f>MONTH(Table1[[#This Row],[Date]])</f>
        <v>1</v>
      </c>
    </row>
    <row r="1645" spans="1:16" x14ac:dyDescent="0.25">
      <c r="A1645" t="s">
        <v>1664</v>
      </c>
      <c r="B1645" t="s">
        <v>31</v>
      </c>
      <c r="C1645" t="s">
        <v>17</v>
      </c>
      <c r="D1645" s="1">
        <v>45708</v>
      </c>
      <c r="E1645">
        <v>118193</v>
      </c>
      <c r="F1645">
        <v>6717</v>
      </c>
      <c r="G1645">
        <v>156</v>
      </c>
      <c r="H1645" s="4">
        <v>2921.26</v>
      </c>
      <c r="I1645" s="4">
        <v>3496.65</v>
      </c>
      <c r="J1645" s="7">
        <f>Table1[[#This Row],[Clicks]]/Table1[[#This Row],[Impressions]]</f>
        <v>5.6830776780350784E-2</v>
      </c>
      <c r="K1645" s="7">
        <f>IFERROR(Table1[[#This Row],[Conversions]]/Table1[[#This Row],[Clicks]],0)</f>
        <v>2.3224653863331845E-2</v>
      </c>
      <c r="L1645" s="6">
        <f>IF(Table1[[#This Row],[Conversions]]=0,0,Table1[[#This Row],[Ad Spend]]/Table1[[#This Row],[Conversions]])</f>
        <v>18.726025641025643</v>
      </c>
      <c r="M1645" s="8">
        <f>IF(Table1[[#This Row],[Ad Spend]]=0,0,Table1[[#This Row],[Revenue]]/Table1[[#This Row],[Ad Spend]])</f>
        <v>1.1969663775220281</v>
      </c>
      <c r="N1645">
        <f>YEAR(Table1[[#This Row],[Date]])</f>
        <v>2025</v>
      </c>
      <c r="O1645" t="str">
        <f>TEXT(Table1[[#This Row],[Date]],"mmm")</f>
        <v>Feb</v>
      </c>
      <c r="P1645">
        <f>MONTH(Table1[[#This Row],[Date]])</f>
        <v>2</v>
      </c>
    </row>
    <row r="1646" spans="1:16" x14ac:dyDescent="0.25">
      <c r="A1646" t="s">
        <v>1665</v>
      </c>
      <c r="B1646" t="s">
        <v>47</v>
      </c>
      <c r="C1646" t="s">
        <v>10</v>
      </c>
      <c r="D1646" s="1">
        <v>45441</v>
      </c>
      <c r="E1646">
        <v>113041</v>
      </c>
      <c r="F1646">
        <v>7475</v>
      </c>
      <c r="G1646">
        <v>857</v>
      </c>
      <c r="H1646" s="4">
        <v>4277.26</v>
      </c>
      <c r="I1646" s="4">
        <v>38866.17</v>
      </c>
      <c r="J1646" s="7">
        <f>Table1[[#This Row],[Clicks]]/Table1[[#This Row],[Impressions]]</f>
        <v>6.6126449695243325E-2</v>
      </c>
      <c r="K1646" s="7">
        <f>IFERROR(Table1[[#This Row],[Conversions]]/Table1[[#This Row],[Clicks]],0)</f>
        <v>0.11464882943143813</v>
      </c>
      <c r="L1646" s="6">
        <f>IF(Table1[[#This Row],[Conversions]]=0,0,Table1[[#This Row],[Ad Spend]]/Table1[[#This Row],[Conversions]])</f>
        <v>4.9909684947491249</v>
      </c>
      <c r="M1646" s="8">
        <f>IF(Table1[[#This Row],[Ad Spend]]=0,0,Table1[[#This Row],[Revenue]]/Table1[[#This Row],[Ad Spend]])</f>
        <v>9.0866980263065606</v>
      </c>
      <c r="N1646">
        <f>YEAR(Table1[[#This Row],[Date]])</f>
        <v>2024</v>
      </c>
      <c r="O1646" t="str">
        <f>TEXT(Table1[[#This Row],[Date]],"mmm")</f>
        <v>May</v>
      </c>
      <c r="P1646">
        <f>MONTH(Table1[[#This Row],[Date]])</f>
        <v>5</v>
      </c>
    </row>
    <row r="1647" spans="1:16" x14ac:dyDescent="0.25">
      <c r="A1647" t="s">
        <v>1666</v>
      </c>
      <c r="B1647" t="s">
        <v>47</v>
      </c>
      <c r="C1647" t="s">
        <v>19</v>
      </c>
      <c r="D1647" s="1">
        <v>45419</v>
      </c>
      <c r="E1647">
        <v>77517</v>
      </c>
      <c r="F1647">
        <v>3195</v>
      </c>
      <c r="G1647">
        <v>83</v>
      </c>
      <c r="H1647" s="4">
        <v>2399.38</v>
      </c>
      <c r="I1647" s="4">
        <v>9885.1</v>
      </c>
      <c r="J1647" s="7">
        <f>Table1[[#This Row],[Clicks]]/Table1[[#This Row],[Impressions]]</f>
        <v>4.1216765354696386E-2</v>
      </c>
      <c r="K1647" s="7">
        <f>IFERROR(Table1[[#This Row],[Conversions]]/Table1[[#This Row],[Clicks]],0)</f>
        <v>2.5978090766823163E-2</v>
      </c>
      <c r="L1647" s="6">
        <f>IF(Table1[[#This Row],[Conversions]]=0,0,Table1[[#This Row],[Ad Spend]]/Table1[[#This Row],[Conversions]])</f>
        <v>28.908192771084337</v>
      </c>
      <c r="M1647" s="8">
        <f>IF(Table1[[#This Row],[Ad Spend]]=0,0,Table1[[#This Row],[Revenue]]/Table1[[#This Row],[Ad Spend]])</f>
        <v>4.1198559627903872</v>
      </c>
      <c r="N1647">
        <f>YEAR(Table1[[#This Row],[Date]])</f>
        <v>2024</v>
      </c>
      <c r="O1647" t="str">
        <f>TEXT(Table1[[#This Row],[Date]],"mmm")</f>
        <v>May</v>
      </c>
      <c r="P1647">
        <f>MONTH(Table1[[#This Row],[Date]])</f>
        <v>5</v>
      </c>
    </row>
    <row r="1648" spans="1:16" x14ac:dyDescent="0.25">
      <c r="A1648" t="s">
        <v>1667</v>
      </c>
      <c r="B1648" t="s">
        <v>34</v>
      </c>
      <c r="C1648" t="s">
        <v>37</v>
      </c>
      <c r="D1648" s="1">
        <v>45399</v>
      </c>
      <c r="E1648">
        <v>148465</v>
      </c>
      <c r="F1648">
        <v>8222</v>
      </c>
      <c r="G1648">
        <v>956</v>
      </c>
      <c r="H1648" s="4">
        <v>3815.93</v>
      </c>
      <c r="I1648" s="4">
        <v>93780.56</v>
      </c>
      <c r="J1648" s="7">
        <f>Table1[[#This Row],[Clicks]]/Table1[[#This Row],[Impressions]]</f>
        <v>5.5380055905432254E-2</v>
      </c>
      <c r="K1648" s="7">
        <f>IFERROR(Table1[[#This Row],[Conversions]]/Table1[[#This Row],[Clicks]],0)</f>
        <v>0.1162734127949404</v>
      </c>
      <c r="L1648" s="6">
        <f>IF(Table1[[#This Row],[Conversions]]=0,0,Table1[[#This Row],[Ad Spend]]/Table1[[#This Row],[Conversions]])</f>
        <v>3.9915585774058577</v>
      </c>
      <c r="M1648" s="8">
        <f>IF(Table1[[#This Row],[Ad Spend]]=0,0,Table1[[#This Row],[Revenue]]/Table1[[#This Row],[Ad Spend]])</f>
        <v>24.576069267518012</v>
      </c>
      <c r="N1648">
        <f>YEAR(Table1[[#This Row],[Date]])</f>
        <v>2024</v>
      </c>
      <c r="O1648" t="str">
        <f>TEXT(Table1[[#This Row],[Date]],"mmm")</f>
        <v>Apr</v>
      </c>
      <c r="P1648">
        <f>MONTH(Table1[[#This Row],[Date]])</f>
        <v>4</v>
      </c>
    </row>
    <row r="1649" spans="1:16" x14ac:dyDescent="0.25">
      <c r="A1649" t="s">
        <v>1668</v>
      </c>
      <c r="B1649" t="s">
        <v>16</v>
      </c>
      <c r="C1649" t="s">
        <v>17</v>
      </c>
      <c r="D1649" s="1">
        <v>45337</v>
      </c>
      <c r="E1649">
        <v>92494</v>
      </c>
      <c r="F1649">
        <v>3202</v>
      </c>
      <c r="G1649">
        <v>288</v>
      </c>
      <c r="H1649" s="4">
        <v>4064.75</v>
      </c>
      <c r="I1649" s="4">
        <v>33578.019999999997</v>
      </c>
      <c r="J1649" s="7">
        <f>Table1[[#This Row],[Clicks]]/Table1[[#This Row],[Impressions]]</f>
        <v>3.4618461738058687E-2</v>
      </c>
      <c r="K1649" s="7">
        <f>IFERROR(Table1[[#This Row],[Conversions]]/Table1[[#This Row],[Clicks]],0)</f>
        <v>8.9943785134291063E-2</v>
      </c>
      <c r="L1649" s="6">
        <f>IF(Table1[[#This Row],[Conversions]]=0,0,Table1[[#This Row],[Ad Spend]]/Table1[[#This Row],[Conversions]])</f>
        <v>14.113715277777779</v>
      </c>
      <c r="M1649" s="8">
        <f>IF(Table1[[#This Row],[Ad Spend]]=0,0,Table1[[#This Row],[Revenue]]/Table1[[#This Row],[Ad Spend]])</f>
        <v>8.2607835660249709</v>
      </c>
      <c r="N1649">
        <f>YEAR(Table1[[#This Row],[Date]])</f>
        <v>2024</v>
      </c>
      <c r="O1649" t="str">
        <f>TEXT(Table1[[#This Row],[Date]],"mmm")</f>
        <v>Feb</v>
      </c>
      <c r="P1649">
        <f>MONTH(Table1[[#This Row],[Date]])</f>
        <v>2</v>
      </c>
    </row>
    <row r="1650" spans="1:16" x14ac:dyDescent="0.25">
      <c r="A1650" t="s">
        <v>1669</v>
      </c>
      <c r="B1650" t="s">
        <v>47</v>
      </c>
      <c r="C1650" t="s">
        <v>19</v>
      </c>
      <c r="D1650" s="1">
        <v>45343</v>
      </c>
      <c r="E1650">
        <v>28706</v>
      </c>
      <c r="F1650">
        <v>1571</v>
      </c>
      <c r="G1650">
        <v>95</v>
      </c>
      <c r="H1650" s="4">
        <v>2586.52</v>
      </c>
      <c r="I1650" s="4">
        <v>3668.83</v>
      </c>
      <c r="J1650" s="7">
        <f>Table1[[#This Row],[Clicks]]/Table1[[#This Row],[Impressions]]</f>
        <v>5.4727234724447849E-2</v>
      </c>
      <c r="K1650" s="7">
        <f>IFERROR(Table1[[#This Row],[Conversions]]/Table1[[#This Row],[Clicks]],0)</f>
        <v>6.0471037555697008E-2</v>
      </c>
      <c r="L1650" s="6">
        <f>IF(Table1[[#This Row],[Conversions]]=0,0,Table1[[#This Row],[Ad Spend]]/Table1[[#This Row],[Conversions]])</f>
        <v>27.226526315789474</v>
      </c>
      <c r="M1650" s="8">
        <f>IF(Table1[[#This Row],[Ad Spend]]=0,0,Table1[[#This Row],[Revenue]]/Table1[[#This Row],[Ad Spend]])</f>
        <v>1.4184425405564234</v>
      </c>
      <c r="N1650">
        <f>YEAR(Table1[[#This Row],[Date]])</f>
        <v>2024</v>
      </c>
      <c r="O1650" t="str">
        <f>TEXT(Table1[[#This Row],[Date]],"mmm")</f>
        <v>Feb</v>
      </c>
      <c r="P1650">
        <f>MONTH(Table1[[#This Row],[Date]])</f>
        <v>2</v>
      </c>
    </row>
    <row r="1651" spans="1:16" x14ac:dyDescent="0.25">
      <c r="A1651" t="s">
        <v>1670</v>
      </c>
      <c r="B1651" t="s">
        <v>21</v>
      </c>
      <c r="C1651" t="s">
        <v>37</v>
      </c>
      <c r="D1651" s="1">
        <v>45427</v>
      </c>
      <c r="E1651">
        <v>132255</v>
      </c>
      <c r="F1651">
        <v>4568</v>
      </c>
      <c r="G1651">
        <v>569</v>
      </c>
      <c r="H1651" s="4">
        <v>4499.75</v>
      </c>
      <c r="I1651" s="4">
        <v>54326.46</v>
      </c>
      <c r="J1651" s="7">
        <f>Table1[[#This Row],[Clicks]]/Table1[[#This Row],[Impressions]]</f>
        <v>3.453933688707421E-2</v>
      </c>
      <c r="K1651" s="7">
        <f>IFERROR(Table1[[#This Row],[Conversions]]/Table1[[#This Row],[Clicks]],0)</f>
        <v>0.12456217162872155</v>
      </c>
      <c r="L1651" s="6">
        <f>IF(Table1[[#This Row],[Conversions]]=0,0,Table1[[#This Row],[Ad Spend]]/Table1[[#This Row],[Conversions]])</f>
        <v>7.9081722319859402</v>
      </c>
      <c r="M1651" s="8">
        <f>IF(Table1[[#This Row],[Ad Spend]]=0,0,Table1[[#This Row],[Revenue]]/Table1[[#This Row],[Ad Spend]])</f>
        <v>12.073217400966721</v>
      </c>
      <c r="N1651">
        <f>YEAR(Table1[[#This Row],[Date]])</f>
        <v>2024</v>
      </c>
      <c r="O1651" t="str">
        <f>TEXT(Table1[[#This Row],[Date]],"mmm")</f>
        <v>May</v>
      </c>
      <c r="P1651">
        <f>MONTH(Table1[[#This Row],[Date]])</f>
        <v>5</v>
      </c>
    </row>
    <row r="1652" spans="1:16" x14ac:dyDescent="0.25">
      <c r="A1652" t="s">
        <v>1671</v>
      </c>
      <c r="B1652" t="s">
        <v>16</v>
      </c>
      <c r="C1652" t="s">
        <v>19</v>
      </c>
      <c r="D1652" s="1">
        <v>45300</v>
      </c>
      <c r="E1652">
        <v>34223</v>
      </c>
      <c r="F1652">
        <v>796</v>
      </c>
      <c r="G1652">
        <v>48</v>
      </c>
      <c r="H1652" s="4">
        <v>2629.37</v>
      </c>
      <c r="I1652" s="4">
        <v>4043.08</v>
      </c>
      <c r="J1652" s="7">
        <f>Table1[[#This Row],[Clicks]]/Table1[[#This Row],[Impressions]]</f>
        <v>2.3259211641293867E-2</v>
      </c>
      <c r="K1652" s="7">
        <f>IFERROR(Table1[[#This Row],[Conversions]]/Table1[[#This Row],[Clicks]],0)</f>
        <v>6.030150753768844E-2</v>
      </c>
      <c r="L1652" s="6">
        <f>IF(Table1[[#This Row],[Conversions]]=0,0,Table1[[#This Row],[Ad Spend]]/Table1[[#This Row],[Conversions]])</f>
        <v>54.778541666666662</v>
      </c>
      <c r="M1652" s="8">
        <f>IF(Table1[[#This Row],[Ad Spend]]=0,0,Table1[[#This Row],[Revenue]]/Table1[[#This Row],[Ad Spend]])</f>
        <v>1.5376611127380324</v>
      </c>
      <c r="N1652">
        <f>YEAR(Table1[[#This Row],[Date]])</f>
        <v>2024</v>
      </c>
      <c r="O1652" t="str">
        <f>TEXT(Table1[[#This Row],[Date]],"mmm")</f>
        <v>Jan</v>
      </c>
      <c r="P1652">
        <f>MONTH(Table1[[#This Row],[Date]])</f>
        <v>1</v>
      </c>
    </row>
    <row r="1653" spans="1:16" x14ac:dyDescent="0.25">
      <c r="A1653" t="s">
        <v>1672</v>
      </c>
      <c r="B1653" t="s">
        <v>34</v>
      </c>
      <c r="C1653" t="s">
        <v>12</v>
      </c>
      <c r="D1653" s="1">
        <v>45567</v>
      </c>
      <c r="E1653">
        <v>51637</v>
      </c>
      <c r="F1653">
        <v>1954</v>
      </c>
      <c r="G1653">
        <v>215</v>
      </c>
      <c r="H1653" s="4">
        <v>1153.3699999999999</v>
      </c>
      <c r="I1653" s="4">
        <v>6246.66</v>
      </c>
      <c r="J1653" s="7">
        <f>Table1[[#This Row],[Clicks]]/Table1[[#This Row],[Impressions]]</f>
        <v>3.7841082944400334E-2</v>
      </c>
      <c r="K1653" s="7">
        <f>IFERROR(Table1[[#This Row],[Conversions]]/Table1[[#This Row],[Clicks]],0)</f>
        <v>0.11003070624360287</v>
      </c>
      <c r="L1653" s="6">
        <f>IF(Table1[[#This Row],[Conversions]]=0,0,Table1[[#This Row],[Ad Spend]]/Table1[[#This Row],[Conversions]])</f>
        <v>5.3645116279069764</v>
      </c>
      <c r="M1653" s="8">
        <f>IF(Table1[[#This Row],[Ad Spend]]=0,0,Table1[[#This Row],[Revenue]]/Table1[[#This Row],[Ad Spend]])</f>
        <v>5.4160070055576268</v>
      </c>
      <c r="N1653">
        <f>YEAR(Table1[[#This Row],[Date]])</f>
        <v>2024</v>
      </c>
      <c r="O1653" t="str">
        <f>TEXT(Table1[[#This Row],[Date]],"mmm")</f>
        <v>Oct</v>
      </c>
      <c r="P1653">
        <f>MONTH(Table1[[#This Row],[Date]])</f>
        <v>10</v>
      </c>
    </row>
    <row r="1654" spans="1:16" x14ac:dyDescent="0.25">
      <c r="A1654" t="s">
        <v>1673</v>
      </c>
      <c r="B1654" t="s">
        <v>21</v>
      </c>
      <c r="C1654" t="s">
        <v>19</v>
      </c>
      <c r="D1654" s="1">
        <v>45366</v>
      </c>
      <c r="E1654">
        <v>94171</v>
      </c>
      <c r="F1654">
        <v>4454</v>
      </c>
      <c r="G1654">
        <v>318</v>
      </c>
      <c r="H1654" s="4">
        <v>4622.04</v>
      </c>
      <c r="I1654" s="4">
        <v>9655.31</v>
      </c>
      <c r="J1654" s="7">
        <f>Table1[[#This Row],[Clicks]]/Table1[[#This Row],[Impressions]]</f>
        <v>4.7296938547960625E-2</v>
      </c>
      <c r="K1654" s="7">
        <f>IFERROR(Table1[[#This Row],[Conversions]]/Table1[[#This Row],[Clicks]],0)</f>
        <v>7.1396497530309827E-2</v>
      </c>
      <c r="L1654" s="6">
        <f>IF(Table1[[#This Row],[Conversions]]=0,0,Table1[[#This Row],[Ad Spend]]/Table1[[#This Row],[Conversions]])</f>
        <v>14.534716981132075</v>
      </c>
      <c r="M1654" s="8">
        <f>IF(Table1[[#This Row],[Ad Spend]]=0,0,Table1[[#This Row],[Revenue]]/Table1[[#This Row],[Ad Spend]])</f>
        <v>2.0889715363778762</v>
      </c>
      <c r="N1654">
        <f>YEAR(Table1[[#This Row],[Date]])</f>
        <v>2024</v>
      </c>
      <c r="O1654" t="str">
        <f>TEXT(Table1[[#This Row],[Date]],"mmm")</f>
        <v>Mar</v>
      </c>
      <c r="P1654">
        <f>MONTH(Table1[[#This Row],[Date]])</f>
        <v>3</v>
      </c>
    </row>
    <row r="1655" spans="1:16" x14ac:dyDescent="0.25">
      <c r="A1655" t="s">
        <v>1674</v>
      </c>
      <c r="B1655" t="s">
        <v>34</v>
      </c>
      <c r="C1655" t="s">
        <v>12</v>
      </c>
      <c r="D1655" s="1">
        <v>45583</v>
      </c>
      <c r="E1655">
        <v>26551</v>
      </c>
      <c r="F1655">
        <v>867</v>
      </c>
      <c r="G1655">
        <v>42</v>
      </c>
      <c r="H1655" s="4">
        <v>4165.4399999999996</v>
      </c>
      <c r="I1655" s="4">
        <v>1872.8</v>
      </c>
      <c r="J1655" s="7">
        <f>Table1[[#This Row],[Clicks]]/Table1[[#This Row],[Impressions]]</f>
        <v>3.2654137320628225E-2</v>
      </c>
      <c r="K1655" s="7">
        <f>IFERROR(Table1[[#This Row],[Conversions]]/Table1[[#This Row],[Clicks]],0)</f>
        <v>4.8442906574394463E-2</v>
      </c>
      <c r="L1655" s="6">
        <f>IF(Table1[[#This Row],[Conversions]]=0,0,Table1[[#This Row],[Ad Spend]]/Table1[[#This Row],[Conversions]])</f>
        <v>99.177142857142854</v>
      </c>
      <c r="M1655" s="8">
        <f>IF(Table1[[#This Row],[Ad Spend]]=0,0,Table1[[#This Row],[Revenue]]/Table1[[#This Row],[Ad Spend]])</f>
        <v>0.44960436352462169</v>
      </c>
      <c r="N1655">
        <f>YEAR(Table1[[#This Row],[Date]])</f>
        <v>2024</v>
      </c>
      <c r="O1655" t="str">
        <f>TEXT(Table1[[#This Row],[Date]],"mmm")</f>
        <v>Oct</v>
      </c>
      <c r="P1655">
        <f>MONTH(Table1[[#This Row],[Date]])</f>
        <v>10</v>
      </c>
    </row>
    <row r="1656" spans="1:16" x14ac:dyDescent="0.25">
      <c r="A1656" t="s">
        <v>1675</v>
      </c>
      <c r="B1656" t="s">
        <v>16</v>
      </c>
      <c r="C1656" t="s">
        <v>19</v>
      </c>
      <c r="D1656" s="1">
        <v>45305</v>
      </c>
      <c r="E1656">
        <v>134628</v>
      </c>
      <c r="F1656">
        <v>3461</v>
      </c>
      <c r="G1656">
        <v>381</v>
      </c>
      <c r="H1656" s="4">
        <v>1251.08</v>
      </c>
      <c r="I1656" s="4">
        <v>40962.68</v>
      </c>
      <c r="J1656" s="7">
        <f>Table1[[#This Row],[Clicks]]/Table1[[#This Row],[Impressions]]</f>
        <v>2.5707876519000507E-2</v>
      </c>
      <c r="K1656" s="7">
        <f>IFERROR(Table1[[#This Row],[Conversions]]/Table1[[#This Row],[Clicks]],0)</f>
        <v>0.11008379081190407</v>
      </c>
      <c r="L1656" s="6">
        <f>IF(Table1[[#This Row],[Conversions]]=0,0,Table1[[#This Row],[Ad Spend]]/Table1[[#This Row],[Conversions]])</f>
        <v>3.2836745406824144</v>
      </c>
      <c r="M1656" s="8">
        <f>IF(Table1[[#This Row],[Ad Spend]]=0,0,Table1[[#This Row],[Revenue]]/Table1[[#This Row],[Ad Spend]])</f>
        <v>32.741855037247817</v>
      </c>
      <c r="N1656">
        <f>YEAR(Table1[[#This Row],[Date]])</f>
        <v>2024</v>
      </c>
      <c r="O1656" t="str">
        <f>TEXT(Table1[[#This Row],[Date]],"mmm")</f>
        <v>Jan</v>
      </c>
      <c r="P1656">
        <f>MONTH(Table1[[#This Row],[Date]])</f>
        <v>1</v>
      </c>
    </row>
    <row r="1657" spans="1:16" x14ac:dyDescent="0.25">
      <c r="A1657" t="s">
        <v>1676</v>
      </c>
      <c r="B1657" t="s">
        <v>41</v>
      </c>
      <c r="C1657" t="s">
        <v>37</v>
      </c>
      <c r="D1657" s="1">
        <v>45366</v>
      </c>
      <c r="E1657">
        <v>8255</v>
      </c>
      <c r="F1657">
        <v>254</v>
      </c>
      <c r="G1657">
        <v>36</v>
      </c>
      <c r="H1657" s="4">
        <v>4316.1499999999996</v>
      </c>
      <c r="I1657" s="4">
        <v>2459.7800000000002</v>
      </c>
      <c r="J1657" s="7">
        <f>Table1[[#This Row],[Clicks]]/Table1[[#This Row],[Impressions]]</f>
        <v>3.0769230769230771E-2</v>
      </c>
      <c r="K1657" s="7">
        <f>IFERROR(Table1[[#This Row],[Conversions]]/Table1[[#This Row],[Clicks]],0)</f>
        <v>0.14173228346456693</v>
      </c>
      <c r="L1657" s="6">
        <f>IF(Table1[[#This Row],[Conversions]]=0,0,Table1[[#This Row],[Ad Spend]]/Table1[[#This Row],[Conversions]])</f>
        <v>119.89305555555555</v>
      </c>
      <c r="M1657" s="8">
        <f>IF(Table1[[#This Row],[Ad Spend]]=0,0,Table1[[#This Row],[Revenue]]/Table1[[#This Row],[Ad Spend]])</f>
        <v>0.56990141677189166</v>
      </c>
      <c r="N1657">
        <f>YEAR(Table1[[#This Row],[Date]])</f>
        <v>2024</v>
      </c>
      <c r="O1657" t="str">
        <f>TEXT(Table1[[#This Row],[Date]],"mmm")</f>
        <v>Mar</v>
      </c>
      <c r="P1657">
        <f>MONTH(Table1[[#This Row],[Date]])</f>
        <v>3</v>
      </c>
    </row>
    <row r="1658" spans="1:16" x14ac:dyDescent="0.25">
      <c r="A1658" t="s">
        <v>1677</v>
      </c>
      <c r="B1658" t="s">
        <v>41</v>
      </c>
      <c r="C1658" t="s">
        <v>17</v>
      </c>
      <c r="D1658" s="1">
        <v>45576</v>
      </c>
      <c r="E1658">
        <v>149500</v>
      </c>
      <c r="F1658">
        <v>11942</v>
      </c>
      <c r="G1658">
        <v>537</v>
      </c>
      <c r="H1658" s="4">
        <v>1093.08</v>
      </c>
      <c r="I1658" s="4">
        <v>38587.279999999999</v>
      </c>
      <c r="J1658" s="7">
        <f>Table1[[#This Row],[Clicks]]/Table1[[#This Row],[Impressions]]</f>
        <v>7.9879598662207354E-2</v>
      </c>
      <c r="K1658" s="7">
        <f>IFERROR(Table1[[#This Row],[Conversions]]/Table1[[#This Row],[Clicks]],0)</f>
        <v>4.4967342153743095E-2</v>
      </c>
      <c r="L1658" s="6">
        <f>IF(Table1[[#This Row],[Conversions]]=0,0,Table1[[#This Row],[Ad Spend]]/Table1[[#This Row],[Conversions]])</f>
        <v>2.0355307262569831</v>
      </c>
      <c r="M1658" s="8">
        <f>IF(Table1[[#This Row],[Ad Spend]]=0,0,Table1[[#This Row],[Revenue]]/Table1[[#This Row],[Ad Spend]])</f>
        <v>35.301423500567203</v>
      </c>
      <c r="N1658">
        <f>YEAR(Table1[[#This Row],[Date]])</f>
        <v>2024</v>
      </c>
      <c r="O1658" t="str">
        <f>TEXT(Table1[[#This Row],[Date]],"mmm")</f>
        <v>Oct</v>
      </c>
      <c r="P1658">
        <f>MONTH(Table1[[#This Row],[Date]])</f>
        <v>10</v>
      </c>
    </row>
    <row r="1659" spans="1:16" x14ac:dyDescent="0.25">
      <c r="A1659" t="s">
        <v>1678</v>
      </c>
      <c r="B1659" t="s">
        <v>21</v>
      </c>
      <c r="C1659" t="s">
        <v>12</v>
      </c>
      <c r="D1659" s="1">
        <v>45490</v>
      </c>
      <c r="E1659">
        <v>73548</v>
      </c>
      <c r="F1659">
        <v>4374</v>
      </c>
      <c r="G1659">
        <v>645</v>
      </c>
      <c r="H1659" s="4">
        <v>4056.45</v>
      </c>
      <c r="I1659" s="4">
        <v>29899.45</v>
      </c>
      <c r="J1659" s="7">
        <f>Table1[[#This Row],[Clicks]]/Table1[[#This Row],[Impressions]]</f>
        <v>5.9471365638766517E-2</v>
      </c>
      <c r="K1659" s="7">
        <f>IFERROR(Table1[[#This Row],[Conversions]]/Table1[[#This Row],[Clicks]],0)</f>
        <v>0.14746227709190673</v>
      </c>
      <c r="L1659" s="6">
        <f>IF(Table1[[#This Row],[Conversions]]=0,0,Table1[[#This Row],[Ad Spend]]/Table1[[#This Row],[Conversions]])</f>
        <v>6.2890697674418599</v>
      </c>
      <c r="M1659" s="8">
        <f>IF(Table1[[#This Row],[Ad Spend]]=0,0,Table1[[#This Row],[Revenue]]/Table1[[#This Row],[Ad Spend]])</f>
        <v>7.3708414993405569</v>
      </c>
      <c r="N1659">
        <f>YEAR(Table1[[#This Row],[Date]])</f>
        <v>2024</v>
      </c>
      <c r="O1659" t="str">
        <f>TEXT(Table1[[#This Row],[Date]],"mmm")</f>
        <v>Jul</v>
      </c>
      <c r="P1659">
        <f>MONTH(Table1[[#This Row],[Date]])</f>
        <v>7</v>
      </c>
    </row>
    <row r="1660" spans="1:16" x14ac:dyDescent="0.25">
      <c r="A1660" t="s">
        <v>1679</v>
      </c>
      <c r="B1660" t="s">
        <v>47</v>
      </c>
      <c r="C1660" t="s">
        <v>19</v>
      </c>
      <c r="D1660" s="1">
        <v>45412</v>
      </c>
      <c r="E1660">
        <v>88926</v>
      </c>
      <c r="F1660">
        <v>4252</v>
      </c>
      <c r="G1660">
        <v>127</v>
      </c>
      <c r="H1660" s="4">
        <v>3527.36</v>
      </c>
      <c r="I1660" s="4">
        <v>6625.11</v>
      </c>
      <c r="J1660" s="7">
        <f>Table1[[#This Row],[Clicks]]/Table1[[#This Row],[Impressions]]</f>
        <v>4.781503722195983E-2</v>
      </c>
      <c r="K1660" s="7">
        <f>IFERROR(Table1[[#This Row],[Conversions]]/Table1[[#This Row],[Clicks]],0)</f>
        <v>2.9868297271872062E-2</v>
      </c>
      <c r="L1660" s="6">
        <f>IF(Table1[[#This Row],[Conversions]]=0,0,Table1[[#This Row],[Ad Spend]]/Table1[[#This Row],[Conversions]])</f>
        <v>27.774488188976378</v>
      </c>
      <c r="M1660" s="8">
        <f>IF(Table1[[#This Row],[Ad Spend]]=0,0,Table1[[#This Row],[Revenue]]/Table1[[#This Row],[Ad Spend]])</f>
        <v>1.8782063639662523</v>
      </c>
      <c r="N1660">
        <f>YEAR(Table1[[#This Row],[Date]])</f>
        <v>2024</v>
      </c>
      <c r="O1660" t="str">
        <f>TEXT(Table1[[#This Row],[Date]],"mmm")</f>
        <v>Apr</v>
      </c>
      <c r="P1660">
        <f>MONTH(Table1[[#This Row],[Date]])</f>
        <v>4</v>
      </c>
    </row>
    <row r="1661" spans="1:16" x14ac:dyDescent="0.25">
      <c r="A1661" t="s">
        <v>1680</v>
      </c>
      <c r="B1661" t="s">
        <v>14</v>
      </c>
      <c r="C1661" t="s">
        <v>12</v>
      </c>
      <c r="D1661" s="1">
        <v>45588</v>
      </c>
      <c r="E1661">
        <v>38754</v>
      </c>
      <c r="F1661">
        <v>649</v>
      </c>
      <c r="G1661">
        <v>90</v>
      </c>
      <c r="H1661" s="4">
        <v>4930.42</v>
      </c>
      <c r="I1661" s="4">
        <v>8175.19</v>
      </c>
      <c r="J1661" s="7">
        <f>Table1[[#This Row],[Clicks]]/Table1[[#This Row],[Impressions]]</f>
        <v>1.674665840945451E-2</v>
      </c>
      <c r="K1661" s="7">
        <f>IFERROR(Table1[[#This Row],[Conversions]]/Table1[[#This Row],[Clicks]],0)</f>
        <v>0.13867488443759629</v>
      </c>
      <c r="L1661" s="6">
        <f>IF(Table1[[#This Row],[Conversions]]=0,0,Table1[[#This Row],[Ad Spend]]/Table1[[#This Row],[Conversions]])</f>
        <v>54.782444444444444</v>
      </c>
      <c r="M1661" s="8">
        <f>IF(Table1[[#This Row],[Ad Spend]]=0,0,Table1[[#This Row],[Revenue]]/Table1[[#This Row],[Ad Spend]])</f>
        <v>1.6581122906364973</v>
      </c>
      <c r="N1661">
        <f>YEAR(Table1[[#This Row],[Date]])</f>
        <v>2024</v>
      </c>
      <c r="O1661" t="str">
        <f>TEXT(Table1[[#This Row],[Date]],"mmm")</f>
        <v>Oct</v>
      </c>
      <c r="P1661">
        <f>MONTH(Table1[[#This Row],[Date]])</f>
        <v>10</v>
      </c>
    </row>
    <row r="1662" spans="1:16" x14ac:dyDescent="0.25">
      <c r="A1662" t="s">
        <v>1681</v>
      </c>
      <c r="B1662" t="s">
        <v>47</v>
      </c>
      <c r="C1662" t="s">
        <v>10</v>
      </c>
      <c r="D1662" s="1">
        <v>45705</v>
      </c>
      <c r="E1662">
        <v>64722</v>
      </c>
      <c r="F1662">
        <v>3909</v>
      </c>
      <c r="G1662">
        <v>442</v>
      </c>
      <c r="H1662" s="4">
        <v>3295.84</v>
      </c>
      <c r="I1662" s="4">
        <v>33330.019999999997</v>
      </c>
      <c r="J1662" s="7">
        <f>Table1[[#This Row],[Clicks]]/Table1[[#This Row],[Impressions]]</f>
        <v>6.0396773894502639E-2</v>
      </c>
      <c r="K1662" s="7">
        <f>IFERROR(Table1[[#This Row],[Conversions]]/Table1[[#This Row],[Clicks]],0)</f>
        <v>0.11307239703248913</v>
      </c>
      <c r="L1662" s="6">
        <f>IF(Table1[[#This Row],[Conversions]]=0,0,Table1[[#This Row],[Ad Spend]]/Table1[[#This Row],[Conversions]])</f>
        <v>7.4566515837104079</v>
      </c>
      <c r="M1662" s="8">
        <f>IF(Table1[[#This Row],[Ad Spend]]=0,0,Table1[[#This Row],[Revenue]]/Table1[[#This Row],[Ad Spend]])</f>
        <v>10.112754259915528</v>
      </c>
      <c r="N1662">
        <f>YEAR(Table1[[#This Row],[Date]])</f>
        <v>2025</v>
      </c>
      <c r="O1662" t="str">
        <f>TEXT(Table1[[#This Row],[Date]],"mmm")</f>
        <v>Feb</v>
      </c>
      <c r="P1662">
        <f>MONTH(Table1[[#This Row],[Date]])</f>
        <v>2</v>
      </c>
    </row>
    <row r="1663" spans="1:16" x14ac:dyDescent="0.25">
      <c r="A1663" t="s">
        <v>1682</v>
      </c>
      <c r="B1663" t="s">
        <v>14</v>
      </c>
      <c r="C1663" t="s">
        <v>17</v>
      </c>
      <c r="D1663" s="1">
        <v>45429</v>
      </c>
      <c r="E1663">
        <v>18946</v>
      </c>
      <c r="F1663">
        <v>799</v>
      </c>
      <c r="G1663">
        <v>61</v>
      </c>
      <c r="H1663" s="4">
        <v>3037.1</v>
      </c>
      <c r="I1663" s="4">
        <v>1614.41</v>
      </c>
      <c r="J1663" s="7">
        <f>Table1[[#This Row],[Clicks]]/Table1[[#This Row],[Impressions]]</f>
        <v>4.2172490235405889E-2</v>
      </c>
      <c r="K1663" s="7">
        <f>IFERROR(Table1[[#This Row],[Conversions]]/Table1[[#This Row],[Clicks]],0)</f>
        <v>7.634543178973717E-2</v>
      </c>
      <c r="L1663" s="6">
        <f>IF(Table1[[#This Row],[Conversions]]=0,0,Table1[[#This Row],[Ad Spend]]/Table1[[#This Row],[Conversions]])</f>
        <v>49.788524590163931</v>
      </c>
      <c r="M1663" s="8">
        <f>IF(Table1[[#This Row],[Ad Spend]]=0,0,Table1[[#This Row],[Revenue]]/Table1[[#This Row],[Ad Spend]])</f>
        <v>0.53156300418162061</v>
      </c>
      <c r="N1663">
        <f>YEAR(Table1[[#This Row],[Date]])</f>
        <v>2024</v>
      </c>
      <c r="O1663" t="str">
        <f>TEXT(Table1[[#This Row],[Date]],"mmm")</f>
        <v>May</v>
      </c>
      <c r="P1663">
        <f>MONTH(Table1[[#This Row],[Date]])</f>
        <v>5</v>
      </c>
    </row>
    <row r="1664" spans="1:16" x14ac:dyDescent="0.25">
      <c r="A1664" t="s">
        <v>1683</v>
      </c>
      <c r="B1664" t="s">
        <v>16</v>
      </c>
      <c r="C1664" t="s">
        <v>10</v>
      </c>
      <c r="D1664" s="1">
        <v>45578</v>
      </c>
      <c r="E1664">
        <v>122563</v>
      </c>
      <c r="F1664">
        <v>6021</v>
      </c>
      <c r="G1664">
        <v>165</v>
      </c>
      <c r="H1664" s="4">
        <v>1868.49</v>
      </c>
      <c r="I1664" s="4">
        <v>17615.02</v>
      </c>
      <c r="J1664" s="7">
        <f>Table1[[#This Row],[Clicks]]/Table1[[#This Row],[Impressions]]</f>
        <v>4.9125755733785886E-2</v>
      </c>
      <c r="K1664" s="7">
        <f>IFERROR(Table1[[#This Row],[Conversions]]/Table1[[#This Row],[Clicks]],0)</f>
        <v>2.7404085700049825E-2</v>
      </c>
      <c r="L1664" s="6">
        <f>IF(Table1[[#This Row],[Conversions]]=0,0,Table1[[#This Row],[Ad Spend]]/Table1[[#This Row],[Conversions]])</f>
        <v>11.324181818181819</v>
      </c>
      <c r="M1664" s="8">
        <f>IF(Table1[[#This Row],[Ad Spend]]=0,0,Table1[[#This Row],[Revenue]]/Table1[[#This Row],[Ad Spend]])</f>
        <v>9.4274092984174391</v>
      </c>
      <c r="N1664">
        <f>YEAR(Table1[[#This Row],[Date]])</f>
        <v>2024</v>
      </c>
      <c r="O1664" t="str">
        <f>TEXT(Table1[[#This Row],[Date]],"mmm")</f>
        <v>Oct</v>
      </c>
      <c r="P1664">
        <f>MONTH(Table1[[#This Row],[Date]])</f>
        <v>10</v>
      </c>
    </row>
    <row r="1665" spans="1:16" x14ac:dyDescent="0.25">
      <c r="A1665" t="s">
        <v>1684</v>
      </c>
      <c r="B1665" t="s">
        <v>16</v>
      </c>
      <c r="C1665" t="s">
        <v>10</v>
      </c>
      <c r="D1665" s="1">
        <v>45641</v>
      </c>
      <c r="E1665">
        <v>97907</v>
      </c>
      <c r="F1665">
        <v>1427</v>
      </c>
      <c r="G1665">
        <v>161</v>
      </c>
      <c r="H1665" s="4">
        <v>2934.82</v>
      </c>
      <c r="I1665" s="4">
        <v>18472.349999999999</v>
      </c>
      <c r="J1665" s="7">
        <f>Table1[[#This Row],[Clicks]]/Table1[[#This Row],[Impressions]]</f>
        <v>1.4575055920414271E-2</v>
      </c>
      <c r="K1665" s="7">
        <f>IFERROR(Table1[[#This Row],[Conversions]]/Table1[[#This Row],[Clicks]],0)</f>
        <v>0.11282410651716888</v>
      </c>
      <c r="L1665" s="6">
        <f>IF(Table1[[#This Row],[Conversions]]=0,0,Table1[[#This Row],[Ad Spend]]/Table1[[#This Row],[Conversions]])</f>
        <v>18.228695652173915</v>
      </c>
      <c r="M1665" s="8">
        <f>IF(Table1[[#This Row],[Ad Spend]]=0,0,Table1[[#This Row],[Revenue]]/Table1[[#This Row],[Ad Spend]])</f>
        <v>6.2942020294259944</v>
      </c>
      <c r="N1665">
        <f>YEAR(Table1[[#This Row],[Date]])</f>
        <v>2024</v>
      </c>
      <c r="O1665" t="str">
        <f>TEXT(Table1[[#This Row],[Date]],"mmm")</f>
        <v>Dec</v>
      </c>
      <c r="P1665">
        <f>MONTH(Table1[[#This Row],[Date]])</f>
        <v>12</v>
      </c>
    </row>
    <row r="1666" spans="1:16" x14ac:dyDescent="0.25">
      <c r="A1666" t="s">
        <v>1685</v>
      </c>
      <c r="B1666" t="s">
        <v>31</v>
      </c>
      <c r="C1666" t="s">
        <v>12</v>
      </c>
      <c r="D1666" s="1">
        <v>45543</v>
      </c>
      <c r="E1666">
        <v>117939</v>
      </c>
      <c r="F1666">
        <v>6993</v>
      </c>
      <c r="G1666">
        <v>996</v>
      </c>
      <c r="H1666" s="4">
        <v>4933.79</v>
      </c>
      <c r="I1666" s="4">
        <v>41354.33</v>
      </c>
      <c r="J1666" s="7">
        <f>Table1[[#This Row],[Clicks]]/Table1[[#This Row],[Impressions]]</f>
        <v>5.9293363518429017E-2</v>
      </c>
      <c r="K1666" s="7">
        <f>IFERROR(Table1[[#This Row],[Conversions]]/Table1[[#This Row],[Clicks]],0)</f>
        <v>0.14242814242814242</v>
      </c>
      <c r="L1666" s="6">
        <f>IF(Table1[[#This Row],[Conversions]]=0,0,Table1[[#This Row],[Ad Spend]]/Table1[[#This Row],[Conversions]])</f>
        <v>4.9536044176706824</v>
      </c>
      <c r="M1666" s="8">
        <f>IF(Table1[[#This Row],[Ad Spend]]=0,0,Table1[[#This Row],[Revenue]]/Table1[[#This Row],[Ad Spend]])</f>
        <v>8.3818585711998281</v>
      </c>
      <c r="N1666">
        <f>YEAR(Table1[[#This Row],[Date]])</f>
        <v>2024</v>
      </c>
      <c r="O1666" t="str">
        <f>TEXT(Table1[[#This Row],[Date]],"mmm")</f>
        <v>Sept</v>
      </c>
      <c r="P1666">
        <f>MONTH(Table1[[#This Row],[Date]])</f>
        <v>9</v>
      </c>
    </row>
    <row r="1667" spans="1:16" x14ac:dyDescent="0.25">
      <c r="A1667" t="s">
        <v>1686</v>
      </c>
      <c r="B1667" t="s">
        <v>41</v>
      </c>
      <c r="C1667" t="s">
        <v>19</v>
      </c>
      <c r="D1667" s="1">
        <v>45567</v>
      </c>
      <c r="E1667">
        <v>84865</v>
      </c>
      <c r="F1667">
        <v>2812</v>
      </c>
      <c r="G1667">
        <v>264</v>
      </c>
      <c r="H1667" s="4">
        <v>4404.6499999999996</v>
      </c>
      <c r="I1667" s="4">
        <v>30261.47</v>
      </c>
      <c r="J1667" s="7">
        <f>Table1[[#This Row],[Clicks]]/Table1[[#This Row],[Impressions]]</f>
        <v>3.3134979084428209E-2</v>
      </c>
      <c r="K1667" s="7">
        <f>IFERROR(Table1[[#This Row],[Conversions]]/Table1[[#This Row],[Clicks]],0)</f>
        <v>9.388335704125178E-2</v>
      </c>
      <c r="L1667" s="6">
        <f>IF(Table1[[#This Row],[Conversions]]=0,0,Table1[[#This Row],[Ad Spend]]/Table1[[#This Row],[Conversions]])</f>
        <v>16.684280303030302</v>
      </c>
      <c r="M1667" s="8">
        <f>IF(Table1[[#This Row],[Ad Spend]]=0,0,Table1[[#This Row],[Revenue]]/Table1[[#This Row],[Ad Spend]])</f>
        <v>6.870346111495806</v>
      </c>
      <c r="N1667">
        <f>YEAR(Table1[[#This Row],[Date]])</f>
        <v>2024</v>
      </c>
      <c r="O1667" t="str">
        <f>TEXT(Table1[[#This Row],[Date]],"mmm")</f>
        <v>Oct</v>
      </c>
      <c r="P1667">
        <f>MONTH(Table1[[#This Row],[Date]])</f>
        <v>10</v>
      </c>
    </row>
    <row r="1668" spans="1:16" x14ac:dyDescent="0.25">
      <c r="A1668" t="s">
        <v>1687</v>
      </c>
      <c r="B1668" t="s">
        <v>16</v>
      </c>
      <c r="C1668" t="s">
        <v>12</v>
      </c>
      <c r="D1668" s="1">
        <v>45640</v>
      </c>
      <c r="E1668">
        <v>87433</v>
      </c>
      <c r="F1668">
        <v>6154</v>
      </c>
      <c r="G1668">
        <v>899</v>
      </c>
      <c r="H1668" s="4">
        <v>454.26</v>
      </c>
      <c r="I1668" s="4">
        <v>85806.52</v>
      </c>
      <c r="J1668" s="7">
        <f>Table1[[#This Row],[Clicks]]/Table1[[#This Row],[Impressions]]</f>
        <v>7.0385323619228432E-2</v>
      </c>
      <c r="K1668" s="7">
        <f>IFERROR(Table1[[#This Row],[Conversions]]/Table1[[#This Row],[Clicks]],0)</f>
        <v>0.14608384790380241</v>
      </c>
      <c r="L1668" s="6">
        <f>IF(Table1[[#This Row],[Conversions]]=0,0,Table1[[#This Row],[Ad Spend]]/Table1[[#This Row],[Conversions]])</f>
        <v>0.50529477196885431</v>
      </c>
      <c r="M1668" s="8">
        <f>IF(Table1[[#This Row],[Ad Spend]]=0,0,Table1[[#This Row],[Revenue]]/Table1[[#This Row],[Ad Spend]])</f>
        <v>188.8929687843966</v>
      </c>
      <c r="N1668">
        <f>YEAR(Table1[[#This Row],[Date]])</f>
        <v>2024</v>
      </c>
      <c r="O1668" t="str">
        <f>TEXT(Table1[[#This Row],[Date]],"mmm")</f>
        <v>Dec</v>
      </c>
      <c r="P1668">
        <f>MONTH(Table1[[#This Row],[Date]])</f>
        <v>12</v>
      </c>
    </row>
    <row r="1669" spans="1:16" x14ac:dyDescent="0.25">
      <c r="A1669" t="s">
        <v>1688</v>
      </c>
      <c r="B1669" t="s">
        <v>9</v>
      </c>
      <c r="C1669" t="s">
        <v>10</v>
      </c>
      <c r="D1669" s="1">
        <v>45606</v>
      </c>
      <c r="E1669">
        <v>21679</v>
      </c>
      <c r="F1669">
        <v>1020</v>
      </c>
      <c r="G1669">
        <v>117</v>
      </c>
      <c r="H1669" s="4">
        <v>3716.27</v>
      </c>
      <c r="I1669" s="4">
        <v>5250.95</v>
      </c>
      <c r="J1669" s="7">
        <f>Table1[[#This Row],[Clicks]]/Table1[[#This Row],[Impressions]]</f>
        <v>4.7050140689146175E-2</v>
      </c>
      <c r="K1669" s="7">
        <f>IFERROR(Table1[[#This Row],[Conversions]]/Table1[[#This Row],[Clicks]],0)</f>
        <v>0.11470588235294117</v>
      </c>
      <c r="L1669" s="6">
        <f>IF(Table1[[#This Row],[Conversions]]=0,0,Table1[[#This Row],[Ad Spend]]/Table1[[#This Row],[Conversions]])</f>
        <v>31.762991452991454</v>
      </c>
      <c r="M1669" s="8">
        <f>IF(Table1[[#This Row],[Ad Spend]]=0,0,Table1[[#This Row],[Revenue]]/Table1[[#This Row],[Ad Spend]])</f>
        <v>1.4129624596705836</v>
      </c>
      <c r="N1669">
        <f>YEAR(Table1[[#This Row],[Date]])</f>
        <v>2024</v>
      </c>
      <c r="O1669" t="str">
        <f>TEXT(Table1[[#This Row],[Date]],"mmm")</f>
        <v>Nov</v>
      </c>
      <c r="P1669">
        <f>MONTH(Table1[[#This Row],[Date]])</f>
        <v>11</v>
      </c>
    </row>
    <row r="1670" spans="1:16" x14ac:dyDescent="0.25">
      <c r="A1670" t="s">
        <v>1689</v>
      </c>
      <c r="B1670" t="s">
        <v>16</v>
      </c>
      <c r="C1670" t="s">
        <v>37</v>
      </c>
      <c r="D1670" s="1">
        <v>45307</v>
      </c>
      <c r="E1670">
        <v>134754</v>
      </c>
      <c r="F1670">
        <v>8220</v>
      </c>
      <c r="G1670">
        <v>518</v>
      </c>
      <c r="H1670" s="4">
        <v>651.97</v>
      </c>
      <c r="I1670" s="4">
        <v>31264.16</v>
      </c>
      <c r="J1670" s="7">
        <f>Table1[[#This Row],[Clicks]]/Table1[[#This Row],[Impressions]]</f>
        <v>6.1000044525579944E-2</v>
      </c>
      <c r="K1670" s="7">
        <f>IFERROR(Table1[[#This Row],[Conversions]]/Table1[[#This Row],[Clicks]],0)</f>
        <v>6.301703163017032E-2</v>
      </c>
      <c r="L1670" s="6">
        <f>IF(Table1[[#This Row],[Conversions]]=0,0,Table1[[#This Row],[Ad Spend]]/Table1[[#This Row],[Conversions]])</f>
        <v>1.2586293436293436</v>
      </c>
      <c r="M1670" s="8">
        <f>IF(Table1[[#This Row],[Ad Spend]]=0,0,Table1[[#This Row],[Revenue]]/Table1[[#This Row],[Ad Spend]])</f>
        <v>47.95337208767274</v>
      </c>
      <c r="N1670">
        <f>YEAR(Table1[[#This Row],[Date]])</f>
        <v>2024</v>
      </c>
      <c r="O1670" t="str">
        <f>TEXT(Table1[[#This Row],[Date]],"mmm")</f>
        <v>Jan</v>
      </c>
      <c r="P1670">
        <f>MONTH(Table1[[#This Row],[Date]])</f>
        <v>1</v>
      </c>
    </row>
    <row r="1671" spans="1:16" x14ac:dyDescent="0.25">
      <c r="A1671" t="s">
        <v>1690</v>
      </c>
      <c r="B1671" t="s">
        <v>21</v>
      </c>
      <c r="C1671" t="s">
        <v>17</v>
      </c>
      <c r="D1671" s="1">
        <v>45487</v>
      </c>
      <c r="E1671">
        <v>129363</v>
      </c>
      <c r="F1671">
        <v>2547</v>
      </c>
      <c r="G1671">
        <v>164</v>
      </c>
      <c r="H1671" s="4">
        <v>660.14</v>
      </c>
      <c r="I1671" s="4">
        <v>9104.57</v>
      </c>
      <c r="J1671" s="7">
        <f>Table1[[#This Row],[Clicks]]/Table1[[#This Row],[Impressions]]</f>
        <v>1.9688782727673292E-2</v>
      </c>
      <c r="K1671" s="7">
        <f>IFERROR(Table1[[#This Row],[Conversions]]/Table1[[#This Row],[Clicks]],0)</f>
        <v>6.4389477817039659E-2</v>
      </c>
      <c r="L1671" s="6">
        <f>IF(Table1[[#This Row],[Conversions]]=0,0,Table1[[#This Row],[Ad Spend]]/Table1[[#This Row],[Conversions]])</f>
        <v>4.0252439024390245</v>
      </c>
      <c r="M1671" s="8">
        <f>IF(Table1[[#This Row],[Ad Spend]]=0,0,Table1[[#This Row],[Revenue]]/Table1[[#This Row],[Ad Spend]])</f>
        <v>13.791877480534431</v>
      </c>
      <c r="N1671">
        <f>YEAR(Table1[[#This Row],[Date]])</f>
        <v>2024</v>
      </c>
      <c r="O1671" t="str">
        <f>TEXT(Table1[[#This Row],[Date]],"mmm")</f>
        <v>Jul</v>
      </c>
      <c r="P1671">
        <f>MONTH(Table1[[#This Row],[Date]])</f>
        <v>7</v>
      </c>
    </row>
    <row r="1672" spans="1:16" x14ac:dyDescent="0.25">
      <c r="A1672" t="s">
        <v>1691</v>
      </c>
      <c r="B1672" t="s">
        <v>21</v>
      </c>
      <c r="C1672" t="s">
        <v>19</v>
      </c>
      <c r="D1672" s="1">
        <v>45547</v>
      </c>
      <c r="E1672">
        <v>28785</v>
      </c>
      <c r="F1672">
        <v>659</v>
      </c>
      <c r="G1672">
        <v>47</v>
      </c>
      <c r="H1672" s="4">
        <v>1287.8699999999999</v>
      </c>
      <c r="I1672" s="4">
        <v>5572.49</v>
      </c>
      <c r="J1672" s="7">
        <f>Table1[[#This Row],[Clicks]]/Table1[[#This Row],[Impressions]]</f>
        <v>2.2893868334201841E-2</v>
      </c>
      <c r="K1672" s="7">
        <f>IFERROR(Table1[[#This Row],[Conversions]]/Table1[[#This Row],[Clicks]],0)</f>
        <v>7.1320182094081946E-2</v>
      </c>
      <c r="L1672" s="6">
        <f>IF(Table1[[#This Row],[Conversions]]=0,0,Table1[[#This Row],[Ad Spend]]/Table1[[#This Row],[Conversions]])</f>
        <v>27.401489361702126</v>
      </c>
      <c r="M1672" s="8">
        <f>IF(Table1[[#This Row],[Ad Spend]]=0,0,Table1[[#This Row],[Revenue]]/Table1[[#This Row],[Ad Spend]])</f>
        <v>4.3269041129927714</v>
      </c>
      <c r="N1672">
        <f>YEAR(Table1[[#This Row],[Date]])</f>
        <v>2024</v>
      </c>
      <c r="O1672" t="str">
        <f>TEXT(Table1[[#This Row],[Date]],"mmm")</f>
        <v>Sept</v>
      </c>
      <c r="P1672">
        <f>MONTH(Table1[[#This Row],[Date]])</f>
        <v>9</v>
      </c>
    </row>
    <row r="1673" spans="1:16" x14ac:dyDescent="0.25">
      <c r="A1673" t="s">
        <v>1692</v>
      </c>
      <c r="B1673" t="s">
        <v>9</v>
      </c>
      <c r="C1673" t="s">
        <v>19</v>
      </c>
      <c r="D1673" s="1">
        <v>45523</v>
      </c>
      <c r="E1673">
        <v>29648</v>
      </c>
      <c r="F1673">
        <v>1383</v>
      </c>
      <c r="G1673">
        <v>31</v>
      </c>
      <c r="H1673" s="4">
        <v>3109.57</v>
      </c>
      <c r="I1673" s="4">
        <v>3664.23</v>
      </c>
      <c r="J1673" s="7">
        <f>Table1[[#This Row],[Clicks]]/Table1[[#This Row],[Impressions]]</f>
        <v>4.6647328656233132E-2</v>
      </c>
      <c r="K1673" s="7">
        <f>IFERROR(Table1[[#This Row],[Conversions]]/Table1[[#This Row],[Clicks]],0)</f>
        <v>2.2415039768618944E-2</v>
      </c>
      <c r="L1673" s="6">
        <f>IF(Table1[[#This Row],[Conversions]]=0,0,Table1[[#This Row],[Ad Spend]]/Table1[[#This Row],[Conversions]])</f>
        <v>100.30870967741936</v>
      </c>
      <c r="M1673" s="8">
        <f>IF(Table1[[#This Row],[Ad Spend]]=0,0,Table1[[#This Row],[Revenue]]/Table1[[#This Row],[Ad Spend]])</f>
        <v>1.1783719292378045</v>
      </c>
      <c r="N1673">
        <f>YEAR(Table1[[#This Row],[Date]])</f>
        <v>2024</v>
      </c>
      <c r="O1673" t="str">
        <f>TEXT(Table1[[#This Row],[Date]],"mmm")</f>
        <v>Aug</v>
      </c>
      <c r="P1673">
        <f>MONTH(Table1[[#This Row],[Date]])</f>
        <v>8</v>
      </c>
    </row>
    <row r="1674" spans="1:16" x14ac:dyDescent="0.25">
      <c r="A1674" t="s">
        <v>1693</v>
      </c>
      <c r="B1674" t="s">
        <v>31</v>
      </c>
      <c r="C1674" t="s">
        <v>19</v>
      </c>
      <c r="D1674" s="1">
        <v>45340</v>
      </c>
      <c r="E1674">
        <v>49174</v>
      </c>
      <c r="F1674">
        <v>497</v>
      </c>
      <c r="G1674">
        <v>73</v>
      </c>
      <c r="H1674" s="4">
        <v>260.38</v>
      </c>
      <c r="I1674" s="4">
        <v>3846.08</v>
      </c>
      <c r="J1674" s="7">
        <f>Table1[[#This Row],[Clicks]]/Table1[[#This Row],[Impressions]]</f>
        <v>1.0106967096433075E-2</v>
      </c>
      <c r="K1674" s="7">
        <f>IFERROR(Table1[[#This Row],[Conversions]]/Table1[[#This Row],[Clicks]],0)</f>
        <v>0.14688128772635814</v>
      </c>
      <c r="L1674" s="6">
        <f>IF(Table1[[#This Row],[Conversions]]=0,0,Table1[[#This Row],[Ad Spend]]/Table1[[#This Row],[Conversions]])</f>
        <v>3.566849315068493</v>
      </c>
      <c r="M1674" s="8">
        <f>IF(Table1[[#This Row],[Ad Spend]]=0,0,Table1[[#This Row],[Revenue]]/Table1[[#This Row],[Ad Spend]])</f>
        <v>14.771026960596052</v>
      </c>
      <c r="N1674">
        <f>YEAR(Table1[[#This Row],[Date]])</f>
        <v>2024</v>
      </c>
      <c r="O1674" t="str">
        <f>TEXT(Table1[[#This Row],[Date]],"mmm")</f>
        <v>Feb</v>
      </c>
      <c r="P1674">
        <f>MONTH(Table1[[#This Row],[Date]])</f>
        <v>2</v>
      </c>
    </row>
    <row r="1675" spans="1:16" x14ac:dyDescent="0.25">
      <c r="A1675" t="s">
        <v>1694</v>
      </c>
      <c r="B1675" t="s">
        <v>34</v>
      </c>
      <c r="C1675" t="s">
        <v>10</v>
      </c>
      <c r="D1675" s="1">
        <v>45701</v>
      </c>
      <c r="E1675">
        <v>103261</v>
      </c>
      <c r="F1675">
        <v>7244</v>
      </c>
      <c r="G1675">
        <v>1044</v>
      </c>
      <c r="H1675" s="4">
        <v>1104.71</v>
      </c>
      <c r="I1675" s="4">
        <v>85699.08</v>
      </c>
      <c r="J1675" s="7">
        <f>Table1[[#This Row],[Clicks]]/Table1[[#This Row],[Impressions]]</f>
        <v>7.0152332439159026E-2</v>
      </c>
      <c r="K1675" s="7">
        <f>IFERROR(Table1[[#This Row],[Conversions]]/Table1[[#This Row],[Clicks]],0)</f>
        <v>0.14411927112092768</v>
      </c>
      <c r="L1675" s="6">
        <f>IF(Table1[[#This Row],[Conversions]]=0,0,Table1[[#This Row],[Ad Spend]]/Table1[[#This Row],[Conversions]])</f>
        <v>1.0581513409961687</v>
      </c>
      <c r="M1675" s="8">
        <f>IF(Table1[[#This Row],[Ad Spend]]=0,0,Table1[[#This Row],[Revenue]]/Table1[[#This Row],[Ad Spend]])</f>
        <v>77.576087842058101</v>
      </c>
      <c r="N1675">
        <f>YEAR(Table1[[#This Row],[Date]])</f>
        <v>2025</v>
      </c>
      <c r="O1675" t="str">
        <f>TEXT(Table1[[#This Row],[Date]],"mmm")</f>
        <v>Feb</v>
      </c>
      <c r="P1675">
        <f>MONTH(Table1[[#This Row],[Date]])</f>
        <v>2</v>
      </c>
    </row>
    <row r="1676" spans="1:16" x14ac:dyDescent="0.25">
      <c r="A1676" t="s">
        <v>1695</v>
      </c>
      <c r="B1676" t="s">
        <v>16</v>
      </c>
      <c r="C1676" t="s">
        <v>12</v>
      </c>
      <c r="D1676" s="1">
        <v>45403</v>
      </c>
      <c r="E1676">
        <v>95504</v>
      </c>
      <c r="F1676">
        <v>1603</v>
      </c>
      <c r="G1676">
        <v>174</v>
      </c>
      <c r="H1676" s="4">
        <v>942.42</v>
      </c>
      <c r="I1676" s="4">
        <v>9990.5300000000007</v>
      </c>
      <c r="J1676" s="7">
        <f>Table1[[#This Row],[Clicks]]/Table1[[#This Row],[Impressions]]</f>
        <v>1.6784637292678841E-2</v>
      </c>
      <c r="K1676" s="7">
        <f>IFERROR(Table1[[#This Row],[Conversions]]/Table1[[#This Row],[Clicks]],0)</f>
        <v>0.10854647535870243</v>
      </c>
      <c r="L1676" s="6">
        <f>IF(Table1[[#This Row],[Conversions]]=0,0,Table1[[#This Row],[Ad Spend]]/Table1[[#This Row],[Conversions]])</f>
        <v>5.4162068965517243</v>
      </c>
      <c r="M1676" s="8">
        <f>IF(Table1[[#This Row],[Ad Spend]]=0,0,Table1[[#This Row],[Revenue]]/Table1[[#This Row],[Ad Spend]])</f>
        <v>10.60093164406528</v>
      </c>
      <c r="N1676">
        <f>YEAR(Table1[[#This Row],[Date]])</f>
        <v>2024</v>
      </c>
      <c r="O1676" t="str">
        <f>TEXT(Table1[[#This Row],[Date]],"mmm")</f>
        <v>Apr</v>
      </c>
      <c r="P1676">
        <f>MONTH(Table1[[#This Row],[Date]])</f>
        <v>4</v>
      </c>
    </row>
    <row r="1677" spans="1:16" x14ac:dyDescent="0.25">
      <c r="A1677" t="s">
        <v>1696</v>
      </c>
      <c r="B1677" t="s">
        <v>16</v>
      </c>
      <c r="C1677" t="s">
        <v>17</v>
      </c>
      <c r="D1677" s="1">
        <v>45653</v>
      </c>
      <c r="E1677">
        <v>51528</v>
      </c>
      <c r="F1677">
        <v>2345</v>
      </c>
      <c r="G1677">
        <v>295</v>
      </c>
      <c r="H1677" s="4">
        <v>2336.5100000000002</v>
      </c>
      <c r="I1677" s="4">
        <v>24251.439999999999</v>
      </c>
      <c r="J1677" s="7">
        <f>Table1[[#This Row],[Clicks]]/Table1[[#This Row],[Impressions]]</f>
        <v>4.5509237696009938E-2</v>
      </c>
      <c r="K1677" s="7">
        <f>IFERROR(Table1[[#This Row],[Conversions]]/Table1[[#This Row],[Clicks]],0)</f>
        <v>0.1257995735607676</v>
      </c>
      <c r="L1677" s="6">
        <f>IF(Table1[[#This Row],[Conversions]]=0,0,Table1[[#This Row],[Ad Spend]]/Table1[[#This Row],[Conversions]])</f>
        <v>7.9203728813559326</v>
      </c>
      <c r="M1677" s="8">
        <f>IF(Table1[[#This Row],[Ad Spend]]=0,0,Table1[[#This Row],[Revenue]]/Table1[[#This Row],[Ad Spend]])</f>
        <v>10.379343550851482</v>
      </c>
      <c r="N1677">
        <f>YEAR(Table1[[#This Row],[Date]])</f>
        <v>2024</v>
      </c>
      <c r="O1677" t="str">
        <f>TEXT(Table1[[#This Row],[Date]],"mmm")</f>
        <v>Dec</v>
      </c>
      <c r="P1677">
        <f>MONTH(Table1[[#This Row],[Date]])</f>
        <v>12</v>
      </c>
    </row>
    <row r="1678" spans="1:16" x14ac:dyDescent="0.25">
      <c r="A1678" t="s">
        <v>1697</v>
      </c>
      <c r="B1678" t="s">
        <v>9</v>
      </c>
      <c r="C1678" t="s">
        <v>19</v>
      </c>
      <c r="D1678" s="1">
        <v>45441</v>
      </c>
      <c r="E1678">
        <v>33252</v>
      </c>
      <c r="F1678">
        <v>1144</v>
      </c>
      <c r="G1678">
        <v>49</v>
      </c>
      <c r="H1678" s="4">
        <v>2688.75</v>
      </c>
      <c r="I1678" s="4">
        <v>5391.13</v>
      </c>
      <c r="J1678" s="7">
        <f>Table1[[#This Row],[Clicks]]/Table1[[#This Row],[Impressions]]</f>
        <v>3.4403945627330686E-2</v>
      </c>
      <c r="K1678" s="7">
        <f>IFERROR(Table1[[#This Row],[Conversions]]/Table1[[#This Row],[Clicks]],0)</f>
        <v>4.2832167832167832E-2</v>
      </c>
      <c r="L1678" s="6">
        <f>IF(Table1[[#This Row],[Conversions]]=0,0,Table1[[#This Row],[Ad Spend]]/Table1[[#This Row],[Conversions]])</f>
        <v>54.872448979591837</v>
      </c>
      <c r="M1678" s="8">
        <f>IF(Table1[[#This Row],[Ad Spend]]=0,0,Table1[[#This Row],[Revenue]]/Table1[[#This Row],[Ad Spend]])</f>
        <v>2.0050692701069273</v>
      </c>
      <c r="N1678">
        <f>YEAR(Table1[[#This Row],[Date]])</f>
        <v>2024</v>
      </c>
      <c r="O1678" t="str">
        <f>TEXT(Table1[[#This Row],[Date]],"mmm")</f>
        <v>May</v>
      </c>
      <c r="P1678">
        <f>MONTH(Table1[[#This Row],[Date]])</f>
        <v>5</v>
      </c>
    </row>
    <row r="1679" spans="1:16" x14ac:dyDescent="0.25">
      <c r="A1679" t="s">
        <v>1698</v>
      </c>
      <c r="B1679" t="s">
        <v>41</v>
      </c>
      <c r="C1679" t="s">
        <v>37</v>
      </c>
      <c r="D1679" s="1">
        <v>45600</v>
      </c>
      <c r="E1679">
        <v>45698</v>
      </c>
      <c r="F1679">
        <v>3647</v>
      </c>
      <c r="G1679">
        <v>509</v>
      </c>
      <c r="H1679" s="4">
        <v>4701.53</v>
      </c>
      <c r="I1679" s="4">
        <v>57446.07</v>
      </c>
      <c r="J1679" s="7">
        <f>Table1[[#This Row],[Clicks]]/Table1[[#This Row],[Impressions]]</f>
        <v>7.9806556085605496E-2</v>
      </c>
      <c r="K1679" s="7">
        <f>IFERROR(Table1[[#This Row],[Conversions]]/Table1[[#This Row],[Clicks]],0)</f>
        <v>0.13956676720592268</v>
      </c>
      <c r="L1679" s="6">
        <f>IF(Table1[[#This Row],[Conversions]]=0,0,Table1[[#This Row],[Ad Spend]]/Table1[[#This Row],[Conversions]])</f>
        <v>9.236797642436148</v>
      </c>
      <c r="M1679" s="8">
        <f>IF(Table1[[#This Row],[Ad Spend]]=0,0,Table1[[#This Row],[Revenue]]/Table1[[#This Row],[Ad Spend]])</f>
        <v>12.218590543929317</v>
      </c>
      <c r="N1679">
        <f>YEAR(Table1[[#This Row],[Date]])</f>
        <v>2024</v>
      </c>
      <c r="O1679" t="str">
        <f>TEXT(Table1[[#This Row],[Date]],"mmm")</f>
        <v>Nov</v>
      </c>
      <c r="P1679">
        <f>MONTH(Table1[[#This Row],[Date]])</f>
        <v>11</v>
      </c>
    </row>
    <row r="1680" spans="1:16" x14ac:dyDescent="0.25">
      <c r="A1680" t="s">
        <v>1699</v>
      </c>
      <c r="B1680" t="s">
        <v>21</v>
      </c>
      <c r="C1680" t="s">
        <v>17</v>
      </c>
      <c r="D1680" s="1">
        <v>45351</v>
      </c>
      <c r="E1680">
        <v>22160</v>
      </c>
      <c r="F1680">
        <v>746</v>
      </c>
      <c r="G1680">
        <v>50</v>
      </c>
      <c r="H1680" s="4">
        <v>1349.37</v>
      </c>
      <c r="I1680" s="4">
        <v>5087.93</v>
      </c>
      <c r="J1680" s="7">
        <f>Table1[[#This Row],[Clicks]]/Table1[[#This Row],[Impressions]]</f>
        <v>3.3664259927797834E-2</v>
      </c>
      <c r="K1680" s="7">
        <f>IFERROR(Table1[[#This Row],[Conversions]]/Table1[[#This Row],[Clicks]],0)</f>
        <v>6.7024128686327081E-2</v>
      </c>
      <c r="L1680" s="6">
        <f>IF(Table1[[#This Row],[Conversions]]=0,0,Table1[[#This Row],[Ad Spend]]/Table1[[#This Row],[Conversions]])</f>
        <v>26.987399999999997</v>
      </c>
      <c r="M1680" s="8">
        <f>IF(Table1[[#This Row],[Ad Spend]]=0,0,Table1[[#This Row],[Revenue]]/Table1[[#This Row],[Ad Spend]])</f>
        <v>3.7705966488064804</v>
      </c>
      <c r="N1680">
        <f>YEAR(Table1[[#This Row],[Date]])</f>
        <v>2024</v>
      </c>
      <c r="O1680" t="str">
        <f>TEXT(Table1[[#This Row],[Date]],"mmm")</f>
        <v>Feb</v>
      </c>
      <c r="P1680">
        <f>MONTH(Table1[[#This Row],[Date]])</f>
        <v>2</v>
      </c>
    </row>
    <row r="1681" spans="1:16" x14ac:dyDescent="0.25">
      <c r="A1681" t="s">
        <v>1700</v>
      </c>
      <c r="B1681" t="s">
        <v>14</v>
      </c>
      <c r="C1681" t="s">
        <v>17</v>
      </c>
      <c r="D1681" s="1">
        <v>45313</v>
      </c>
      <c r="E1681">
        <v>98931</v>
      </c>
      <c r="F1681">
        <v>1395</v>
      </c>
      <c r="G1681">
        <v>206</v>
      </c>
      <c r="H1681" s="4">
        <v>2506.0300000000002</v>
      </c>
      <c r="I1681" s="4">
        <v>21498.19</v>
      </c>
      <c r="J1681" s="7">
        <f>Table1[[#This Row],[Clicks]]/Table1[[#This Row],[Impressions]]</f>
        <v>1.4100736877217454E-2</v>
      </c>
      <c r="K1681" s="7">
        <f>IFERROR(Table1[[#This Row],[Conversions]]/Table1[[#This Row],[Clicks]],0)</f>
        <v>0.14767025089605734</v>
      </c>
      <c r="L1681" s="6">
        <f>IF(Table1[[#This Row],[Conversions]]=0,0,Table1[[#This Row],[Ad Spend]]/Table1[[#This Row],[Conversions]])</f>
        <v>12.165194174757282</v>
      </c>
      <c r="M1681" s="8">
        <f>IF(Table1[[#This Row],[Ad Spend]]=0,0,Table1[[#This Row],[Revenue]]/Table1[[#This Row],[Ad Spend]])</f>
        <v>8.5785844542962355</v>
      </c>
      <c r="N1681">
        <f>YEAR(Table1[[#This Row],[Date]])</f>
        <v>2024</v>
      </c>
      <c r="O1681" t="str">
        <f>TEXT(Table1[[#This Row],[Date]],"mmm")</f>
        <v>Jan</v>
      </c>
      <c r="P1681">
        <f>MONTH(Table1[[#This Row],[Date]])</f>
        <v>1</v>
      </c>
    </row>
    <row r="1682" spans="1:16" x14ac:dyDescent="0.25">
      <c r="A1682" t="s">
        <v>1701</v>
      </c>
      <c r="B1682" t="s">
        <v>9</v>
      </c>
      <c r="C1682" t="s">
        <v>12</v>
      </c>
      <c r="D1682" s="1">
        <v>45338</v>
      </c>
      <c r="E1682">
        <v>89031</v>
      </c>
      <c r="F1682">
        <v>6573</v>
      </c>
      <c r="G1682">
        <v>612</v>
      </c>
      <c r="H1682" s="4">
        <v>3570.59</v>
      </c>
      <c r="I1682" s="4">
        <v>44166.38</v>
      </c>
      <c r="J1682" s="7">
        <f>Table1[[#This Row],[Clicks]]/Table1[[#This Row],[Impressions]]</f>
        <v>7.3828217137850857E-2</v>
      </c>
      <c r="K1682" s="7">
        <f>IFERROR(Table1[[#This Row],[Conversions]]/Table1[[#This Row],[Clicks]],0)</f>
        <v>9.3108169785486083E-2</v>
      </c>
      <c r="L1682" s="6">
        <f>IF(Table1[[#This Row],[Conversions]]=0,0,Table1[[#This Row],[Ad Spend]]/Table1[[#This Row],[Conversions]])</f>
        <v>5.834297385620915</v>
      </c>
      <c r="M1682" s="8">
        <f>IF(Table1[[#This Row],[Ad Spend]]=0,0,Table1[[#This Row],[Revenue]]/Table1[[#This Row],[Ad Spend]])</f>
        <v>12.369490756429608</v>
      </c>
      <c r="N1682">
        <f>YEAR(Table1[[#This Row],[Date]])</f>
        <v>2024</v>
      </c>
      <c r="O1682" t="str">
        <f>TEXT(Table1[[#This Row],[Date]],"mmm")</f>
        <v>Feb</v>
      </c>
      <c r="P1682">
        <f>MONTH(Table1[[#This Row],[Date]])</f>
        <v>2</v>
      </c>
    </row>
    <row r="1683" spans="1:16" x14ac:dyDescent="0.25">
      <c r="A1683" t="s">
        <v>1702</v>
      </c>
      <c r="B1683" t="s">
        <v>14</v>
      </c>
      <c r="C1683" t="s">
        <v>19</v>
      </c>
      <c r="D1683" s="1">
        <v>45456</v>
      </c>
      <c r="E1683">
        <v>40514</v>
      </c>
      <c r="F1683">
        <v>1675</v>
      </c>
      <c r="G1683">
        <v>76</v>
      </c>
      <c r="H1683" s="4">
        <v>4732.3900000000003</v>
      </c>
      <c r="I1683" s="4">
        <v>4760.03</v>
      </c>
      <c r="J1683" s="7">
        <f>Table1[[#This Row],[Clicks]]/Table1[[#This Row],[Impressions]]</f>
        <v>4.1343733030557335E-2</v>
      </c>
      <c r="K1683" s="7">
        <f>IFERROR(Table1[[#This Row],[Conversions]]/Table1[[#This Row],[Clicks]],0)</f>
        <v>4.5373134328358211E-2</v>
      </c>
      <c r="L1683" s="6">
        <f>IF(Table1[[#This Row],[Conversions]]=0,0,Table1[[#This Row],[Ad Spend]]/Table1[[#This Row],[Conversions]])</f>
        <v>62.268289473684213</v>
      </c>
      <c r="M1683" s="8">
        <f>IF(Table1[[#This Row],[Ad Spend]]=0,0,Table1[[#This Row],[Revenue]]/Table1[[#This Row],[Ad Spend]])</f>
        <v>1.0058406006267444</v>
      </c>
      <c r="N1683">
        <f>YEAR(Table1[[#This Row],[Date]])</f>
        <v>2024</v>
      </c>
      <c r="O1683" t="str">
        <f>TEXT(Table1[[#This Row],[Date]],"mmm")</f>
        <v>Jun</v>
      </c>
      <c r="P1683">
        <f>MONTH(Table1[[#This Row],[Date]])</f>
        <v>6</v>
      </c>
    </row>
    <row r="1684" spans="1:16" x14ac:dyDescent="0.25">
      <c r="A1684" t="s">
        <v>1703</v>
      </c>
      <c r="B1684" t="s">
        <v>21</v>
      </c>
      <c r="C1684" t="s">
        <v>17</v>
      </c>
      <c r="D1684" s="1">
        <v>45334</v>
      </c>
      <c r="E1684">
        <v>133572</v>
      </c>
      <c r="F1684">
        <v>1558</v>
      </c>
      <c r="G1684">
        <v>52</v>
      </c>
      <c r="H1684" s="4">
        <v>2894.01</v>
      </c>
      <c r="I1684" s="4">
        <v>4210.25</v>
      </c>
      <c r="J1684" s="7">
        <f>Table1[[#This Row],[Clicks]]/Table1[[#This Row],[Impressions]]</f>
        <v>1.1664121223010811E-2</v>
      </c>
      <c r="K1684" s="7">
        <f>IFERROR(Table1[[#This Row],[Conversions]]/Table1[[#This Row],[Clicks]],0)</f>
        <v>3.3376123234916559E-2</v>
      </c>
      <c r="L1684" s="6">
        <f>IF(Table1[[#This Row],[Conversions]]=0,0,Table1[[#This Row],[Ad Spend]]/Table1[[#This Row],[Conversions]])</f>
        <v>55.654038461538462</v>
      </c>
      <c r="M1684" s="8">
        <f>IF(Table1[[#This Row],[Ad Spend]]=0,0,Table1[[#This Row],[Revenue]]/Table1[[#This Row],[Ad Spend]])</f>
        <v>1.4548152908939498</v>
      </c>
      <c r="N1684">
        <f>YEAR(Table1[[#This Row],[Date]])</f>
        <v>2024</v>
      </c>
      <c r="O1684" t="str">
        <f>TEXT(Table1[[#This Row],[Date]],"mmm")</f>
        <v>Feb</v>
      </c>
      <c r="P1684">
        <f>MONTH(Table1[[#This Row],[Date]])</f>
        <v>2</v>
      </c>
    </row>
    <row r="1685" spans="1:16" x14ac:dyDescent="0.25">
      <c r="A1685" t="s">
        <v>1704</v>
      </c>
      <c r="B1685" t="s">
        <v>34</v>
      </c>
      <c r="C1685" t="s">
        <v>17</v>
      </c>
      <c r="D1685" s="1">
        <v>45694</v>
      </c>
      <c r="E1685">
        <v>80286</v>
      </c>
      <c r="F1685">
        <v>5135</v>
      </c>
      <c r="G1685">
        <v>569</v>
      </c>
      <c r="H1685" s="4">
        <v>2732.24</v>
      </c>
      <c r="I1685" s="4">
        <v>13748.89</v>
      </c>
      <c r="J1685" s="7">
        <f>Table1[[#This Row],[Clicks]]/Table1[[#This Row],[Impressions]]</f>
        <v>6.3958847121540499E-2</v>
      </c>
      <c r="K1685" s="7">
        <f>IFERROR(Table1[[#This Row],[Conversions]]/Table1[[#This Row],[Clicks]],0)</f>
        <v>0.11080817916260954</v>
      </c>
      <c r="L1685" s="6">
        <f>IF(Table1[[#This Row],[Conversions]]=0,0,Table1[[#This Row],[Ad Spend]]/Table1[[#This Row],[Conversions]])</f>
        <v>4.8018277680140597</v>
      </c>
      <c r="M1685" s="8">
        <f>IF(Table1[[#This Row],[Ad Spend]]=0,0,Table1[[#This Row],[Revenue]]/Table1[[#This Row],[Ad Spend]])</f>
        <v>5.0320945451351271</v>
      </c>
      <c r="N1685">
        <f>YEAR(Table1[[#This Row],[Date]])</f>
        <v>2025</v>
      </c>
      <c r="O1685" t="str">
        <f>TEXT(Table1[[#This Row],[Date]],"mmm")</f>
        <v>Feb</v>
      </c>
      <c r="P1685">
        <f>MONTH(Table1[[#This Row],[Date]])</f>
        <v>2</v>
      </c>
    </row>
    <row r="1686" spans="1:16" x14ac:dyDescent="0.25">
      <c r="A1686" t="s">
        <v>1705</v>
      </c>
      <c r="B1686" t="s">
        <v>9</v>
      </c>
      <c r="C1686" t="s">
        <v>19</v>
      </c>
      <c r="D1686" s="1">
        <v>45592</v>
      </c>
      <c r="E1686">
        <v>147288</v>
      </c>
      <c r="F1686">
        <v>3260</v>
      </c>
      <c r="G1686">
        <v>198</v>
      </c>
      <c r="H1686" s="4">
        <v>430.19</v>
      </c>
      <c r="I1686" s="4">
        <v>4513.67</v>
      </c>
      <c r="J1686" s="7">
        <f>Table1[[#This Row],[Clicks]]/Table1[[#This Row],[Impressions]]</f>
        <v>2.2133507142469176E-2</v>
      </c>
      <c r="K1686" s="7">
        <f>IFERROR(Table1[[#This Row],[Conversions]]/Table1[[#This Row],[Clicks]],0)</f>
        <v>6.0736196319018408E-2</v>
      </c>
      <c r="L1686" s="6">
        <f>IF(Table1[[#This Row],[Conversions]]=0,0,Table1[[#This Row],[Ad Spend]]/Table1[[#This Row],[Conversions]])</f>
        <v>2.1726767676767675</v>
      </c>
      <c r="M1686" s="8">
        <f>IF(Table1[[#This Row],[Ad Spend]]=0,0,Table1[[#This Row],[Revenue]]/Table1[[#This Row],[Ad Spend]])</f>
        <v>10.492270857063158</v>
      </c>
      <c r="N1686">
        <f>YEAR(Table1[[#This Row],[Date]])</f>
        <v>2024</v>
      </c>
      <c r="O1686" t="str">
        <f>TEXT(Table1[[#This Row],[Date]],"mmm")</f>
        <v>Oct</v>
      </c>
      <c r="P1686">
        <f>MONTH(Table1[[#This Row],[Date]])</f>
        <v>10</v>
      </c>
    </row>
    <row r="1687" spans="1:16" x14ac:dyDescent="0.25">
      <c r="A1687" t="s">
        <v>1706</v>
      </c>
      <c r="B1687" t="s">
        <v>34</v>
      </c>
      <c r="C1687" t="s">
        <v>17</v>
      </c>
      <c r="D1687" s="1">
        <v>45388</v>
      </c>
      <c r="E1687">
        <v>97213</v>
      </c>
      <c r="F1687">
        <v>7533</v>
      </c>
      <c r="G1687">
        <v>202</v>
      </c>
      <c r="H1687" s="4">
        <v>4161.8900000000003</v>
      </c>
      <c r="I1687" s="4">
        <v>21688.85</v>
      </c>
      <c r="J1687" s="7">
        <f>Table1[[#This Row],[Clicks]]/Table1[[#This Row],[Impressions]]</f>
        <v>7.7489636159772876E-2</v>
      </c>
      <c r="K1687" s="7">
        <f>IFERROR(Table1[[#This Row],[Conversions]]/Table1[[#This Row],[Clicks]],0)</f>
        <v>2.6815345811761582E-2</v>
      </c>
      <c r="L1687" s="6">
        <f>IF(Table1[[#This Row],[Conversions]]=0,0,Table1[[#This Row],[Ad Spend]]/Table1[[#This Row],[Conversions]])</f>
        <v>20.603415841584159</v>
      </c>
      <c r="M1687" s="8">
        <f>IF(Table1[[#This Row],[Ad Spend]]=0,0,Table1[[#This Row],[Revenue]]/Table1[[#This Row],[Ad Spend]])</f>
        <v>5.2112982322935002</v>
      </c>
      <c r="N1687">
        <f>YEAR(Table1[[#This Row],[Date]])</f>
        <v>2024</v>
      </c>
      <c r="O1687" t="str">
        <f>TEXT(Table1[[#This Row],[Date]],"mmm")</f>
        <v>Apr</v>
      </c>
      <c r="P1687">
        <f>MONTH(Table1[[#This Row],[Date]])</f>
        <v>4</v>
      </c>
    </row>
    <row r="1688" spans="1:16" x14ac:dyDescent="0.25">
      <c r="A1688" t="s">
        <v>1707</v>
      </c>
      <c r="B1688" t="s">
        <v>16</v>
      </c>
      <c r="C1688" t="s">
        <v>12</v>
      </c>
      <c r="D1688" s="1">
        <v>45481</v>
      </c>
      <c r="E1688">
        <v>16723</v>
      </c>
      <c r="F1688">
        <v>1233</v>
      </c>
      <c r="G1688">
        <v>40</v>
      </c>
      <c r="H1688" s="4">
        <v>4759.83</v>
      </c>
      <c r="I1688" s="4">
        <v>4369.42</v>
      </c>
      <c r="J1688" s="7">
        <f>Table1[[#This Row],[Clicks]]/Table1[[#This Row],[Impressions]]</f>
        <v>7.3730789930036483E-2</v>
      </c>
      <c r="K1688" s="7">
        <f>IFERROR(Table1[[#This Row],[Conversions]]/Table1[[#This Row],[Clicks]],0)</f>
        <v>3.2441200324412001E-2</v>
      </c>
      <c r="L1688" s="6">
        <f>IF(Table1[[#This Row],[Conversions]]=0,0,Table1[[#This Row],[Ad Spend]]/Table1[[#This Row],[Conversions]])</f>
        <v>118.99575</v>
      </c>
      <c r="M1688" s="8">
        <f>IF(Table1[[#This Row],[Ad Spend]]=0,0,Table1[[#This Row],[Revenue]]/Table1[[#This Row],[Ad Spend]])</f>
        <v>0.9179781630856565</v>
      </c>
      <c r="N1688">
        <f>YEAR(Table1[[#This Row],[Date]])</f>
        <v>2024</v>
      </c>
      <c r="O1688" t="str">
        <f>TEXT(Table1[[#This Row],[Date]],"mmm")</f>
        <v>Jul</v>
      </c>
      <c r="P1688">
        <f>MONTH(Table1[[#This Row],[Date]])</f>
        <v>7</v>
      </c>
    </row>
    <row r="1689" spans="1:16" x14ac:dyDescent="0.25">
      <c r="A1689" t="s">
        <v>1708</v>
      </c>
      <c r="B1689" t="s">
        <v>47</v>
      </c>
      <c r="C1689" t="s">
        <v>10</v>
      </c>
      <c r="D1689" s="1">
        <v>45657</v>
      </c>
      <c r="E1689">
        <v>58374</v>
      </c>
      <c r="F1689">
        <v>2607</v>
      </c>
      <c r="G1689">
        <v>245</v>
      </c>
      <c r="H1689" s="4">
        <v>3142.48</v>
      </c>
      <c r="I1689" s="4">
        <v>6008.23</v>
      </c>
      <c r="J1689" s="7">
        <f>Table1[[#This Row],[Clicks]]/Table1[[#This Row],[Impressions]]</f>
        <v>4.4660293966491932E-2</v>
      </c>
      <c r="K1689" s="7">
        <f>IFERROR(Table1[[#This Row],[Conversions]]/Table1[[#This Row],[Clicks]],0)</f>
        <v>9.3977752205600312E-2</v>
      </c>
      <c r="L1689" s="6">
        <f>IF(Table1[[#This Row],[Conversions]]=0,0,Table1[[#This Row],[Ad Spend]]/Table1[[#This Row],[Conversions]])</f>
        <v>12.826448979591836</v>
      </c>
      <c r="M1689" s="8">
        <f>IF(Table1[[#This Row],[Ad Spend]]=0,0,Table1[[#This Row],[Revenue]]/Table1[[#This Row],[Ad Spend]])</f>
        <v>1.9119389781319212</v>
      </c>
      <c r="N1689">
        <f>YEAR(Table1[[#This Row],[Date]])</f>
        <v>2024</v>
      </c>
      <c r="O1689" t="str">
        <f>TEXT(Table1[[#This Row],[Date]],"mmm")</f>
        <v>Dec</v>
      </c>
      <c r="P1689">
        <f>MONTH(Table1[[#This Row],[Date]])</f>
        <v>12</v>
      </c>
    </row>
    <row r="1690" spans="1:16" x14ac:dyDescent="0.25">
      <c r="A1690" t="s">
        <v>1709</v>
      </c>
      <c r="B1690" t="s">
        <v>21</v>
      </c>
      <c r="C1690" t="s">
        <v>37</v>
      </c>
      <c r="D1690" s="1">
        <v>45644</v>
      </c>
      <c r="E1690">
        <v>35495</v>
      </c>
      <c r="F1690">
        <v>2651</v>
      </c>
      <c r="G1690">
        <v>54</v>
      </c>
      <c r="H1690" s="4">
        <v>1353.86</v>
      </c>
      <c r="I1690" s="4">
        <v>5473.64</v>
      </c>
      <c r="J1690" s="7">
        <f>Table1[[#This Row],[Clicks]]/Table1[[#This Row],[Impressions]]</f>
        <v>7.4686575574024514E-2</v>
      </c>
      <c r="K1690" s="7">
        <f>IFERROR(Table1[[#This Row],[Conversions]]/Table1[[#This Row],[Clicks]],0)</f>
        <v>2.0369671821953979E-2</v>
      </c>
      <c r="L1690" s="6">
        <f>IF(Table1[[#This Row],[Conversions]]=0,0,Table1[[#This Row],[Ad Spend]]/Table1[[#This Row],[Conversions]])</f>
        <v>25.071481481481481</v>
      </c>
      <c r="M1690" s="8">
        <f>IF(Table1[[#This Row],[Ad Spend]]=0,0,Table1[[#This Row],[Revenue]]/Table1[[#This Row],[Ad Spend]])</f>
        <v>4.042988196711625</v>
      </c>
      <c r="N1690">
        <f>YEAR(Table1[[#This Row],[Date]])</f>
        <v>2024</v>
      </c>
      <c r="O1690" t="str">
        <f>TEXT(Table1[[#This Row],[Date]],"mmm")</f>
        <v>Dec</v>
      </c>
      <c r="P1690">
        <f>MONTH(Table1[[#This Row],[Date]])</f>
        <v>12</v>
      </c>
    </row>
    <row r="1691" spans="1:16" x14ac:dyDescent="0.25">
      <c r="A1691" t="s">
        <v>1710</v>
      </c>
      <c r="B1691" t="s">
        <v>47</v>
      </c>
      <c r="C1691" t="s">
        <v>37</v>
      </c>
      <c r="D1691" s="1">
        <v>45491</v>
      </c>
      <c r="E1691">
        <v>64866</v>
      </c>
      <c r="F1691">
        <v>2336</v>
      </c>
      <c r="G1691">
        <v>301</v>
      </c>
      <c r="H1691" s="4">
        <v>414.83</v>
      </c>
      <c r="I1691" s="4">
        <v>10284.25</v>
      </c>
      <c r="J1691" s="7">
        <f>Table1[[#This Row],[Clicks]]/Table1[[#This Row],[Impressions]]</f>
        <v>3.6012703111028888E-2</v>
      </c>
      <c r="K1691" s="7">
        <f>IFERROR(Table1[[#This Row],[Conversions]]/Table1[[#This Row],[Clicks]],0)</f>
        <v>0.1288527397260274</v>
      </c>
      <c r="L1691" s="6">
        <f>IF(Table1[[#This Row],[Conversions]]=0,0,Table1[[#This Row],[Ad Spend]]/Table1[[#This Row],[Conversions]])</f>
        <v>1.3781727574750831</v>
      </c>
      <c r="M1691" s="8">
        <f>IF(Table1[[#This Row],[Ad Spend]]=0,0,Table1[[#This Row],[Revenue]]/Table1[[#This Row],[Ad Spend]])</f>
        <v>24.791480847576118</v>
      </c>
      <c r="N1691">
        <f>YEAR(Table1[[#This Row],[Date]])</f>
        <v>2024</v>
      </c>
      <c r="O1691" t="str">
        <f>TEXT(Table1[[#This Row],[Date]],"mmm")</f>
        <v>Jul</v>
      </c>
      <c r="P1691">
        <f>MONTH(Table1[[#This Row],[Date]])</f>
        <v>7</v>
      </c>
    </row>
    <row r="1692" spans="1:16" x14ac:dyDescent="0.25">
      <c r="A1692" t="s">
        <v>1711</v>
      </c>
      <c r="B1692" t="s">
        <v>14</v>
      </c>
      <c r="C1692" t="s">
        <v>12</v>
      </c>
      <c r="D1692" s="1">
        <v>45634</v>
      </c>
      <c r="E1692">
        <v>72681</v>
      </c>
      <c r="F1692">
        <v>5213</v>
      </c>
      <c r="G1692">
        <v>390</v>
      </c>
      <c r="H1692" s="4">
        <v>2938.59</v>
      </c>
      <c r="I1692" s="4">
        <v>41485.99</v>
      </c>
      <c r="J1692" s="7">
        <f>Table1[[#This Row],[Clicks]]/Table1[[#This Row],[Impressions]]</f>
        <v>7.1724384639727023E-2</v>
      </c>
      <c r="K1692" s="7">
        <f>IFERROR(Table1[[#This Row],[Conversions]]/Table1[[#This Row],[Clicks]],0)</f>
        <v>7.4812967581047385E-2</v>
      </c>
      <c r="L1692" s="6">
        <f>IF(Table1[[#This Row],[Conversions]]=0,0,Table1[[#This Row],[Ad Spend]]/Table1[[#This Row],[Conversions]])</f>
        <v>7.5348461538461544</v>
      </c>
      <c r="M1692" s="8">
        <f>IF(Table1[[#This Row],[Ad Spend]]=0,0,Table1[[#This Row],[Revenue]]/Table1[[#This Row],[Ad Spend]])</f>
        <v>14.117651662872328</v>
      </c>
      <c r="N1692">
        <f>YEAR(Table1[[#This Row],[Date]])</f>
        <v>2024</v>
      </c>
      <c r="O1692" t="str">
        <f>TEXT(Table1[[#This Row],[Date]],"mmm")</f>
        <v>Dec</v>
      </c>
      <c r="P1692">
        <f>MONTH(Table1[[#This Row],[Date]])</f>
        <v>12</v>
      </c>
    </row>
    <row r="1693" spans="1:16" x14ac:dyDescent="0.25">
      <c r="A1693" t="s">
        <v>1712</v>
      </c>
      <c r="B1693" t="s">
        <v>34</v>
      </c>
      <c r="C1693" t="s">
        <v>37</v>
      </c>
      <c r="D1693" s="1">
        <v>45626</v>
      </c>
      <c r="E1693">
        <v>76464</v>
      </c>
      <c r="F1693">
        <v>2954</v>
      </c>
      <c r="G1693">
        <v>63</v>
      </c>
      <c r="H1693" s="4">
        <v>4153.0600000000004</v>
      </c>
      <c r="I1693" s="4">
        <v>3635.93</v>
      </c>
      <c r="J1693" s="7">
        <f>Table1[[#This Row],[Clicks]]/Table1[[#This Row],[Impressions]]</f>
        <v>3.8632559112785105E-2</v>
      </c>
      <c r="K1693" s="7">
        <f>IFERROR(Table1[[#This Row],[Conversions]]/Table1[[#This Row],[Clicks]],0)</f>
        <v>2.132701421800948E-2</v>
      </c>
      <c r="L1693" s="6">
        <f>IF(Table1[[#This Row],[Conversions]]=0,0,Table1[[#This Row],[Ad Spend]]/Table1[[#This Row],[Conversions]])</f>
        <v>65.921587301587309</v>
      </c>
      <c r="M1693" s="8">
        <f>IF(Table1[[#This Row],[Ad Spend]]=0,0,Table1[[#This Row],[Revenue]]/Table1[[#This Row],[Ad Spend]])</f>
        <v>0.87548217458933886</v>
      </c>
      <c r="N1693">
        <f>YEAR(Table1[[#This Row],[Date]])</f>
        <v>2024</v>
      </c>
      <c r="O1693" t="str">
        <f>TEXT(Table1[[#This Row],[Date]],"mmm")</f>
        <v>Nov</v>
      </c>
      <c r="P1693">
        <f>MONTH(Table1[[#This Row],[Date]])</f>
        <v>11</v>
      </c>
    </row>
    <row r="1694" spans="1:16" x14ac:dyDescent="0.25">
      <c r="A1694" t="s">
        <v>1713</v>
      </c>
      <c r="B1694" t="s">
        <v>14</v>
      </c>
      <c r="C1694" t="s">
        <v>17</v>
      </c>
      <c r="D1694" s="1">
        <v>45421</v>
      </c>
      <c r="E1694">
        <v>7734</v>
      </c>
      <c r="F1694">
        <v>416</v>
      </c>
      <c r="G1694">
        <v>29</v>
      </c>
      <c r="H1694" s="4">
        <v>3540.81</v>
      </c>
      <c r="I1694" s="4">
        <v>1882.47</v>
      </c>
      <c r="J1694" s="7">
        <f>Table1[[#This Row],[Clicks]]/Table1[[#This Row],[Impressions]]</f>
        <v>5.3788466511507628E-2</v>
      </c>
      <c r="K1694" s="7">
        <f>IFERROR(Table1[[#This Row],[Conversions]]/Table1[[#This Row],[Clicks]],0)</f>
        <v>6.9711538461538464E-2</v>
      </c>
      <c r="L1694" s="6">
        <f>IF(Table1[[#This Row],[Conversions]]=0,0,Table1[[#This Row],[Ad Spend]]/Table1[[#This Row],[Conversions]])</f>
        <v>122.09689655172414</v>
      </c>
      <c r="M1694" s="8">
        <f>IF(Table1[[#This Row],[Ad Spend]]=0,0,Table1[[#This Row],[Revenue]]/Table1[[#This Row],[Ad Spend]])</f>
        <v>0.53164953781761803</v>
      </c>
      <c r="N1694">
        <f>YEAR(Table1[[#This Row],[Date]])</f>
        <v>2024</v>
      </c>
      <c r="O1694" t="str">
        <f>TEXT(Table1[[#This Row],[Date]],"mmm")</f>
        <v>May</v>
      </c>
      <c r="P1694">
        <f>MONTH(Table1[[#This Row],[Date]])</f>
        <v>5</v>
      </c>
    </row>
    <row r="1695" spans="1:16" x14ac:dyDescent="0.25">
      <c r="A1695" t="s">
        <v>1714</v>
      </c>
      <c r="B1695" t="s">
        <v>14</v>
      </c>
      <c r="C1695" t="s">
        <v>10</v>
      </c>
      <c r="D1695" s="1">
        <v>45618</v>
      </c>
      <c r="E1695">
        <v>34984</v>
      </c>
      <c r="F1695">
        <v>632</v>
      </c>
      <c r="G1695">
        <v>86</v>
      </c>
      <c r="H1695" s="4">
        <v>2544.98</v>
      </c>
      <c r="I1695" s="4">
        <v>3296.88</v>
      </c>
      <c r="J1695" s="7">
        <f>Table1[[#This Row],[Clicks]]/Table1[[#This Row],[Impressions]]</f>
        <v>1.8065401326320604E-2</v>
      </c>
      <c r="K1695" s="7">
        <f>IFERROR(Table1[[#This Row],[Conversions]]/Table1[[#This Row],[Clicks]],0)</f>
        <v>0.13607594936708861</v>
      </c>
      <c r="L1695" s="6">
        <f>IF(Table1[[#This Row],[Conversions]]=0,0,Table1[[#This Row],[Ad Spend]]/Table1[[#This Row],[Conversions]])</f>
        <v>29.59279069767442</v>
      </c>
      <c r="M1695" s="8">
        <f>IF(Table1[[#This Row],[Ad Spend]]=0,0,Table1[[#This Row],[Revenue]]/Table1[[#This Row],[Ad Spend]])</f>
        <v>1.2954443649851866</v>
      </c>
      <c r="N1695">
        <f>YEAR(Table1[[#This Row],[Date]])</f>
        <v>2024</v>
      </c>
      <c r="O1695" t="str">
        <f>TEXT(Table1[[#This Row],[Date]],"mmm")</f>
        <v>Nov</v>
      </c>
      <c r="P1695">
        <f>MONTH(Table1[[#This Row],[Date]])</f>
        <v>11</v>
      </c>
    </row>
    <row r="1696" spans="1:16" x14ac:dyDescent="0.25">
      <c r="A1696" t="s">
        <v>1715</v>
      </c>
      <c r="B1696" t="s">
        <v>47</v>
      </c>
      <c r="C1696" t="s">
        <v>37</v>
      </c>
      <c r="D1696" s="1">
        <v>45670</v>
      </c>
      <c r="E1696">
        <v>72239</v>
      </c>
      <c r="F1696">
        <v>5553</v>
      </c>
      <c r="G1696">
        <v>627</v>
      </c>
      <c r="H1696" s="4">
        <v>3536.09</v>
      </c>
      <c r="I1696" s="4">
        <v>30397.39</v>
      </c>
      <c r="J1696" s="7">
        <f>Table1[[#This Row],[Clicks]]/Table1[[#This Row],[Impressions]]</f>
        <v>7.6869834853749361E-2</v>
      </c>
      <c r="K1696" s="7">
        <f>IFERROR(Table1[[#This Row],[Conversions]]/Table1[[#This Row],[Clicks]],0)</f>
        <v>0.11291193949216639</v>
      </c>
      <c r="L1696" s="6">
        <f>IF(Table1[[#This Row],[Conversions]]=0,0,Table1[[#This Row],[Ad Spend]]/Table1[[#This Row],[Conversions]])</f>
        <v>5.6396969696969697</v>
      </c>
      <c r="M1696" s="8">
        <f>IF(Table1[[#This Row],[Ad Spend]]=0,0,Table1[[#This Row],[Revenue]]/Table1[[#This Row],[Ad Spend]])</f>
        <v>8.5963281477564202</v>
      </c>
      <c r="N1696">
        <f>YEAR(Table1[[#This Row],[Date]])</f>
        <v>2025</v>
      </c>
      <c r="O1696" t="str">
        <f>TEXT(Table1[[#This Row],[Date]],"mmm")</f>
        <v>Jan</v>
      </c>
      <c r="P1696">
        <f>MONTH(Table1[[#This Row],[Date]])</f>
        <v>1</v>
      </c>
    </row>
    <row r="1697" spans="1:16" x14ac:dyDescent="0.25">
      <c r="A1697" t="s">
        <v>1716</v>
      </c>
      <c r="B1697" t="s">
        <v>34</v>
      </c>
      <c r="C1697" t="s">
        <v>19</v>
      </c>
      <c r="D1697" s="1">
        <v>45583</v>
      </c>
      <c r="E1697">
        <v>73550</v>
      </c>
      <c r="F1697">
        <v>1294</v>
      </c>
      <c r="G1697">
        <v>45</v>
      </c>
      <c r="H1697" s="4">
        <v>4149.8100000000004</v>
      </c>
      <c r="I1697" s="4">
        <v>4878.12</v>
      </c>
      <c r="J1697" s="7">
        <f>Table1[[#This Row],[Clicks]]/Table1[[#This Row],[Impressions]]</f>
        <v>1.7593473827328347E-2</v>
      </c>
      <c r="K1697" s="7">
        <f>IFERROR(Table1[[#This Row],[Conversions]]/Table1[[#This Row],[Clicks]],0)</f>
        <v>3.4775888717156103E-2</v>
      </c>
      <c r="L1697" s="6">
        <f>IF(Table1[[#This Row],[Conversions]]=0,0,Table1[[#This Row],[Ad Spend]]/Table1[[#This Row],[Conversions]])</f>
        <v>92.218000000000004</v>
      </c>
      <c r="M1697" s="8">
        <f>IF(Table1[[#This Row],[Ad Spend]]=0,0,Table1[[#This Row],[Revenue]]/Table1[[#This Row],[Ad Spend]])</f>
        <v>1.1755044206843204</v>
      </c>
      <c r="N1697">
        <f>YEAR(Table1[[#This Row],[Date]])</f>
        <v>2024</v>
      </c>
      <c r="O1697" t="str">
        <f>TEXT(Table1[[#This Row],[Date]],"mmm")</f>
        <v>Oct</v>
      </c>
      <c r="P1697">
        <f>MONTH(Table1[[#This Row],[Date]])</f>
        <v>10</v>
      </c>
    </row>
    <row r="1698" spans="1:16" x14ac:dyDescent="0.25">
      <c r="A1698" t="s">
        <v>1717</v>
      </c>
      <c r="B1698" t="s">
        <v>9</v>
      </c>
      <c r="C1698" t="s">
        <v>12</v>
      </c>
      <c r="D1698" s="1">
        <v>45546</v>
      </c>
      <c r="E1698">
        <v>57635</v>
      </c>
      <c r="F1698">
        <v>1089</v>
      </c>
      <c r="G1698">
        <v>162</v>
      </c>
      <c r="H1698" s="4">
        <v>2450.9899999999998</v>
      </c>
      <c r="I1698" s="4">
        <v>5011.37</v>
      </c>
      <c r="J1698" s="7">
        <f>Table1[[#This Row],[Clicks]]/Table1[[#This Row],[Impressions]]</f>
        <v>1.8894768803678321E-2</v>
      </c>
      <c r="K1698" s="7">
        <f>IFERROR(Table1[[#This Row],[Conversions]]/Table1[[#This Row],[Clicks]],0)</f>
        <v>0.1487603305785124</v>
      </c>
      <c r="L1698" s="6">
        <f>IF(Table1[[#This Row],[Conversions]]=0,0,Table1[[#This Row],[Ad Spend]]/Table1[[#This Row],[Conversions]])</f>
        <v>15.129567901234566</v>
      </c>
      <c r="M1698" s="8">
        <f>IF(Table1[[#This Row],[Ad Spend]]=0,0,Table1[[#This Row],[Revenue]]/Table1[[#This Row],[Ad Spend]])</f>
        <v>2.0446309450466957</v>
      </c>
      <c r="N1698">
        <f>YEAR(Table1[[#This Row],[Date]])</f>
        <v>2024</v>
      </c>
      <c r="O1698" t="str">
        <f>TEXT(Table1[[#This Row],[Date]],"mmm")</f>
        <v>Sept</v>
      </c>
      <c r="P1698">
        <f>MONTH(Table1[[#This Row],[Date]])</f>
        <v>9</v>
      </c>
    </row>
    <row r="1699" spans="1:16" x14ac:dyDescent="0.25">
      <c r="A1699" t="s">
        <v>1718</v>
      </c>
      <c r="B1699" t="s">
        <v>14</v>
      </c>
      <c r="C1699" t="s">
        <v>10</v>
      </c>
      <c r="D1699" s="1">
        <v>45490</v>
      </c>
      <c r="E1699">
        <v>53359</v>
      </c>
      <c r="F1699">
        <v>845</v>
      </c>
      <c r="G1699">
        <v>93</v>
      </c>
      <c r="H1699" s="4">
        <v>523.52</v>
      </c>
      <c r="I1699" s="4">
        <v>5914.32</v>
      </c>
      <c r="J1699" s="7">
        <f>Table1[[#This Row],[Clicks]]/Table1[[#This Row],[Impressions]]</f>
        <v>1.5836128862984689E-2</v>
      </c>
      <c r="K1699" s="7">
        <f>IFERROR(Table1[[#This Row],[Conversions]]/Table1[[#This Row],[Clicks]],0)</f>
        <v>0.11005917159763313</v>
      </c>
      <c r="L1699" s="6">
        <f>IF(Table1[[#This Row],[Conversions]]=0,0,Table1[[#This Row],[Ad Spend]]/Table1[[#This Row],[Conversions]])</f>
        <v>5.6292473118279567</v>
      </c>
      <c r="M1699" s="8">
        <f>IF(Table1[[#This Row],[Ad Spend]]=0,0,Table1[[#This Row],[Revenue]]/Table1[[#This Row],[Ad Spend]])</f>
        <v>11.297218826405867</v>
      </c>
      <c r="N1699">
        <f>YEAR(Table1[[#This Row],[Date]])</f>
        <v>2024</v>
      </c>
      <c r="O1699" t="str">
        <f>TEXT(Table1[[#This Row],[Date]],"mmm")</f>
        <v>Jul</v>
      </c>
      <c r="P1699">
        <f>MONTH(Table1[[#This Row],[Date]])</f>
        <v>7</v>
      </c>
    </row>
    <row r="1700" spans="1:16" x14ac:dyDescent="0.25">
      <c r="A1700" t="s">
        <v>1719</v>
      </c>
      <c r="B1700" t="s">
        <v>47</v>
      </c>
      <c r="C1700" t="s">
        <v>17</v>
      </c>
      <c r="D1700" s="1">
        <v>45670</v>
      </c>
      <c r="E1700">
        <v>42423</v>
      </c>
      <c r="F1700">
        <v>1736</v>
      </c>
      <c r="G1700">
        <v>208</v>
      </c>
      <c r="H1700" s="4">
        <v>3381.81</v>
      </c>
      <c r="I1700" s="4">
        <v>14635.28</v>
      </c>
      <c r="J1700" s="7">
        <f>Table1[[#This Row],[Clicks]]/Table1[[#This Row],[Impressions]]</f>
        <v>4.0921198406524764E-2</v>
      </c>
      <c r="K1700" s="7">
        <f>IFERROR(Table1[[#This Row],[Conversions]]/Table1[[#This Row],[Clicks]],0)</f>
        <v>0.11981566820276497</v>
      </c>
      <c r="L1700" s="6">
        <f>IF(Table1[[#This Row],[Conversions]]=0,0,Table1[[#This Row],[Ad Spend]]/Table1[[#This Row],[Conversions]])</f>
        <v>16.258701923076924</v>
      </c>
      <c r="M1700" s="8">
        <f>IF(Table1[[#This Row],[Ad Spend]]=0,0,Table1[[#This Row],[Revenue]]/Table1[[#This Row],[Ad Spend]])</f>
        <v>4.3276470292535656</v>
      </c>
      <c r="N1700">
        <f>YEAR(Table1[[#This Row],[Date]])</f>
        <v>2025</v>
      </c>
      <c r="O1700" t="str">
        <f>TEXT(Table1[[#This Row],[Date]],"mmm")</f>
        <v>Jan</v>
      </c>
      <c r="P1700">
        <f>MONTH(Table1[[#This Row],[Date]])</f>
        <v>1</v>
      </c>
    </row>
    <row r="1701" spans="1:16" x14ac:dyDescent="0.25">
      <c r="A1701" t="s">
        <v>1720</v>
      </c>
      <c r="B1701" t="s">
        <v>14</v>
      </c>
      <c r="C1701" t="s">
        <v>37</v>
      </c>
      <c r="D1701" s="1">
        <v>45663</v>
      </c>
      <c r="E1701">
        <v>88341</v>
      </c>
      <c r="F1701">
        <v>1154</v>
      </c>
      <c r="G1701">
        <v>25</v>
      </c>
      <c r="H1701" s="4">
        <v>933.01</v>
      </c>
      <c r="I1701" s="4">
        <v>2648.72</v>
      </c>
      <c r="J1701" s="7">
        <f>Table1[[#This Row],[Clicks]]/Table1[[#This Row],[Impressions]]</f>
        <v>1.3063017172094498E-2</v>
      </c>
      <c r="K1701" s="7">
        <f>IFERROR(Table1[[#This Row],[Conversions]]/Table1[[#This Row],[Clicks]],0)</f>
        <v>2.1663778162911613E-2</v>
      </c>
      <c r="L1701" s="6">
        <f>IF(Table1[[#This Row],[Conversions]]=0,0,Table1[[#This Row],[Ad Spend]]/Table1[[#This Row],[Conversions]])</f>
        <v>37.320399999999999</v>
      </c>
      <c r="M1701" s="8">
        <f>IF(Table1[[#This Row],[Ad Spend]]=0,0,Table1[[#This Row],[Revenue]]/Table1[[#This Row],[Ad Spend]])</f>
        <v>2.8388977610100641</v>
      </c>
      <c r="N1701">
        <f>YEAR(Table1[[#This Row],[Date]])</f>
        <v>2025</v>
      </c>
      <c r="O1701" t="str">
        <f>TEXT(Table1[[#This Row],[Date]],"mmm")</f>
        <v>Jan</v>
      </c>
      <c r="P1701">
        <f>MONTH(Table1[[#This Row],[Date]])</f>
        <v>1</v>
      </c>
    </row>
    <row r="1702" spans="1:16" x14ac:dyDescent="0.25">
      <c r="A1702" t="s">
        <v>1721</v>
      </c>
      <c r="B1702" t="s">
        <v>34</v>
      </c>
      <c r="C1702" t="s">
        <v>37</v>
      </c>
      <c r="D1702" s="1">
        <v>45471</v>
      </c>
      <c r="E1702">
        <v>126119</v>
      </c>
      <c r="F1702">
        <v>3032</v>
      </c>
      <c r="G1702">
        <v>314</v>
      </c>
      <c r="H1702" s="4">
        <v>2078.3000000000002</v>
      </c>
      <c r="I1702" s="4">
        <v>11087.26</v>
      </c>
      <c r="J1702" s="7">
        <f>Table1[[#This Row],[Clicks]]/Table1[[#This Row],[Impressions]]</f>
        <v>2.4040786875887059E-2</v>
      </c>
      <c r="K1702" s="7">
        <f>IFERROR(Table1[[#This Row],[Conversions]]/Table1[[#This Row],[Clicks]],0)</f>
        <v>0.10356200527704486</v>
      </c>
      <c r="L1702" s="6">
        <f>IF(Table1[[#This Row],[Conversions]]=0,0,Table1[[#This Row],[Ad Spend]]/Table1[[#This Row],[Conversions]])</f>
        <v>6.6187898089171977</v>
      </c>
      <c r="M1702" s="8">
        <f>IF(Table1[[#This Row],[Ad Spend]]=0,0,Table1[[#This Row],[Revenue]]/Table1[[#This Row],[Ad Spend]])</f>
        <v>5.3347736130491263</v>
      </c>
      <c r="N1702">
        <f>YEAR(Table1[[#This Row],[Date]])</f>
        <v>2024</v>
      </c>
      <c r="O1702" t="str">
        <f>TEXT(Table1[[#This Row],[Date]],"mmm")</f>
        <v>Jun</v>
      </c>
      <c r="P1702">
        <f>MONTH(Table1[[#This Row],[Date]])</f>
        <v>6</v>
      </c>
    </row>
    <row r="1703" spans="1:16" x14ac:dyDescent="0.25">
      <c r="A1703" t="s">
        <v>1722</v>
      </c>
      <c r="B1703" t="s">
        <v>34</v>
      </c>
      <c r="C1703" t="s">
        <v>12</v>
      </c>
      <c r="D1703" s="1">
        <v>45324</v>
      </c>
      <c r="E1703">
        <v>64044</v>
      </c>
      <c r="F1703">
        <v>1465</v>
      </c>
      <c r="G1703">
        <v>66</v>
      </c>
      <c r="H1703" s="4">
        <v>3358.46</v>
      </c>
      <c r="I1703" s="4">
        <v>4216.55</v>
      </c>
      <c r="J1703" s="7">
        <f>Table1[[#This Row],[Clicks]]/Table1[[#This Row],[Impressions]]</f>
        <v>2.2874898507276246E-2</v>
      </c>
      <c r="K1703" s="7">
        <f>IFERROR(Table1[[#This Row],[Conversions]]/Table1[[#This Row],[Clicks]],0)</f>
        <v>4.5051194539249148E-2</v>
      </c>
      <c r="L1703" s="6">
        <f>IF(Table1[[#This Row],[Conversions]]=0,0,Table1[[#This Row],[Ad Spend]]/Table1[[#This Row],[Conversions]])</f>
        <v>50.885757575757573</v>
      </c>
      <c r="M1703" s="8">
        <f>IF(Table1[[#This Row],[Ad Spend]]=0,0,Table1[[#This Row],[Revenue]]/Table1[[#This Row],[Ad Spend]])</f>
        <v>1.2555010332116505</v>
      </c>
      <c r="N1703">
        <f>YEAR(Table1[[#This Row],[Date]])</f>
        <v>2024</v>
      </c>
      <c r="O1703" t="str">
        <f>TEXT(Table1[[#This Row],[Date]],"mmm")</f>
        <v>Feb</v>
      </c>
      <c r="P1703">
        <f>MONTH(Table1[[#This Row],[Date]])</f>
        <v>2</v>
      </c>
    </row>
    <row r="1704" spans="1:16" x14ac:dyDescent="0.25">
      <c r="A1704" t="s">
        <v>1723</v>
      </c>
      <c r="B1704" t="s">
        <v>41</v>
      </c>
      <c r="C1704" t="s">
        <v>10</v>
      </c>
      <c r="D1704" s="1">
        <v>45417</v>
      </c>
      <c r="E1704">
        <v>143557</v>
      </c>
      <c r="F1704">
        <v>4327</v>
      </c>
      <c r="G1704">
        <v>177</v>
      </c>
      <c r="H1704" s="4">
        <v>2826.19</v>
      </c>
      <c r="I1704" s="4">
        <v>9160.7000000000007</v>
      </c>
      <c r="J1704" s="7">
        <f>Table1[[#This Row],[Clicks]]/Table1[[#This Row],[Impressions]]</f>
        <v>3.0141337587160501E-2</v>
      </c>
      <c r="K1704" s="7">
        <f>IFERROR(Table1[[#This Row],[Conversions]]/Table1[[#This Row],[Clicks]],0)</f>
        <v>4.0905939449965331E-2</v>
      </c>
      <c r="L1704" s="6">
        <f>IF(Table1[[#This Row],[Conversions]]=0,0,Table1[[#This Row],[Ad Spend]]/Table1[[#This Row],[Conversions]])</f>
        <v>15.967175141242938</v>
      </c>
      <c r="M1704" s="8">
        <f>IF(Table1[[#This Row],[Ad Spend]]=0,0,Table1[[#This Row],[Revenue]]/Table1[[#This Row],[Ad Spend]])</f>
        <v>3.2413602765560703</v>
      </c>
      <c r="N1704">
        <f>YEAR(Table1[[#This Row],[Date]])</f>
        <v>2024</v>
      </c>
      <c r="O1704" t="str">
        <f>TEXT(Table1[[#This Row],[Date]],"mmm")</f>
        <v>May</v>
      </c>
      <c r="P1704">
        <f>MONTH(Table1[[#This Row],[Date]])</f>
        <v>5</v>
      </c>
    </row>
    <row r="1705" spans="1:16" x14ac:dyDescent="0.25">
      <c r="A1705" t="s">
        <v>1724</v>
      </c>
      <c r="B1705" t="s">
        <v>9</v>
      </c>
      <c r="C1705" t="s">
        <v>10</v>
      </c>
      <c r="D1705" s="1">
        <v>45501</v>
      </c>
      <c r="E1705">
        <v>140802</v>
      </c>
      <c r="F1705">
        <v>6673</v>
      </c>
      <c r="G1705">
        <v>670</v>
      </c>
      <c r="H1705" s="4">
        <v>1015.59</v>
      </c>
      <c r="I1705" s="4">
        <v>75897.64</v>
      </c>
      <c r="J1705" s="7">
        <f>Table1[[#This Row],[Clicks]]/Table1[[#This Row],[Impressions]]</f>
        <v>4.7392792716012558E-2</v>
      </c>
      <c r="K1705" s="7">
        <f>IFERROR(Table1[[#This Row],[Conversions]]/Table1[[#This Row],[Clicks]],0)</f>
        <v>0.10040461561516559</v>
      </c>
      <c r="L1705" s="6">
        <f>IF(Table1[[#This Row],[Conversions]]=0,0,Table1[[#This Row],[Ad Spend]]/Table1[[#This Row],[Conversions]])</f>
        <v>1.5158059701492539</v>
      </c>
      <c r="M1705" s="8">
        <f>IF(Table1[[#This Row],[Ad Spend]]=0,0,Table1[[#This Row],[Revenue]]/Table1[[#This Row],[Ad Spend]])</f>
        <v>74.732559398970054</v>
      </c>
      <c r="N1705">
        <f>YEAR(Table1[[#This Row],[Date]])</f>
        <v>2024</v>
      </c>
      <c r="O1705" t="str">
        <f>TEXT(Table1[[#This Row],[Date]],"mmm")</f>
        <v>Jul</v>
      </c>
      <c r="P1705">
        <f>MONTH(Table1[[#This Row],[Date]])</f>
        <v>7</v>
      </c>
    </row>
    <row r="1706" spans="1:16" x14ac:dyDescent="0.25">
      <c r="A1706" t="s">
        <v>1725</v>
      </c>
      <c r="B1706" t="s">
        <v>47</v>
      </c>
      <c r="C1706" t="s">
        <v>10</v>
      </c>
      <c r="D1706" s="1">
        <v>45365</v>
      </c>
      <c r="E1706">
        <v>32208</v>
      </c>
      <c r="F1706">
        <v>1864</v>
      </c>
      <c r="G1706">
        <v>38</v>
      </c>
      <c r="H1706" s="4">
        <v>216.42</v>
      </c>
      <c r="I1706" s="4">
        <v>981.99</v>
      </c>
      <c r="J1706" s="7">
        <f>Table1[[#This Row],[Clicks]]/Table1[[#This Row],[Impressions]]</f>
        <v>5.7873820168902135E-2</v>
      </c>
      <c r="K1706" s="7">
        <f>IFERROR(Table1[[#This Row],[Conversions]]/Table1[[#This Row],[Clicks]],0)</f>
        <v>2.03862660944206E-2</v>
      </c>
      <c r="L1706" s="6">
        <f>IF(Table1[[#This Row],[Conversions]]=0,0,Table1[[#This Row],[Ad Spend]]/Table1[[#This Row],[Conversions]])</f>
        <v>5.6952631578947361</v>
      </c>
      <c r="M1706" s="8">
        <f>IF(Table1[[#This Row],[Ad Spend]]=0,0,Table1[[#This Row],[Revenue]]/Table1[[#This Row],[Ad Spend]])</f>
        <v>4.537427224840588</v>
      </c>
      <c r="N1706">
        <f>YEAR(Table1[[#This Row],[Date]])</f>
        <v>2024</v>
      </c>
      <c r="O1706" t="str">
        <f>TEXT(Table1[[#This Row],[Date]],"mmm")</f>
        <v>Mar</v>
      </c>
      <c r="P1706">
        <f>MONTH(Table1[[#This Row],[Date]])</f>
        <v>3</v>
      </c>
    </row>
    <row r="1707" spans="1:16" x14ac:dyDescent="0.25">
      <c r="A1707" t="s">
        <v>1726</v>
      </c>
      <c r="B1707" t="s">
        <v>21</v>
      </c>
      <c r="C1707" t="s">
        <v>12</v>
      </c>
      <c r="D1707" s="1">
        <v>45353</v>
      </c>
      <c r="E1707">
        <v>63856</v>
      </c>
      <c r="F1707">
        <v>4045</v>
      </c>
      <c r="G1707">
        <v>99</v>
      </c>
      <c r="H1707" s="4">
        <v>2818.8</v>
      </c>
      <c r="I1707" s="4">
        <v>2175.9499999999998</v>
      </c>
      <c r="J1707" s="7">
        <f>Table1[[#This Row],[Clicks]]/Table1[[#This Row],[Impressions]]</f>
        <v>6.3345652718616891E-2</v>
      </c>
      <c r="K1707" s="7">
        <f>IFERROR(Table1[[#This Row],[Conversions]]/Table1[[#This Row],[Clicks]],0)</f>
        <v>2.4474660074165638E-2</v>
      </c>
      <c r="L1707" s="6">
        <f>IF(Table1[[#This Row],[Conversions]]=0,0,Table1[[#This Row],[Ad Spend]]/Table1[[#This Row],[Conversions]])</f>
        <v>28.472727272727276</v>
      </c>
      <c r="M1707" s="8">
        <f>IF(Table1[[#This Row],[Ad Spend]]=0,0,Table1[[#This Row],[Revenue]]/Table1[[#This Row],[Ad Spend]])</f>
        <v>0.77194196111820623</v>
      </c>
      <c r="N1707">
        <f>YEAR(Table1[[#This Row],[Date]])</f>
        <v>2024</v>
      </c>
      <c r="O1707" t="str">
        <f>TEXT(Table1[[#This Row],[Date]],"mmm")</f>
        <v>Mar</v>
      </c>
      <c r="P1707">
        <f>MONTH(Table1[[#This Row],[Date]])</f>
        <v>3</v>
      </c>
    </row>
    <row r="1708" spans="1:16" x14ac:dyDescent="0.25">
      <c r="A1708" t="s">
        <v>1727</v>
      </c>
      <c r="B1708" t="s">
        <v>41</v>
      </c>
      <c r="C1708" t="s">
        <v>12</v>
      </c>
      <c r="D1708" s="1">
        <v>45622</v>
      </c>
      <c r="E1708">
        <v>106201</v>
      </c>
      <c r="F1708">
        <v>3161</v>
      </c>
      <c r="G1708">
        <v>316</v>
      </c>
      <c r="H1708" s="4">
        <v>2358.42</v>
      </c>
      <c r="I1708" s="4">
        <v>29958.99</v>
      </c>
      <c r="J1708" s="7">
        <f>Table1[[#This Row],[Clicks]]/Table1[[#This Row],[Impressions]]</f>
        <v>2.9764314836960105E-2</v>
      </c>
      <c r="K1708" s="7">
        <f>IFERROR(Table1[[#This Row],[Conversions]]/Table1[[#This Row],[Clicks]],0)</f>
        <v>9.9968364441632401E-2</v>
      </c>
      <c r="L1708" s="6">
        <f>IF(Table1[[#This Row],[Conversions]]=0,0,Table1[[#This Row],[Ad Spend]]/Table1[[#This Row],[Conversions]])</f>
        <v>7.4633544303797468</v>
      </c>
      <c r="M1708" s="8">
        <f>IF(Table1[[#This Row],[Ad Spend]]=0,0,Table1[[#This Row],[Revenue]]/Table1[[#This Row],[Ad Spend]])</f>
        <v>12.702991833515659</v>
      </c>
      <c r="N1708">
        <f>YEAR(Table1[[#This Row],[Date]])</f>
        <v>2024</v>
      </c>
      <c r="O1708" t="str">
        <f>TEXT(Table1[[#This Row],[Date]],"mmm")</f>
        <v>Nov</v>
      </c>
      <c r="P1708">
        <f>MONTH(Table1[[#This Row],[Date]])</f>
        <v>11</v>
      </c>
    </row>
    <row r="1709" spans="1:16" x14ac:dyDescent="0.25">
      <c r="A1709" t="s">
        <v>1728</v>
      </c>
      <c r="B1709" t="s">
        <v>41</v>
      </c>
      <c r="C1709" t="s">
        <v>12</v>
      </c>
      <c r="D1709" s="1">
        <v>45420</v>
      </c>
      <c r="E1709">
        <v>95478</v>
      </c>
      <c r="F1709">
        <v>7505</v>
      </c>
      <c r="G1709">
        <v>771</v>
      </c>
      <c r="H1709" s="4">
        <v>2499.8200000000002</v>
      </c>
      <c r="I1709" s="4">
        <v>84700.27</v>
      </c>
      <c r="J1709" s="7">
        <f>Table1[[#This Row],[Clicks]]/Table1[[#This Row],[Impressions]]</f>
        <v>7.8604495276398748E-2</v>
      </c>
      <c r="K1709" s="7">
        <f>IFERROR(Table1[[#This Row],[Conversions]]/Table1[[#This Row],[Clicks]],0)</f>
        <v>0.10273151232511658</v>
      </c>
      <c r="L1709" s="6">
        <f>IF(Table1[[#This Row],[Conversions]]=0,0,Table1[[#This Row],[Ad Spend]]/Table1[[#This Row],[Conversions]])</f>
        <v>3.2423086900129703</v>
      </c>
      <c r="M1709" s="8">
        <f>IF(Table1[[#This Row],[Ad Spend]]=0,0,Table1[[#This Row],[Revenue]]/Table1[[#This Row],[Ad Spend]])</f>
        <v>33.882547543423129</v>
      </c>
      <c r="N1709">
        <f>YEAR(Table1[[#This Row],[Date]])</f>
        <v>2024</v>
      </c>
      <c r="O1709" t="str">
        <f>TEXT(Table1[[#This Row],[Date]],"mmm")</f>
        <v>May</v>
      </c>
      <c r="P1709">
        <f>MONTH(Table1[[#This Row],[Date]])</f>
        <v>5</v>
      </c>
    </row>
    <row r="1710" spans="1:16" x14ac:dyDescent="0.25">
      <c r="A1710" t="s">
        <v>1729</v>
      </c>
      <c r="B1710" t="s">
        <v>41</v>
      </c>
      <c r="C1710" t="s">
        <v>12</v>
      </c>
      <c r="D1710" s="1">
        <v>45476</v>
      </c>
      <c r="E1710">
        <v>63678</v>
      </c>
      <c r="F1710">
        <v>1280</v>
      </c>
      <c r="G1710">
        <v>131</v>
      </c>
      <c r="H1710" s="4">
        <v>1036.9000000000001</v>
      </c>
      <c r="I1710" s="4">
        <v>15292.55</v>
      </c>
      <c r="J1710" s="7">
        <f>Table1[[#This Row],[Clicks]]/Table1[[#This Row],[Impressions]]</f>
        <v>2.0101133829580075E-2</v>
      </c>
      <c r="K1710" s="7">
        <f>IFERROR(Table1[[#This Row],[Conversions]]/Table1[[#This Row],[Clicks]],0)</f>
        <v>0.10234375</v>
      </c>
      <c r="L1710" s="6">
        <f>IF(Table1[[#This Row],[Conversions]]=0,0,Table1[[#This Row],[Ad Spend]]/Table1[[#This Row],[Conversions]])</f>
        <v>7.9152671755725201</v>
      </c>
      <c r="M1710" s="8">
        <f>IF(Table1[[#This Row],[Ad Spend]]=0,0,Table1[[#This Row],[Revenue]]/Table1[[#This Row],[Ad Spend]])</f>
        <v>14.748336387308321</v>
      </c>
      <c r="N1710">
        <f>YEAR(Table1[[#This Row],[Date]])</f>
        <v>2024</v>
      </c>
      <c r="O1710" t="str">
        <f>TEXT(Table1[[#This Row],[Date]],"mmm")</f>
        <v>Jul</v>
      </c>
      <c r="P1710">
        <f>MONTH(Table1[[#This Row],[Date]])</f>
        <v>7</v>
      </c>
    </row>
    <row r="1711" spans="1:16" x14ac:dyDescent="0.25">
      <c r="A1711" t="s">
        <v>1730</v>
      </c>
      <c r="B1711" t="s">
        <v>34</v>
      </c>
      <c r="C1711" t="s">
        <v>37</v>
      </c>
      <c r="D1711" s="1">
        <v>45480</v>
      </c>
      <c r="E1711">
        <v>10488</v>
      </c>
      <c r="F1711">
        <v>421</v>
      </c>
      <c r="G1711">
        <v>24</v>
      </c>
      <c r="H1711" s="4">
        <v>404.26</v>
      </c>
      <c r="I1711" s="4">
        <v>1464.89</v>
      </c>
      <c r="J1711" s="7">
        <f>Table1[[#This Row],[Clicks]]/Table1[[#This Row],[Impressions]]</f>
        <v>4.0141113653699469E-2</v>
      </c>
      <c r="K1711" s="7">
        <f>IFERROR(Table1[[#This Row],[Conversions]]/Table1[[#This Row],[Clicks]],0)</f>
        <v>5.7007125890736345E-2</v>
      </c>
      <c r="L1711" s="6">
        <f>IF(Table1[[#This Row],[Conversions]]=0,0,Table1[[#This Row],[Ad Spend]]/Table1[[#This Row],[Conversions]])</f>
        <v>16.844166666666666</v>
      </c>
      <c r="M1711" s="8">
        <f>IF(Table1[[#This Row],[Ad Spend]]=0,0,Table1[[#This Row],[Revenue]]/Table1[[#This Row],[Ad Spend]])</f>
        <v>3.6236333052985708</v>
      </c>
      <c r="N1711">
        <f>YEAR(Table1[[#This Row],[Date]])</f>
        <v>2024</v>
      </c>
      <c r="O1711" t="str">
        <f>TEXT(Table1[[#This Row],[Date]],"mmm")</f>
        <v>Jul</v>
      </c>
      <c r="P1711">
        <f>MONTH(Table1[[#This Row],[Date]])</f>
        <v>7</v>
      </c>
    </row>
    <row r="1712" spans="1:16" x14ac:dyDescent="0.25">
      <c r="A1712" t="s">
        <v>1731</v>
      </c>
      <c r="B1712" t="s">
        <v>14</v>
      </c>
      <c r="C1712" t="s">
        <v>17</v>
      </c>
      <c r="D1712" s="1">
        <v>45356</v>
      </c>
      <c r="E1712">
        <v>97521</v>
      </c>
      <c r="F1712">
        <v>2395</v>
      </c>
      <c r="G1712">
        <v>174</v>
      </c>
      <c r="H1712" s="4">
        <v>4441.38</v>
      </c>
      <c r="I1712" s="4">
        <v>11494.12</v>
      </c>
      <c r="J1712" s="7">
        <f>Table1[[#This Row],[Clicks]]/Table1[[#This Row],[Impressions]]</f>
        <v>2.4558812973615941E-2</v>
      </c>
      <c r="K1712" s="7">
        <f>IFERROR(Table1[[#This Row],[Conversions]]/Table1[[#This Row],[Clicks]],0)</f>
        <v>7.2651356993736954E-2</v>
      </c>
      <c r="L1712" s="6">
        <f>IF(Table1[[#This Row],[Conversions]]=0,0,Table1[[#This Row],[Ad Spend]]/Table1[[#This Row],[Conversions]])</f>
        <v>25.525172413793104</v>
      </c>
      <c r="M1712" s="8">
        <f>IF(Table1[[#This Row],[Ad Spend]]=0,0,Table1[[#This Row],[Revenue]]/Table1[[#This Row],[Ad Spend]])</f>
        <v>2.5879613993848758</v>
      </c>
      <c r="N1712">
        <f>YEAR(Table1[[#This Row],[Date]])</f>
        <v>2024</v>
      </c>
      <c r="O1712" t="str">
        <f>TEXT(Table1[[#This Row],[Date]],"mmm")</f>
        <v>Mar</v>
      </c>
      <c r="P1712">
        <f>MONTH(Table1[[#This Row],[Date]])</f>
        <v>3</v>
      </c>
    </row>
    <row r="1713" spans="1:16" x14ac:dyDescent="0.25">
      <c r="A1713" t="s">
        <v>1732</v>
      </c>
      <c r="B1713" t="s">
        <v>41</v>
      </c>
      <c r="C1713" t="s">
        <v>17</v>
      </c>
      <c r="D1713" s="1">
        <v>45490</v>
      </c>
      <c r="E1713">
        <v>126508</v>
      </c>
      <c r="F1713">
        <v>4484</v>
      </c>
      <c r="G1713">
        <v>279</v>
      </c>
      <c r="H1713" s="4">
        <v>2114.64</v>
      </c>
      <c r="I1713" s="4">
        <v>25760.29</v>
      </c>
      <c r="J1713" s="7">
        <f>Table1[[#This Row],[Clicks]]/Table1[[#This Row],[Impressions]]</f>
        <v>3.5444398773200117E-2</v>
      </c>
      <c r="K1713" s="7">
        <f>IFERROR(Table1[[#This Row],[Conversions]]/Table1[[#This Row],[Clicks]],0)</f>
        <v>6.2221231043710974E-2</v>
      </c>
      <c r="L1713" s="6">
        <f>IF(Table1[[#This Row],[Conversions]]=0,0,Table1[[#This Row],[Ad Spend]]/Table1[[#This Row],[Conversions]])</f>
        <v>7.5793548387096772</v>
      </c>
      <c r="M1713" s="8">
        <f>IF(Table1[[#This Row],[Ad Spend]]=0,0,Table1[[#This Row],[Revenue]]/Table1[[#This Row],[Ad Spend]])</f>
        <v>12.181879658003254</v>
      </c>
      <c r="N1713">
        <f>YEAR(Table1[[#This Row],[Date]])</f>
        <v>2024</v>
      </c>
      <c r="O1713" t="str">
        <f>TEXT(Table1[[#This Row],[Date]],"mmm")</f>
        <v>Jul</v>
      </c>
      <c r="P1713">
        <f>MONTH(Table1[[#This Row],[Date]])</f>
        <v>7</v>
      </c>
    </row>
    <row r="1714" spans="1:16" x14ac:dyDescent="0.25">
      <c r="A1714" t="s">
        <v>1733</v>
      </c>
      <c r="B1714" t="s">
        <v>14</v>
      </c>
      <c r="C1714" t="s">
        <v>37</v>
      </c>
      <c r="D1714" s="1">
        <v>45403</v>
      </c>
      <c r="E1714">
        <v>55060</v>
      </c>
      <c r="F1714">
        <v>2741</v>
      </c>
      <c r="G1714">
        <v>392</v>
      </c>
      <c r="H1714" s="4">
        <v>3700.67</v>
      </c>
      <c r="I1714" s="4">
        <v>38577.730000000003</v>
      </c>
      <c r="J1714" s="7">
        <f>Table1[[#This Row],[Clicks]]/Table1[[#This Row],[Impressions]]</f>
        <v>4.978205593897566E-2</v>
      </c>
      <c r="K1714" s="7">
        <f>IFERROR(Table1[[#This Row],[Conversions]]/Table1[[#This Row],[Clicks]],0)</f>
        <v>0.14301349872309377</v>
      </c>
      <c r="L1714" s="6">
        <f>IF(Table1[[#This Row],[Conversions]]=0,0,Table1[[#This Row],[Ad Spend]]/Table1[[#This Row],[Conversions]])</f>
        <v>9.4404846938775506</v>
      </c>
      <c r="M1714" s="8">
        <f>IF(Table1[[#This Row],[Ad Spend]]=0,0,Table1[[#This Row],[Revenue]]/Table1[[#This Row],[Ad Spend]])</f>
        <v>10.424525829106623</v>
      </c>
      <c r="N1714">
        <f>YEAR(Table1[[#This Row],[Date]])</f>
        <v>2024</v>
      </c>
      <c r="O1714" t="str">
        <f>TEXT(Table1[[#This Row],[Date]],"mmm")</f>
        <v>Apr</v>
      </c>
      <c r="P1714">
        <f>MONTH(Table1[[#This Row],[Date]])</f>
        <v>4</v>
      </c>
    </row>
    <row r="1715" spans="1:16" x14ac:dyDescent="0.25">
      <c r="A1715" t="s">
        <v>1734</v>
      </c>
      <c r="B1715" t="s">
        <v>47</v>
      </c>
      <c r="C1715" t="s">
        <v>17</v>
      </c>
      <c r="D1715" s="1">
        <v>45572</v>
      </c>
      <c r="E1715">
        <v>112009</v>
      </c>
      <c r="F1715">
        <v>4058</v>
      </c>
      <c r="G1715">
        <v>243</v>
      </c>
      <c r="H1715" s="4">
        <v>2085.58</v>
      </c>
      <c r="I1715" s="4">
        <v>16286.65</v>
      </c>
      <c r="J1715" s="7">
        <f>Table1[[#This Row],[Clicks]]/Table1[[#This Row],[Impressions]]</f>
        <v>3.6229231579605212E-2</v>
      </c>
      <c r="K1715" s="7">
        <f>IFERROR(Table1[[#This Row],[Conversions]]/Table1[[#This Row],[Clicks]],0)</f>
        <v>5.9881715130606208E-2</v>
      </c>
      <c r="L1715" s="6">
        <f>IF(Table1[[#This Row],[Conversions]]=0,0,Table1[[#This Row],[Ad Spend]]/Table1[[#This Row],[Conversions]])</f>
        <v>8.5826337448559666</v>
      </c>
      <c r="M1715" s="8">
        <f>IF(Table1[[#This Row],[Ad Spend]]=0,0,Table1[[#This Row],[Revenue]]/Table1[[#This Row],[Ad Spend]])</f>
        <v>7.8091705904352748</v>
      </c>
      <c r="N1715">
        <f>YEAR(Table1[[#This Row],[Date]])</f>
        <v>2024</v>
      </c>
      <c r="O1715" t="str">
        <f>TEXT(Table1[[#This Row],[Date]],"mmm")</f>
        <v>Oct</v>
      </c>
      <c r="P1715">
        <f>MONTH(Table1[[#This Row],[Date]])</f>
        <v>10</v>
      </c>
    </row>
    <row r="1716" spans="1:16" x14ac:dyDescent="0.25">
      <c r="A1716" t="s">
        <v>1735</v>
      </c>
      <c r="B1716" t="s">
        <v>41</v>
      </c>
      <c r="C1716" t="s">
        <v>19</v>
      </c>
      <c r="D1716" s="1">
        <v>45688</v>
      </c>
      <c r="E1716">
        <v>113034</v>
      </c>
      <c r="F1716">
        <v>1532</v>
      </c>
      <c r="G1716">
        <v>73</v>
      </c>
      <c r="H1716" s="4">
        <v>2848.13</v>
      </c>
      <c r="I1716" s="4">
        <v>2604.0500000000002</v>
      </c>
      <c r="J1716" s="7">
        <f>Table1[[#This Row],[Clicks]]/Table1[[#This Row],[Impressions]]</f>
        <v>1.355344409646655E-2</v>
      </c>
      <c r="K1716" s="7">
        <f>IFERROR(Table1[[#This Row],[Conversions]]/Table1[[#This Row],[Clicks]],0)</f>
        <v>4.7650130548302874E-2</v>
      </c>
      <c r="L1716" s="6">
        <f>IF(Table1[[#This Row],[Conversions]]=0,0,Table1[[#This Row],[Ad Spend]]/Table1[[#This Row],[Conversions]])</f>
        <v>39.015479452054798</v>
      </c>
      <c r="M1716" s="8">
        <f>IF(Table1[[#This Row],[Ad Spend]]=0,0,Table1[[#This Row],[Revenue]]/Table1[[#This Row],[Ad Spend]])</f>
        <v>0.91430166460098383</v>
      </c>
      <c r="N1716">
        <f>YEAR(Table1[[#This Row],[Date]])</f>
        <v>2025</v>
      </c>
      <c r="O1716" t="str">
        <f>TEXT(Table1[[#This Row],[Date]],"mmm")</f>
        <v>Jan</v>
      </c>
      <c r="P1716">
        <f>MONTH(Table1[[#This Row],[Date]])</f>
        <v>1</v>
      </c>
    </row>
    <row r="1717" spans="1:16" x14ac:dyDescent="0.25">
      <c r="A1717" t="s">
        <v>1736</v>
      </c>
      <c r="B1717" t="s">
        <v>21</v>
      </c>
      <c r="C1717" t="s">
        <v>12</v>
      </c>
      <c r="D1717" s="1">
        <v>45513</v>
      </c>
      <c r="E1717">
        <v>52268</v>
      </c>
      <c r="F1717">
        <v>3973</v>
      </c>
      <c r="G1717">
        <v>91</v>
      </c>
      <c r="H1717" s="4">
        <v>1190.98</v>
      </c>
      <c r="I1717" s="4">
        <v>6983.28</v>
      </c>
      <c r="J1717" s="7">
        <f>Table1[[#This Row],[Clicks]]/Table1[[#This Row],[Impressions]]</f>
        <v>7.6012091528277342E-2</v>
      </c>
      <c r="K1717" s="7">
        <f>IFERROR(Table1[[#This Row],[Conversions]]/Table1[[#This Row],[Clicks]],0)</f>
        <v>2.2904606091115026E-2</v>
      </c>
      <c r="L1717" s="6">
        <f>IF(Table1[[#This Row],[Conversions]]=0,0,Table1[[#This Row],[Ad Spend]]/Table1[[#This Row],[Conversions]])</f>
        <v>13.087692307692308</v>
      </c>
      <c r="M1717" s="8">
        <f>IF(Table1[[#This Row],[Ad Spend]]=0,0,Table1[[#This Row],[Revenue]]/Table1[[#This Row],[Ad Spend]])</f>
        <v>5.8634737778971937</v>
      </c>
      <c r="N1717">
        <f>YEAR(Table1[[#This Row],[Date]])</f>
        <v>2024</v>
      </c>
      <c r="O1717" t="str">
        <f>TEXT(Table1[[#This Row],[Date]],"mmm")</f>
        <v>Aug</v>
      </c>
      <c r="P1717">
        <f>MONTH(Table1[[#This Row],[Date]])</f>
        <v>8</v>
      </c>
    </row>
    <row r="1718" spans="1:16" x14ac:dyDescent="0.25">
      <c r="A1718" t="s">
        <v>1737</v>
      </c>
      <c r="B1718" t="s">
        <v>16</v>
      </c>
      <c r="C1718" t="s">
        <v>19</v>
      </c>
      <c r="D1718" s="1">
        <v>45673</v>
      </c>
      <c r="E1718">
        <v>45856</v>
      </c>
      <c r="F1718">
        <v>2516</v>
      </c>
      <c r="G1718">
        <v>238</v>
      </c>
      <c r="H1718" s="4">
        <v>4044.02</v>
      </c>
      <c r="I1718" s="4">
        <v>8346.26</v>
      </c>
      <c r="J1718" s="7">
        <f>Table1[[#This Row],[Clicks]]/Table1[[#This Row],[Impressions]]</f>
        <v>5.4867411025819955E-2</v>
      </c>
      <c r="K1718" s="7">
        <f>IFERROR(Table1[[#This Row],[Conversions]]/Table1[[#This Row],[Clicks]],0)</f>
        <v>9.45945945945946E-2</v>
      </c>
      <c r="L1718" s="6">
        <f>IF(Table1[[#This Row],[Conversions]]=0,0,Table1[[#This Row],[Ad Spend]]/Table1[[#This Row],[Conversions]])</f>
        <v>16.991680672268906</v>
      </c>
      <c r="M1718" s="8">
        <f>IF(Table1[[#This Row],[Ad Spend]]=0,0,Table1[[#This Row],[Revenue]]/Table1[[#This Row],[Ad Spend]])</f>
        <v>2.0638523053793008</v>
      </c>
      <c r="N1718">
        <f>YEAR(Table1[[#This Row],[Date]])</f>
        <v>2025</v>
      </c>
      <c r="O1718" t="str">
        <f>TEXT(Table1[[#This Row],[Date]],"mmm")</f>
        <v>Jan</v>
      </c>
      <c r="P1718">
        <f>MONTH(Table1[[#This Row],[Date]])</f>
        <v>1</v>
      </c>
    </row>
    <row r="1719" spans="1:16" x14ac:dyDescent="0.25">
      <c r="A1719" t="s">
        <v>1738</v>
      </c>
      <c r="B1719" t="s">
        <v>47</v>
      </c>
      <c r="C1719" t="s">
        <v>17</v>
      </c>
      <c r="D1719" s="1">
        <v>45417</v>
      </c>
      <c r="E1719">
        <v>39224</v>
      </c>
      <c r="F1719">
        <v>2486</v>
      </c>
      <c r="G1719">
        <v>207</v>
      </c>
      <c r="H1719" s="4">
        <v>3129.72</v>
      </c>
      <c r="I1719" s="4">
        <v>19942.23</v>
      </c>
      <c r="J1719" s="7">
        <f>Table1[[#This Row],[Clicks]]/Table1[[#This Row],[Impressions]]</f>
        <v>6.3379563532531102E-2</v>
      </c>
      <c r="K1719" s="7">
        <f>IFERROR(Table1[[#This Row],[Conversions]]/Table1[[#This Row],[Clicks]],0)</f>
        <v>8.3266291230893005E-2</v>
      </c>
      <c r="L1719" s="6">
        <f>IF(Table1[[#This Row],[Conversions]]=0,0,Table1[[#This Row],[Ad Spend]]/Table1[[#This Row],[Conversions]])</f>
        <v>15.119420289855071</v>
      </c>
      <c r="M1719" s="8">
        <f>IF(Table1[[#This Row],[Ad Spend]]=0,0,Table1[[#This Row],[Revenue]]/Table1[[#This Row],[Ad Spend]])</f>
        <v>6.3718894981020666</v>
      </c>
      <c r="N1719">
        <f>YEAR(Table1[[#This Row],[Date]])</f>
        <v>2024</v>
      </c>
      <c r="O1719" t="str">
        <f>TEXT(Table1[[#This Row],[Date]],"mmm")</f>
        <v>May</v>
      </c>
      <c r="P1719">
        <f>MONTH(Table1[[#This Row],[Date]])</f>
        <v>5</v>
      </c>
    </row>
    <row r="1720" spans="1:16" x14ac:dyDescent="0.25">
      <c r="A1720" t="s">
        <v>1739</v>
      </c>
      <c r="B1720" t="s">
        <v>31</v>
      </c>
      <c r="C1720" t="s">
        <v>10</v>
      </c>
      <c r="D1720" s="1">
        <v>45694</v>
      </c>
      <c r="E1720">
        <v>22133</v>
      </c>
      <c r="F1720">
        <v>354</v>
      </c>
      <c r="G1720">
        <v>7</v>
      </c>
      <c r="H1720" s="4">
        <v>4338.8</v>
      </c>
      <c r="I1720" s="4">
        <v>176.93</v>
      </c>
      <c r="J1720" s="7">
        <f>Table1[[#This Row],[Clicks]]/Table1[[#This Row],[Impressions]]</f>
        <v>1.5994216780373199E-2</v>
      </c>
      <c r="K1720" s="7">
        <f>IFERROR(Table1[[#This Row],[Conversions]]/Table1[[#This Row],[Clicks]],0)</f>
        <v>1.977401129943503E-2</v>
      </c>
      <c r="L1720" s="6">
        <f>IF(Table1[[#This Row],[Conversions]]=0,0,Table1[[#This Row],[Ad Spend]]/Table1[[#This Row],[Conversions]])</f>
        <v>619.82857142857142</v>
      </c>
      <c r="M1720" s="8">
        <f>IF(Table1[[#This Row],[Ad Spend]]=0,0,Table1[[#This Row],[Revenue]]/Table1[[#This Row],[Ad Spend]])</f>
        <v>4.077855628284318E-2</v>
      </c>
      <c r="N1720">
        <f>YEAR(Table1[[#This Row],[Date]])</f>
        <v>2025</v>
      </c>
      <c r="O1720" t="str">
        <f>TEXT(Table1[[#This Row],[Date]],"mmm")</f>
        <v>Feb</v>
      </c>
      <c r="P1720">
        <f>MONTH(Table1[[#This Row],[Date]])</f>
        <v>2</v>
      </c>
    </row>
    <row r="1721" spans="1:16" x14ac:dyDescent="0.25">
      <c r="A1721" t="s">
        <v>1740</v>
      </c>
      <c r="B1721" t="s">
        <v>9</v>
      </c>
      <c r="C1721" t="s">
        <v>19</v>
      </c>
      <c r="D1721" s="1">
        <v>45474</v>
      </c>
      <c r="E1721">
        <v>58217</v>
      </c>
      <c r="F1721">
        <v>3612</v>
      </c>
      <c r="G1721">
        <v>522</v>
      </c>
      <c r="H1721" s="4">
        <v>1676.3</v>
      </c>
      <c r="I1721" s="4">
        <v>13886.4</v>
      </c>
      <c r="J1721" s="7">
        <f>Table1[[#This Row],[Clicks]]/Table1[[#This Row],[Impressions]]</f>
        <v>6.204373293024374E-2</v>
      </c>
      <c r="K1721" s="7">
        <f>IFERROR(Table1[[#This Row],[Conversions]]/Table1[[#This Row],[Clicks]],0)</f>
        <v>0.14451827242524917</v>
      </c>
      <c r="L1721" s="6">
        <f>IF(Table1[[#This Row],[Conversions]]=0,0,Table1[[#This Row],[Ad Spend]]/Table1[[#This Row],[Conversions]])</f>
        <v>3.2113026819923371</v>
      </c>
      <c r="M1721" s="8">
        <f>IF(Table1[[#This Row],[Ad Spend]]=0,0,Table1[[#This Row],[Revenue]]/Table1[[#This Row],[Ad Spend]])</f>
        <v>8.2839587186064545</v>
      </c>
      <c r="N1721">
        <f>YEAR(Table1[[#This Row],[Date]])</f>
        <v>2024</v>
      </c>
      <c r="O1721" t="str">
        <f>TEXT(Table1[[#This Row],[Date]],"mmm")</f>
        <v>Jul</v>
      </c>
      <c r="P1721">
        <f>MONTH(Table1[[#This Row],[Date]])</f>
        <v>7</v>
      </c>
    </row>
    <row r="1722" spans="1:16" x14ac:dyDescent="0.25">
      <c r="A1722" t="s">
        <v>1741</v>
      </c>
      <c r="B1722" t="s">
        <v>47</v>
      </c>
      <c r="C1722" t="s">
        <v>12</v>
      </c>
      <c r="D1722" s="1">
        <v>45716</v>
      </c>
      <c r="E1722">
        <v>122077</v>
      </c>
      <c r="F1722">
        <v>5280</v>
      </c>
      <c r="G1722">
        <v>588</v>
      </c>
      <c r="H1722" s="4">
        <v>1590.76</v>
      </c>
      <c r="I1722" s="4">
        <v>17728.169999999998</v>
      </c>
      <c r="J1722" s="7">
        <f>Table1[[#This Row],[Clicks]]/Table1[[#This Row],[Impressions]]</f>
        <v>4.3251390515821983E-2</v>
      </c>
      <c r="K1722" s="7">
        <f>IFERROR(Table1[[#This Row],[Conversions]]/Table1[[#This Row],[Clicks]],0)</f>
        <v>0.11136363636363636</v>
      </c>
      <c r="L1722" s="6">
        <f>IF(Table1[[#This Row],[Conversions]]=0,0,Table1[[#This Row],[Ad Spend]]/Table1[[#This Row],[Conversions]])</f>
        <v>2.705374149659864</v>
      </c>
      <c r="M1722" s="8">
        <f>IF(Table1[[#This Row],[Ad Spend]]=0,0,Table1[[#This Row],[Revenue]]/Table1[[#This Row],[Ad Spend]])</f>
        <v>11.144465538484749</v>
      </c>
      <c r="N1722">
        <f>YEAR(Table1[[#This Row],[Date]])</f>
        <v>2025</v>
      </c>
      <c r="O1722" t="str">
        <f>TEXT(Table1[[#This Row],[Date]],"mmm")</f>
        <v>Feb</v>
      </c>
      <c r="P1722">
        <f>MONTH(Table1[[#This Row],[Date]])</f>
        <v>2</v>
      </c>
    </row>
    <row r="1723" spans="1:16" x14ac:dyDescent="0.25">
      <c r="A1723" t="s">
        <v>1742</v>
      </c>
      <c r="B1723" t="s">
        <v>16</v>
      </c>
      <c r="C1723" t="s">
        <v>37</v>
      </c>
      <c r="D1723" s="1">
        <v>45375</v>
      </c>
      <c r="E1723">
        <v>113838</v>
      </c>
      <c r="F1723">
        <v>2082</v>
      </c>
      <c r="G1723">
        <v>288</v>
      </c>
      <c r="H1723" s="4">
        <v>2166.46</v>
      </c>
      <c r="I1723" s="4">
        <v>21935.93</v>
      </c>
      <c r="J1723" s="7">
        <f>Table1[[#This Row],[Clicks]]/Table1[[#This Row],[Impressions]]</f>
        <v>1.8289147736256787E-2</v>
      </c>
      <c r="K1723" s="7">
        <f>IFERROR(Table1[[#This Row],[Conversions]]/Table1[[#This Row],[Clicks]],0)</f>
        <v>0.13832853025936601</v>
      </c>
      <c r="L1723" s="6">
        <f>IF(Table1[[#This Row],[Conversions]]=0,0,Table1[[#This Row],[Ad Spend]]/Table1[[#This Row],[Conversions]])</f>
        <v>7.5224305555555553</v>
      </c>
      <c r="M1723" s="8">
        <f>IF(Table1[[#This Row],[Ad Spend]]=0,0,Table1[[#This Row],[Revenue]]/Table1[[#This Row],[Ad Spend]])</f>
        <v>10.125241176850714</v>
      </c>
      <c r="N1723">
        <f>YEAR(Table1[[#This Row],[Date]])</f>
        <v>2024</v>
      </c>
      <c r="O1723" t="str">
        <f>TEXT(Table1[[#This Row],[Date]],"mmm")</f>
        <v>Mar</v>
      </c>
      <c r="P1723">
        <f>MONTH(Table1[[#This Row],[Date]])</f>
        <v>3</v>
      </c>
    </row>
    <row r="1724" spans="1:16" x14ac:dyDescent="0.25">
      <c r="A1724" t="s">
        <v>1743</v>
      </c>
      <c r="B1724" t="s">
        <v>41</v>
      </c>
      <c r="C1724" t="s">
        <v>19</v>
      </c>
      <c r="D1724" s="1">
        <v>45645</v>
      </c>
      <c r="E1724">
        <v>70376</v>
      </c>
      <c r="F1724">
        <v>5512</v>
      </c>
      <c r="G1724">
        <v>585</v>
      </c>
      <c r="H1724" s="4">
        <v>903.9</v>
      </c>
      <c r="I1724" s="4">
        <v>37726.879999999997</v>
      </c>
      <c r="J1724" s="7">
        <f>Table1[[#This Row],[Clicks]]/Table1[[#This Row],[Impressions]]</f>
        <v>7.8322155280209166E-2</v>
      </c>
      <c r="K1724" s="7">
        <f>IFERROR(Table1[[#This Row],[Conversions]]/Table1[[#This Row],[Clicks]],0)</f>
        <v>0.10613207547169812</v>
      </c>
      <c r="L1724" s="6">
        <f>IF(Table1[[#This Row],[Conversions]]=0,0,Table1[[#This Row],[Ad Spend]]/Table1[[#This Row],[Conversions]])</f>
        <v>1.5451282051282051</v>
      </c>
      <c r="M1724" s="8">
        <f>IF(Table1[[#This Row],[Ad Spend]]=0,0,Table1[[#This Row],[Revenue]]/Table1[[#This Row],[Ad Spend]])</f>
        <v>41.737891359663678</v>
      </c>
      <c r="N1724">
        <f>YEAR(Table1[[#This Row],[Date]])</f>
        <v>2024</v>
      </c>
      <c r="O1724" t="str">
        <f>TEXT(Table1[[#This Row],[Date]],"mmm")</f>
        <v>Dec</v>
      </c>
      <c r="P1724">
        <f>MONTH(Table1[[#This Row],[Date]])</f>
        <v>12</v>
      </c>
    </row>
    <row r="1725" spans="1:16" x14ac:dyDescent="0.25">
      <c r="A1725" t="s">
        <v>1744</v>
      </c>
      <c r="B1725" t="s">
        <v>31</v>
      </c>
      <c r="C1725" t="s">
        <v>37</v>
      </c>
      <c r="D1725" s="1">
        <v>45487</v>
      </c>
      <c r="E1725">
        <v>128945</v>
      </c>
      <c r="F1725">
        <v>4713</v>
      </c>
      <c r="G1725">
        <v>198</v>
      </c>
      <c r="H1725" s="4">
        <v>295.77999999999997</v>
      </c>
      <c r="I1725" s="4">
        <v>17584.810000000001</v>
      </c>
      <c r="J1725" s="7">
        <f>Table1[[#This Row],[Clicks]]/Table1[[#This Row],[Impressions]]</f>
        <v>3.6550467253480164E-2</v>
      </c>
      <c r="K1725" s="7">
        <f>IFERROR(Table1[[#This Row],[Conversions]]/Table1[[#This Row],[Clicks]],0)</f>
        <v>4.2011457670273714E-2</v>
      </c>
      <c r="L1725" s="6">
        <f>IF(Table1[[#This Row],[Conversions]]=0,0,Table1[[#This Row],[Ad Spend]]/Table1[[#This Row],[Conversions]])</f>
        <v>1.4938383838383837</v>
      </c>
      <c r="M1725" s="8">
        <f>IF(Table1[[#This Row],[Ad Spend]]=0,0,Table1[[#This Row],[Revenue]]/Table1[[#This Row],[Ad Spend]])</f>
        <v>59.452329434038823</v>
      </c>
      <c r="N1725">
        <f>YEAR(Table1[[#This Row],[Date]])</f>
        <v>2024</v>
      </c>
      <c r="O1725" t="str">
        <f>TEXT(Table1[[#This Row],[Date]],"mmm")</f>
        <v>Jul</v>
      </c>
      <c r="P1725">
        <f>MONTH(Table1[[#This Row],[Date]])</f>
        <v>7</v>
      </c>
    </row>
    <row r="1726" spans="1:16" x14ac:dyDescent="0.25">
      <c r="A1726" t="s">
        <v>1745</v>
      </c>
      <c r="B1726" t="s">
        <v>47</v>
      </c>
      <c r="C1726" t="s">
        <v>17</v>
      </c>
      <c r="D1726" s="1">
        <v>45591</v>
      </c>
      <c r="E1726">
        <v>52666</v>
      </c>
      <c r="F1726">
        <v>2175</v>
      </c>
      <c r="G1726">
        <v>49</v>
      </c>
      <c r="H1726" s="4">
        <v>2560.48</v>
      </c>
      <c r="I1726" s="4">
        <v>4271.63</v>
      </c>
      <c r="J1726" s="7">
        <f>Table1[[#This Row],[Clicks]]/Table1[[#This Row],[Impressions]]</f>
        <v>4.129799111381157E-2</v>
      </c>
      <c r="K1726" s="7">
        <f>IFERROR(Table1[[#This Row],[Conversions]]/Table1[[#This Row],[Clicks]],0)</f>
        <v>2.2528735632183907E-2</v>
      </c>
      <c r="L1726" s="6">
        <f>IF(Table1[[#This Row],[Conversions]]=0,0,Table1[[#This Row],[Ad Spend]]/Table1[[#This Row],[Conversions]])</f>
        <v>52.25469387755102</v>
      </c>
      <c r="M1726" s="8">
        <f>IF(Table1[[#This Row],[Ad Spend]]=0,0,Table1[[#This Row],[Revenue]]/Table1[[#This Row],[Ad Spend]])</f>
        <v>1.6682926638755233</v>
      </c>
      <c r="N1726">
        <f>YEAR(Table1[[#This Row],[Date]])</f>
        <v>2024</v>
      </c>
      <c r="O1726" t="str">
        <f>TEXT(Table1[[#This Row],[Date]],"mmm")</f>
        <v>Oct</v>
      </c>
      <c r="P1726">
        <f>MONTH(Table1[[#This Row],[Date]])</f>
        <v>10</v>
      </c>
    </row>
    <row r="1727" spans="1:16" x14ac:dyDescent="0.25">
      <c r="A1727" t="s">
        <v>1746</v>
      </c>
      <c r="B1727" t="s">
        <v>47</v>
      </c>
      <c r="C1727" t="s">
        <v>19</v>
      </c>
      <c r="D1727" s="1">
        <v>45335</v>
      </c>
      <c r="E1727">
        <v>101984</v>
      </c>
      <c r="F1727">
        <v>1511</v>
      </c>
      <c r="G1727">
        <v>56</v>
      </c>
      <c r="H1727" s="4">
        <v>1640.5</v>
      </c>
      <c r="I1727" s="4">
        <v>3324.25</v>
      </c>
      <c r="J1727" s="7">
        <f>Table1[[#This Row],[Clicks]]/Table1[[#This Row],[Impressions]]</f>
        <v>1.4816049576404141E-2</v>
      </c>
      <c r="K1727" s="7">
        <f>IFERROR(Table1[[#This Row],[Conversions]]/Table1[[#This Row],[Clicks]],0)</f>
        <v>3.7061548643282594E-2</v>
      </c>
      <c r="L1727" s="6">
        <f>IF(Table1[[#This Row],[Conversions]]=0,0,Table1[[#This Row],[Ad Spend]]/Table1[[#This Row],[Conversions]])</f>
        <v>29.294642857142858</v>
      </c>
      <c r="M1727" s="8">
        <f>IF(Table1[[#This Row],[Ad Spend]]=0,0,Table1[[#This Row],[Revenue]]/Table1[[#This Row],[Ad Spend]])</f>
        <v>2.0263639134410241</v>
      </c>
      <c r="N1727">
        <f>YEAR(Table1[[#This Row],[Date]])</f>
        <v>2024</v>
      </c>
      <c r="O1727" t="str">
        <f>TEXT(Table1[[#This Row],[Date]],"mmm")</f>
        <v>Feb</v>
      </c>
      <c r="P1727">
        <f>MONTH(Table1[[#This Row],[Date]])</f>
        <v>2</v>
      </c>
    </row>
    <row r="1728" spans="1:16" x14ac:dyDescent="0.25">
      <c r="A1728" t="s">
        <v>1747</v>
      </c>
      <c r="B1728" t="s">
        <v>16</v>
      </c>
      <c r="C1728" t="s">
        <v>10</v>
      </c>
      <c r="D1728" s="1">
        <v>45696</v>
      </c>
      <c r="E1728">
        <v>56676</v>
      </c>
      <c r="F1728">
        <v>4381</v>
      </c>
      <c r="G1728">
        <v>270</v>
      </c>
      <c r="H1728" s="4">
        <v>3614.76</v>
      </c>
      <c r="I1728" s="4">
        <v>31016.57</v>
      </c>
      <c r="J1728" s="7">
        <f>Table1[[#This Row],[Clicks]]/Table1[[#This Row],[Impressions]]</f>
        <v>7.7299033100430514E-2</v>
      </c>
      <c r="K1728" s="7">
        <f>IFERROR(Table1[[#This Row],[Conversions]]/Table1[[#This Row],[Clicks]],0)</f>
        <v>6.1629764893859851E-2</v>
      </c>
      <c r="L1728" s="6">
        <f>IF(Table1[[#This Row],[Conversions]]=0,0,Table1[[#This Row],[Ad Spend]]/Table1[[#This Row],[Conversions]])</f>
        <v>13.388000000000002</v>
      </c>
      <c r="M1728" s="8">
        <f>IF(Table1[[#This Row],[Ad Spend]]=0,0,Table1[[#This Row],[Revenue]]/Table1[[#This Row],[Ad Spend]])</f>
        <v>8.5805337007159537</v>
      </c>
      <c r="N1728">
        <f>YEAR(Table1[[#This Row],[Date]])</f>
        <v>2025</v>
      </c>
      <c r="O1728" t="str">
        <f>TEXT(Table1[[#This Row],[Date]],"mmm")</f>
        <v>Feb</v>
      </c>
      <c r="P1728">
        <f>MONTH(Table1[[#This Row],[Date]])</f>
        <v>2</v>
      </c>
    </row>
    <row r="1729" spans="1:16" x14ac:dyDescent="0.25">
      <c r="A1729" t="s">
        <v>1748</v>
      </c>
      <c r="B1729" t="s">
        <v>9</v>
      </c>
      <c r="C1729" t="s">
        <v>19</v>
      </c>
      <c r="D1729" s="1">
        <v>45600</v>
      </c>
      <c r="E1729">
        <v>134695</v>
      </c>
      <c r="F1729">
        <v>1497</v>
      </c>
      <c r="G1729">
        <v>203</v>
      </c>
      <c r="H1729" s="4">
        <v>2205.15</v>
      </c>
      <c r="I1729" s="4">
        <v>7491.92</v>
      </c>
      <c r="J1729" s="7">
        <f>Table1[[#This Row],[Clicks]]/Table1[[#This Row],[Impressions]]</f>
        <v>1.1113998292438473E-2</v>
      </c>
      <c r="K1729" s="7">
        <f>IFERROR(Table1[[#This Row],[Conversions]]/Table1[[#This Row],[Clicks]],0)</f>
        <v>0.13560454241816966</v>
      </c>
      <c r="L1729" s="6">
        <f>IF(Table1[[#This Row],[Conversions]]=0,0,Table1[[#This Row],[Ad Spend]]/Table1[[#This Row],[Conversions]])</f>
        <v>10.862807881773399</v>
      </c>
      <c r="M1729" s="8">
        <f>IF(Table1[[#This Row],[Ad Spend]]=0,0,Table1[[#This Row],[Revenue]]/Table1[[#This Row],[Ad Spend]])</f>
        <v>3.3974650250549847</v>
      </c>
      <c r="N1729">
        <f>YEAR(Table1[[#This Row],[Date]])</f>
        <v>2024</v>
      </c>
      <c r="O1729" t="str">
        <f>TEXT(Table1[[#This Row],[Date]],"mmm")</f>
        <v>Nov</v>
      </c>
      <c r="P1729">
        <f>MONTH(Table1[[#This Row],[Date]])</f>
        <v>11</v>
      </c>
    </row>
    <row r="1730" spans="1:16" x14ac:dyDescent="0.25">
      <c r="A1730" t="s">
        <v>1749</v>
      </c>
      <c r="B1730" t="s">
        <v>34</v>
      </c>
      <c r="C1730" t="s">
        <v>37</v>
      </c>
      <c r="D1730" s="1">
        <v>45554</v>
      </c>
      <c r="E1730">
        <v>78464</v>
      </c>
      <c r="F1730">
        <v>6178</v>
      </c>
      <c r="G1730">
        <v>849</v>
      </c>
      <c r="H1730" s="4">
        <v>312.52999999999997</v>
      </c>
      <c r="I1730" s="4">
        <v>44026.39</v>
      </c>
      <c r="J1730" s="7">
        <f>Table1[[#This Row],[Clicks]]/Table1[[#This Row],[Impressions]]</f>
        <v>7.8736745513866238E-2</v>
      </c>
      <c r="K1730" s="7">
        <f>IFERROR(Table1[[#This Row],[Conversions]]/Table1[[#This Row],[Clicks]],0)</f>
        <v>0.13742311427646486</v>
      </c>
      <c r="L1730" s="6">
        <f>IF(Table1[[#This Row],[Conversions]]=0,0,Table1[[#This Row],[Ad Spend]]/Table1[[#This Row],[Conversions]])</f>
        <v>0.36811542991755003</v>
      </c>
      <c r="M1730" s="8">
        <f>IF(Table1[[#This Row],[Ad Spend]]=0,0,Table1[[#This Row],[Revenue]]/Table1[[#This Row],[Ad Spend]])</f>
        <v>140.87092439125846</v>
      </c>
      <c r="N1730">
        <f>YEAR(Table1[[#This Row],[Date]])</f>
        <v>2024</v>
      </c>
      <c r="O1730" t="str">
        <f>TEXT(Table1[[#This Row],[Date]],"mmm")</f>
        <v>Sept</v>
      </c>
      <c r="P1730">
        <f>MONTH(Table1[[#This Row],[Date]])</f>
        <v>9</v>
      </c>
    </row>
    <row r="1731" spans="1:16" x14ac:dyDescent="0.25">
      <c r="A1731" t="s">
        <v>1750</v>
      </c>
      <c r="B1731" t="s">
        <v>16</v>
      </c>
      <c r="C1731" t="s">
        <v>10</v>
      </c>
      <c r="D1731" s="1">
        <v>45624</v>
      </c>
      <c r="E1731">
        <v>67601</v>
      </c>
      <c r="F1731">
        <v>3990</v>
      </c>
      <c r="G1731">
        <v>216</v>
      </c>
      <c r="H1731" s="4">
        <v>4981.54</v>
      </c>
      <c r="I1731" s="4">
        <v>11610.39</v>
      </c>
      <c r="J1731" s="7">
        <f>Table1[[#This Row],[Clicks]]/Table1[[#This Row],[Impressions]]</f>
        <v>5.9022795520776321E-2</v>
      </c>
      <c r="K1731" s="7">
        <f>IFERROR(Table1[[#This Row],[Conversions]]/Table1[[#This Row],[Clicks]],0)</f>
        <v>5.4135338345864661E-2</v>
      </c>
      <c r="L1731" s="6">
        <f>IF(Table1[[#This Row],[Conversions]]=0,0,Table1[[#This Row],[Ad Spend]]/Table1[[#This Row],[Conversions]])</f>
        <v>23.062685185185185</v>
      </c>
      <c r="M1731" s="8">
        <f>IF(Table1[[#This Row],[Ad Spend]]=0,0,Table1[[#This Row],[Revenue]]/Table1[[#This Row],[Ad Spend]])</f>
        <v>2.3306828811973808</v>
      </c>
      <c r="N1731">
        <f>YEAR(Table1[[#This Row],[Date]])</f>
        <v>2024</v>
      </c>
      <c r="O1731" t="str">
        <f>TEXT(Table1[[#This Row],[Date]],"mmm")</f>
        <v>Nov</v>
      </c>
      <c r="P1731">
        <f>MONTH(Table1[[#This Row],[Date]])</f>
        <v>11</v>
      </c>
    </row>
    <row r="1732" spans="1:16" x14ac:dyDescent="0.25">
      <c r="A1732" t="s">
        <v>1751</v>
      </c>
      <c r="B1732" t="s">
        <v>34</v>
      </c>
      <c r="C1732" t="s">
        <v>17</v>
      </c>
      <c r="D1732" s="1">
        <v>45629</v>
      </c>
      <c r="E1732">
        <v>26035</v>
      </c>
      <c r="F1732">
        <v>867</v>
      </c>
      <c r="G1732">
        <v>20</v>
      </c>
      <c r="H1732" s="4">
        <v>4385.79</v>
      </c>
      <c r="I1732" s="4">
        <v>2253.09</v>
      </c>
      <c r="J1732" s="7">
        <f>Table1[[#This Row],[Clicks]]/Table1[[#This Row],[Impressions]]</f>
        <v>3.3301325139235644E-2</v>
      </c>
      <c r="K1732" s="7">
        <f>IFERROR(Table1[[#This Row],[Conversions]]/Table1[[#This Row],[Clicks]],0)</f>
        <v>2.306805074971165E-2</v>
      </c>
      <c r="L1732" s="6">
        <f>IF(Table1[[#This Row],[Conversions]]=0,0,Table1[[#This Row],[Ad Spend]]/Table1[[#This Row],[Conversions]])</f>
        <v>219.2895</v>
      </c>
      <c r="M1732" s="8">
        <f>IF(Table1[[#This Row],[Ad Spend]]=0,0,Table1[[#This Row],[Revenue]]/Table1[[#This Row],[Ad Spend]])</f>
        <v>0.51372500735329329</v>
      </c>
      <c r="N1732">
        <f>YEAR(Table1[[#This Row],[Date]])</f>
        <v>2024</v>
      </c>
      <c r="O1732" t="str">
        <f>TEXT(Table1[[#This Row],[Date]],"mmm")</f>
        <v>Dec</v>
      </c>
      <c r="P1732">
        <f>MONTH(Table1[[#This Row],[Date]])</f>
        <v>12</v>
      </c>
    </row>
    <row r="1733" spans="1:16" x14ac:dyDescent="0.25">
      <c r="A1733" t="s">
        <v>1752</v>
      </c>
      <c r="B1733" t="s">
        <v>31</v>
      </c>
      <c r="C1733" t="s">
        <v>12</v>
      </c>
      <c r="D1733" s="1">
        <v>45301</v>
      </c>
      <c r="E1733">
        <v>84353</v>
      </c>
      <c r="F1733">
        <v>3091</v>
      </c>
      <c r="G1733">
        <v>425</v>
      </c>
      <c r="H1733" s="4">
        <v>2024.08</v>
      </c>
      <c r="I1733" s="4">
        <v>10029.280000000001</v>
      </c>
      <c r="J1733" s="7">
        <f>Table1[[#This Row],[Clicks]]/Table1[[#This Row],[Impressions]]</f>
        <v>3.6643628560928482E-2</v>
      </c>
      <c r="K1733" s="7">
        <f>IFERROR(Table1[[#This Row],[Conversions]]/Table1[[#This Row],[Clicks]],0)</f>
        <v>0.13749595600129408</v>
      </c>
      <c r="L1733" s="6">
        <f>IF(Table1[[#This Row],[Conversions]]=0,0,Table1[[#This Row],[Ad Spend]]/Table1[[#This Row],[Conversions]])</f>
        <v>4.7625411764705881</v>
      </c>
      <c r="M1733" s="8">
        <f>IF(Table1[[#This Row],[Ad Spend]]=0,0,Table1[[#This Row],[Revenue]]/Table1[[#This Row],[Ad Spend]])</f>
        <v>4.9549820165210869</v>
      </c>
      <c r="N1733">
        <f>YEAR(Table1[[#This Row],[Date]])</f>
        <v>2024</v>
      </c>
      <c r="O1733" t="str">
        <f>TEXT(Table1[[#This Row],[Date]],"mmm")</f>
        <v>Jan</v>
      </c>
      <c r="P1733">
        <f>MONTH(Table1[[#This Row],[Date]])</f>
        <v>1</v>
      </c>
    </row>
    <row r="1734" spans="1:16" x14ac:dyDescent="0.25">
      <c r="A1734" t="s">
        <v>1753</v>
      </c>
      <c r="B1734" t="s">
        <v>34</v>
      </c>
      <c r="C1734" t="s">
        <v>17</v>
      </c>
      <c r="D1734" s="1">
        <v>45463</v>
      </c>
      <c r="E1734">
        <v>101152</v>
      </c>
      <c r="F1734">
        <v>6698</v>
      </c>
      <c r="G1734">
        <v>877</v>
      </c>
      <c r="H1734" s="4">
        <v>3963.78</v>
      </c>
      <c r="I1734" s="4">
        <v>53251</v>
      </c>
      <c r="J1734" s="7">
        <f>Table1[[#This Row],[Clicks]]/Table1[[#This Row],[Impressions]]</f>
        <v>6.6217178108193608E-2</v>
      </c>
      <c r="K1734" s="7">
        <f>IFERROR(Table1[[#This Row],[Conversions]]/Table1[[#This Row],[Clicks]],0)</f>
        <v>0.13093460734547627</v>
      </c>
      <c r="L1734" s="6">
        <f>IF(Table1[[#This Row],[Conversions]]=0,0,Table1[[#This Row],[Ad Spend]]/Table1[[#This Row],[Conversions]])</f>
        <v>4.5197035347776513</v>
      </c>
      <c r="M1734" s="8">
        <f>IF(Table1[[#This Row],[Ad Spend]]=0,0,Table1[[#This Row],[Revenue]]/Table1[[#This Row],[Ad Spend]])</f>
        <v>13.434398478220285</v>
      </c>
      <c r="N1734">
        <f>YEAR(Table1[[#This Row],[Date]])</f>
        <v>2024</v>
      </c>
      <c r="O1734" t="str">
        <f>TEXT(Table1[[#This Row],[Date]],"mmm")</f>
        <v>Jun</v>
      </c>
      <c r="P1734">
        <f>MONTH(Table1[[#This Row],[Date]])</f>
        <v>6</v>
      </c>
    </row>
    <row r="1735" spans="1:16" x14ac:dyDescent="0.25">
      <c r="A1735" t="s">
        <v>1754</v>
      </c>
      <c r="B1735" t="s">
        <v>47</v>
      </c>
      <c r="C1735" t="s">
        <v>37</v>
      </c>
      <c r="D1735" s="1">
        <v>45469</v>
      </c>
      <c r="E1735">
        <v>73573</v>
      </c>
      <c r="F1735">
        <v>3580</v>
      </c>
      <c r="G1735">
        <v>299</v>
      </c>
      <c r="H1735" s="4">
        <v>1480.03</v>
      </c>
      <c r="I1735" s="4">
        <v>33289.379999999997</v>
      </c>
      <c r="J1735" s="7">
        <f>Table1[[#This Row],[Clicks]]/Table1[[#This Row],[Impressions]]</f>
        <v>4.8659154853003136E-2</v>
      </c>
      <c r="K1735" s="7">
        <f>IFERROR(Table1[[#This Row],[Conversions]]/Table1[[#This Row],[Clicks]],0)</f>
        <v>8.3519553072625694E-2</v>
      </c>
      <c r="L1735" s="6">
        <f>IF(Table1[[#This Row],[Conversions]]=0,0,Table1[[#This Row],[Ad Spend]]/Table1[[#This Row],[Conversions]])</f>
        <v>4.9499331103678932</v>
      </c>
      <c r="M1735" s="8">
        <f>IF(Table1[[#This Row],[Ad Spend]]=0,0,Table1[[#This Row],[Revenue]]/Table1[[#This Row],[Ad Spend]])</f>
        <v>22.492368397937877</v>
      </c>
      <c r="N1735">
        <f>YEAR(Table1[[#This Row],[Date]])</f>
        <v>2024</v>
      </c>
      <c r="O1735" t="str">
        <f>TEXT(Table1[[#This Row],[Date]],"mmm")</f>
        <v>Jun</v>
      </c>
      <c r="P1735">
        <f>MONTH(Table1[[#This Row],[Date]])</f>
        <v>6</v>
      </c>
    </row>
    <row r="1736" spans="1:16" x14ac:dyDescent="0.25">
      <c r="A1736" t="s">
        <v>1755</v>
      </c>
      <c r="B1736" t="s">
        <v>9</v>
      </c>
      <c r="C1736" t="s">
        <v>19</v>
      </c>
      <c r="D1736" s="1">
        <v>45552</v>
      </c>
      <c r="E1736">
        <v>34759</v>
      </c>
      <c r="F1736">
        <v>403</v>
      </c>
      <c r="G1736">
        <v>14</v>
      </c>
      <c r="H1736" s="4">
        <v>3857.9</v>
      </c>
      <c r="I1736" s="4">
        <v>620.15</v>
      </c>
      <c r="J1736" s="7">
        <f>Table1[[#This Row],[Clicks]]/Table1[[#This Row],[Impressions]]</f>
        <v>1.1594119508616474E-2</v>
      </c>
      <c r="K1736" s="7">
        <f>IFERROR(Table1[[#This Row],[Conversions]]/Table1[[#This Row],[Clicks]],0)</f>
        <v>3.4739454094292806E-2</v>
      </c>
      <c r="L1736" s="6">
        <f>IF(Table1[[#This Row],[Conversions]]=0,0,Table1[[#This Row],[Ad Spend]]/Table1[[#This Row],[Conversions]])</f>
        <v>275.56428571428575</v>
      </c>
      <c r="M1736" s="8">
        <f>IF(Table1[[#This Row],[Ad Spend]]=0,0,Table1[[#This Row],[Revenue]]/Table1[[#This Row],[Ad Spend]])</f>
        <v>0.1607480753777962</v>
      </c>
      <c r="N1736">
        <f>YEAR(Table1[[#This Row],[Date]])</f>
        <v>2024</v>
      </c>
      <c r="O1736" t="str">
        <f>TEXT(Table1[[#This Row],[Date]],"mmm")</f>
        <v>Sept</v>
      </c>
      <c r="P1736">
        <f>MONTH(Table1[[#This Row],[Date]])</f>
        <v>9</v>
      </c>
    </row>
    <row r="1737" spans="1:16" x14ac:dyDescent="0.25">
      <c r="A1737" t="s">
        <v>1756</v>
      </c>
      <c r="B1737" t="s">
        <v>16</v>
      </c>
      <c r="C1737" t="s">
        <v>19</v>
      </c>
      <c r="D1737" s="1">
        <v>45325</v>
      </c>
      <c r="E1737">
        <v>45371</v>
      </c>
      <c r="F1737">
        <v>2270</v>
      </c>
      <c r="G1737">
        <v>115</v>
      </c>
      <c r="H1737" s="4">
        <v>619.46</v>
      </c>
      <c r="I1737" s="4">
        <v>3167.23</v>
      </c>
      <c r="J1737" s="7">
        <f>Table1[[#This Row],[Clicks]]/Table1[[#This Row],[Impressions]]</f>
        <v>5.0031958740164424E-2</v>
      </c>
      <c r="K1737" s="7">
        <f>IFERROR(Table1[[#This Row],[Conversions]]/Table1[[#This Row],[Clicks]],0)</f>
        <v>5.0660792951541848E-2</v>
      </c>
      <c r="L1737" s="6">
        <f>IF(Table1[[#This Row],[Conversions]]=0,0,Table1[[#This Row],[Ad Spend]]/Table1[[#This Row],[Conversions]])</f>
        <v>5.3866086956521739</v>
      </c>
      <c r="M1737" s="8">
        <f>IF(Table1[[#This Row],[Ad Spend]]=0,0,Table1[[#This Row],[Revenue]]/Table1[[#This Row],[Ad Spend]])</f>
        <v>5.1128886449488258</v>
      </c>
      <c r="N1737">
        <f>YEAR(Table1[[#This Row],[Date]])</f>
        <v>2024</v>
      </c>
      <c r="O1737" t="str">
        <f>TEXT(Table1[[#This Row],[Date]],"mmm")</f>
        <v>Feb</v>
      </c>
      <c r="P1737">
        <f>MONTH(Table1[[#This Row],[Date]])</f>
        <v>2</v>
      </c>
    </row>
    <row r="1738" spans="1:16" x14ac:dyDescent="0.25">
      <c r="A1738" t="s">
        <v>1757</v>
      </c>
      <c r="B1738" t="s">
        <v>31</v>
      </c>
      <c r="C1738" t="s">
        <v>19</v>
      </c>
      <c r="D1738" s="1">
        <v>45608</v>
      </c>
      <c r="E1738">
        <v>23450</v>
      </c>
      <c r="F1738">
        <v>490</v>
      </c>
      <c r="G1738">
        <v>49</v>
      </c>
      <c r="H1738" s="4">
        <v>4382.4799999999996</v>
      </c>
      <c r="I1738" s="4">
        <v>3237.74</v>
      </c>
      <c r="J1738" s="7">
        <f>Table1[[#This Row],[Clicks]]/Table1[[#This Row],[Impressions]]</f>
        <v>2.0895522388059702E-2</v>
      </c>
      <c r="K1738" s="7">
        <f>IFERROR(Table1[[#This Row],[Conversions]]/Table1[[#This Row],[Clicks]],0)</f>
        <v>0.1</v>
      </c>
      <c r="L1738" s="6">
        <f>IF(Table1[[#This Row],[Conversions]]=0,0,Table1[[#This Row],[Ad Spend]]/Table1[[#This Row],[Conversions]])</f>
        <v>89.438367346938762</v>
      </c>
      <c r="M1738" s="8">
        <f>IF(Table1[[#This Row],[Ad Spend]]=0,0,Table1[[#This Row],[Revenue]]/Table1[[#This Row],[Ad Spend]])</f>
        <v>0.73879173436045342</v>
      </c>
      <c r="N1738">
        <f>YEAR(Table1[[#This Row],[Date]])</f>
        <v>2024</v>
      </c>
      <c r="O1738" t="str">
        <f>TEXT(Table1[[#This Row],[Date]],"mmm")</f>
        <v>Nov</v>
      </c>
      <c r="P1738">
        <f>MONTH(Table1[[#This Row],[Date]])</f>
        <v>11</v>
      </c>
    </row>
    <row r="1739" spans="1:16" x14ac:dyDescent="0.25">
      <c r="A1739" t="s">
        <v>1758</v>
      </c>
      <c r="B1739" t="s">
        <v>47</v>
      </c>
      <c r="C1739" t="s">
        <v>10</v>
      </c>
      <c r="D1739" s="1">
        <v>45605</v>
      </c>
      <c r="E1739">
        <v>36975</v>
      </c>
      <c r="F1739">
        <v>515</v>
      </c>
      <c r="G1739">
        <v>19</v>
      </c>
      <c r="H1739" s="4">
        <v>4606.41</v>
      </c>
      <c r="I1739" s="4">
        <v>2140.4699999999998</v>
      </c>
      <c r="J1739" s="7">
        <f>Table1[[#This Row],[Clicks]]/Table1[[#This Row],[Impressions]]</f>
        <v>1.3928329952670723E-2</v>
      </c>
      <c r="K1739" s="7">
        <f>IFERROR(Table1[[#This Row],[Conversions]]/Table1[[#This Row],[Clicks]],0)</f>
        <v>3.6893203883495145E-2</v>
      </c>
      <c r="L1739" s="6">
        <f>IF(Table1[[#This Row],[Conversions]]=0,0,Table1[[#This Row],[Ad Spend]]/Table1[[#This Row],[Conversions]])</f>
        <v>242.44263157894736</v>
      </c>
      <c r="M1739" s="8">
        <f>IF(Table1[[#This Row],[Ad Spend]]=0,0,Table1[[#This Row],[Revenue]]/Table1[[#This Row],[Ad Spend]])</f>
        <v>0.46467205481057916</v>
      </c>
      <c r="N1739">
        <f>YEAR(Table1[[#This Row],[Date]])</f>
        <v>2024</v>
      </c>
      <c r="O1739" t="str">
        <f>TEXT(Table1[[#This Row],[Date]],"mmm")</f>
        <v>Nov</v>
      </c>
      <c r="P1739">
        <f>MONTH(Table1[[#This Row],[Date]])</f>
        <v>11</v>
      </c>
    </row>
    <row r="1740" spans="1:16" x14ac:dyDescent="0.25">
      <c r="A1740" t="s">
        <v>1759</v>
      </c>
      <c r="B1740" t="s">
        <v>16</v>
      </c>
      <c r="C1740" t="s">
        <v>10</v>
      </c>
      <c r="D1740" s="1">
        <v>45659</v>
      </c>
      <c r="E1740">
        <v>29008</v>
      </c>
      <c r="F1740">
        <v>297</v>
      </c>
      <c r="G1740">
        <v>36</v>
      </c>
      <c r="H1740" s="4">
        <v>1318.76</v>
      </c>
      <c r="I1740" s="4">
        <v>900</v>
      </c>
      <c r="J1740" s="7">
        <f>Table1[[#This Row],[Clicks]]/Table1[[#This Row],[Impressions]]</f>
        <v>1.0238554881412024E-2</v>
      </c>
      <c r="K1740" s="7">
        <f>IFERROR(Table1[[#This Row],[Conversions]]/Table1[[#This Row],[Clicks]],0)</f>
        <v>0.12121212121212122</v>
      </c>
      <c r="L1740" s="6">
        <f>IF(Table1[[#This Row],[Conversions]]=0,0,Table1[[#This Row],[Ad Spend]]/Table1[[#This Row],[Conversions]])</f>
        <v>36.632222222222225</v>
      </c>
      <c r="M1740" s="8">
        <f>IF(Table1[[#This Row],[Ad Spend]]=0,0,Table1[[#This Row],[Revenue]]/Table1[[#This Row],[Ad Spend]])</f>
        <v>0.68245927992963085</v>
      </c>
      <c r="N1740">
        <f>YEAR(Table1[[#This Row],[Date]])</f>
        <v>2025</v>
      </c>
      <c r="O1740" t="str">
        <f>TEXT(Table1[[#This Row],[Date]],"mmm")</f>
        <v>Jan</v>
      </c>
      <c r="P1740">
        <f>MONTH(Table1[[#This Row],[Date]])</f>
        <v>1</v>
      </c>
    </row>
    <row r="1741" spans="1:16" x14ac:dyDescent="0.25">
      <c r="A1741" t="s">
        <v>1760</v>
      </c>
      <c r="B1741" t="s">
        <v>9</v>
      </c>
      <c r="C1741" t="s">
        <v>17</v>
      </c>
      <c r="D1741" s="1">
        <v>45456</v>
      </c>
      <c r="E1741">
        <v>143761</v>
      </c>
      <c r="F1741">
        <v>3376</v>
      </c>
      <c r="G1741">
        <v>426</v>
      </c>
      <c r="H1741" s="4">
        <v>3599.54</v>
      </c>
      <c r="I1741" s="4">
        <v>29619.8</v>
      </c>
      <c r="J1741" s="7">
        <f>Table1[[#This Row],[Clicks]]/Table1[[#This Row],[Impressions]]</f>
        <v>2.3483420399134675E-2</v>
      </c>
      <c r="K1741" s="7">
        <f>IFERROR(Table1[[#This Row],[Conversions]]/Table1[[#This Row],[Clicks]],0)</f>
        <v>0.12618483412322276</v>
      </c>
      <c r="L1741" s="6">
        <f>IF(Table1[[#This Row],[Conversions]]=0,0,Table1[[#This Row],[Ad Spend]]/Table1[[#This Row],[Conversions]])</f>
        <v>8.4496244131455391</v>
      </c>
      <c r="M1741" s="8">
        <f>IF(Table1[[#This Row],[Ad Spend]]=0,0,Table1[[#This Row],[Revenue]]/Table1[[#This Row],[Ad Spend]])</f>
        <v>8.2287736766364592</v>
      </c>
      <c r="N1741">
        <f>YEAR(Table1[[#This Row],[Date]])</f>
        <v>2024</v>
      </c>
      <c r="O1741" t="str">
        <f>TEXT(Table1[[#This Row],[Date]],"mmm")</f>
        <v>Jun</v>
      </c>
      <c r="P1741">
        <f>MONTH(Table1[[#This Row],[Date]])</f>
        <v>6</v>
      </c>
    </row>
    <row r="1742" spans="1:16" x14ac:dyDescent="0.25">
      <c r="A1742" t="s">
        <v>1761</v>
      </c>
      <c r="B1742" t="s">
        <v>16</v>
      </c>
      <c r="C1742" t="s">
        <v>17</v>
      </c>
      <c r="D1742" s="1">
        <v>45439</v>
      </c>
      <c r="E1742">
        <v>21060</v>
      </c>
      <c r="F1742">
        <v>862</v>
      </c>
      <c r="G1742">
        <v>74</v>
      </c>
      <c r="H1742" s="4">
        <v>581.88</v>
      </c>
      <c r="I1742" s="4">
        <v>8689.01</v>
      </c>
      <c r="J1742" s="7">
        <f>Table1[[#This Row],[Clicks]]/Table1[[#This Row],[Impressions]]</f>
        <v>4.0930674264007601E-2</v>
      </c>
      <c r="K1742" s="7">
        <f>IFERROR(Table1[[#This Row],[Conversions]]/Table1[[#This Row],[Clicks]],0)</f>
        <v>8.584686774941995E-2</v>
      </c>
      <c r="L1742" s="6">
        <f>IF(Table1[[#This Row],[Conversions]]=0,0,Table1[[#This Row],[Ad Spend]]/Table1[[#This Row],[Conversions]])</f>
        <v>7.8632432432432431</v>
      </c>
      <c r="M1742" s="8">
        <f>IF(Table1[[#This Row],[Ad Spend]]=0,0,Table1[[#This Row],[Revenue]]/Table1[[#This Row],[Ad Spend]])</f>
        <v>14.932649343507252</v>
      </c>
      <c r="N1742">
        <f>YEAR(Table1[[#This Row],[Date]])</f>
        <v>2024</v>
      </c>
      <c r="O1742" t="str">
        <f>TEXT(Table1[[#This Row],[Date]],"mmm")</f>
        <v>May</v>
      </c>
      <c r="P1742">
        <f>MONTH(Table1[[#This Row],[Date]])</f>
        <v>5</v>
      </c>
    </row>
    <row r="1743" spans="1:16" x14ac:dyDescent="0.25">
      <c r="A1743" t="s">
        <v>1762</v>
      </c>
      <c r="B1743" t="s">
        <v>34</v>
      </c>
      <c r="C1743" t="s">
        <v>37</v>
      </c>
      <c r="D1743" s="1">
        <v>45569</v>
      </c>
      <c r="E1743">
        <v>54635</v>
      </c>
      <c r="F1743">
        <v>3223</v>
      </c>
      <c r="G1743">
        <v>358</v>
      </c>
      <c r="H1743" s="4">
        <v>563.74</v>
      </c>
      <c r="I1743" s="4">
        <v>13856.32</v>
      </c>
      <c r="J1743" s="7">
        <f>Table1[[#This Row],[Clicks]]/Table1[[#This Row],[Impressions]]</f>
        <v>5.8991488972270523E-2</v>
      </c>
      <c r="K1743" s="7">
        <f>IFERROR(Table1[[#This Row],[Conversions]]/Table1[[#This Row],[Clicks]],0)</f>
        <v>0.1110766366739063</v>
      </c>
      <c r="L1743" s="6">
        <f>IF(Table1[[#This Row],[Conversions]]=0,0,Table1[[#This Row],[Ad Spend]]/Table1[[#This Row],[Conversions]])</f>
        <v>1.5746927374301676</v>
      </c>
      <c r="M1743" s="8">
        <f>IF(Table1[[#This Row],[Ad Spend]]=0,0,Table1[[#This Row],[Revenue]]/Table1[[#This Row],[Ad Spend]])</f>
        <v>24.57927413346578</v>
      </c>
      <c r="N1743">
        <f>YEAR(Table1[[#This Row],[Date]])</f>
        <v>2024</v>
      </c>
      <c r="O1743" t="str">
        <f>TEXT(Table1[[#This Row],[Date]],"mmm")</f>
        <v>Oct</v>
      </c>
      <c r="P1743">
        <f>MONTH(Table1[[#This Row],[Date]])</f>
        <v>10</v>
      </c>
    </row>
    <row r="1744" spans="1:16" x14ac:dyDescent="0.25">
      <c r="A1744" t="s">
        <v>1763</v>
      </c>
      <c r="B1744" t="s">
        <v>47</v>
      </c>
      <c r="C1744" t="s">
        <v>37</v>
      </c>
      <c r="D1744" s="1">
        <v>45375</v>
      </c>
      <c r="E1744">
        <v>108459</v>
      </c>
      <c r="F1744">
        <v>5907</v>
      </c>
      <c r="G1744">
        <v>572</v>
      </c>
      <c r="H1744" s="4">
        <v>3087.46</v>
      </c>
      <c r="I1744" s="4">
        <v>40420.629999999997</v>
      </c>
      <c r="J1744" s="7">
        <f>Table1[[#This Row],[Clicks]]/Table1[[#This Row],[Impressions]]</f>
        <v>5.4462976793073881E-2</v>
      </c>
      <c r="K1744" s="7">
        <f>IFERROR(Table1[[#This Row],[Conversions]]/Table1[[#This Row],[Clicks]],0)</f>
        <v>9.683426443202979E-2</v>
      </c>
      <c r="L1744" s="6">
        <f>IF(Table1[[#This Row],[Conversions]]=0,0,Table1[[#This Row],[Ad Spend]]/Table1[[#This Row],[Conversions]])</f>
        <v>5.3976573426573431</v>
      </c>
      <c r="M1744" s="8">
        <f>IF(Table1[[#This Row],[Ad Spend]]=0,0,Table1[[#This Row],[Revenue]]/Table1[[#This Row],[Ad Spend]])</f>
        <v>13.091871635583942</v>
      </c>
      <c r="N1744">
        <f>YEAR(Table1[[#This Row],[Date]])</f>
        <v>2024</v>
      </c>
      <c r="O1744" t="str">
        <f>TEXT(Table1[[#This Row],[Date]],"mmm")</f>
        <v>Mar</v>
      </c>
      <c r="P1744">
        <f>MONTH(Table1[[#This Row],[Date]])</f>
        <v>3</v>
      </c>
    </row>
    <row r="1745" spans="1:16" x14ac:dyDescent="0.25">
      <c r="A1745" t="s">
        <v>1764</v>
      </c>
      <c r="B1745" t="s">
        <v>34</v>
      </c>
      <c r="C1745" t="s">
        <v>37</v>
      </c>
      <c r="D1745" s="1">
        <v>45510</v>
      </c>
      <c r="E1745">
        <v>70784</v>
      </c>
      <c r="F1745">
        <v>4792</v>
      </c>
      <c r="G1745">
        <v>553</v>
      </c>
      <c r="H1745" s="4">
        <v>2746.64</v>
      </c>
      <c r="I1745" s="4">
        <v>47272.77</v>
      </c>
      <c r="J1745" s="7">
        <f>Table1[[#This Row],[Clicks]]/Table1[[#This Row],[Impressions]]</f>
        <v>6.7698915009041585E-2</v>
      </c>
      <c r="K1745" s="7">
        <f>IFERROR(Table1[[#This Row],[Conversions]]/Table1[[#This Row],[Clicks]],0)</f>
        <v>0.11540066777963272</v>
      </c>
      <c r="L1745" s="6">
        <f>IF(Table1[[#This Row],[Conversions]]=0,0,Table1[[#This Row],[Ad Spend]]/Table1[[#This Row],[Conversions]])</f>
        <v>4.9667992766726945</v>
      </c>
      <c r="M1745" s="8">
        <f>IF(Table1[[#This Row],[Ad Spend]]=0,0,Table1[[#This Row],[Revenue]]/Table1[[#This Row],[Ad Spend]])</f>
        <v>17.211127049777183</v>
      </c>
      <c r="N1745">
        <f>YEAR(Table1[[#This Row],[Date]])</f>
        <v>2024</v>
      </c>
      <c r="O1745" t="str">
        <f>TEXT(Table1[[#This Row],[Date]],"mmm")</f>
        <v>Aug</v>
      </c>
      <c r="P1745">
        <f>MONTH(Table1[[#This Row],[Date]])</f>
        <v>8</v>
      </c>
    </row>
    <row r="1746" spans="1:16" x14ac:dyDescent="0.25">
      <c r="A1746" t="s">
        <v>1765</v>
      </c>
      <c r="B1746" t="s">
        <v>34</v>
      </c>
      <c r="C1746" t="s">
        <v>19</v>
      </c>
      <c r="D1746" s="1">
        <v>45678</v>
      </c>
      <c r="E1746">
        <v>47274</v>
      </c>
      <c r="F1746">
        <v>686</v>
      </c>
      <c r="G1746">
        <v>19</v>
      </c>
      <c r="H1746" s="4">
        <v>1852.27</v>
      </c>
      <c r="I1746" s="4">
        <v>1772.54</v>
      </c>
      <c r="J1746" s="7">
        <f>Table1[[#This Row],[Clicks]]/Table1[[#This Row],[Impressions]]</f>
        <v>1.4511147776790625E-2</v>
      </c>
      <c r="K1746" s="7">
        <f>IFERROR(Table1[[#This Row],[Conversions]]/Table1[[#This Row],[Clicks]],0)</f>
        <v>2.7696793002915453E-2</v>
      </c>
      <c r="L1746" s="6">
        <f>IF(Table1[[#This Row],[Conversions]]=0,0,Table1[[#This Row],[Ad Spend]]/Table1[[#This Row],[Conversions]])</f>
        <v>97.487894736842108</v>
      </c>
      <c r="M1746" s="8">
        <f>IF(Table1[[#This Row],[Ad Spend]]=0,0,Table1[[#This Row],[Revenue]]/Table1[[#This Row],[Ad Spend]])</f>
        <v>0.9569555194437096</v>
      </c>
      <c r="N1746">
        <f>YEAR(Table1[[#This Row],[Date]])</f>
        <v>2025</v>
      </c>
      <c r="O1746" t="str">
        <f>TEXT(Table1[[#This Row],[Date]],"mmm")</f>
        <v>Jan</v>
      </c>
      <c r="P1746">
        <f>MONTH(Table1[[#This Row],[Date]])</f>
        <v>1</v>
      </c>
    </row>
    <row r="1747" spans="1:16" x14ac:dyDescent="0.25">
      <c r="A1747" t="s">
        <v>1766</v>
      </c>
      <c r="B1747" t="s">
        <v>21</v>
      </c>
      <c r="C1747" t="s">
        <v>10</v>
      </c>
      <c r="D1747" s="1">
        <v>45637</v>
      </c>
      <c r="E1747">
        <v>121898</v>
      </c>
      <c r="F1747">
        <v>1321</v>
      </c>
      <c r="G1747">
        <v>154</v>
      </c>
      <c r="H1747" s="4">
        <v>623.51</v>
      </c>
      <c r="I1747" s="4">
        <v>12137.33</v>
      </c>
      <c r="J1747" s="7">
        <f>Table1[[#This Row],[Clicks]]/Table1[[#This Row],[Impressions]]</f>
        <v>1.0836929235918554E-2</v>
      </c>
      <c r="K1747" s="7">
        <f>IFERROR(Table1[[#This Row],[Conversions]]/Table1[[#This Row],[Clicks]],0)</f>
        <v>0.1165783497350492</v>
      </c>
      <c r="L1747" s="6">
        <f>IF(Table1[[#This Row],[Conversions]]=0,0,Table1[[#This Row],[Ad Spend]]/Table1[[#This Row],[Conversions]])</f>
        <v>4.0487662337662336</v>
      </c>
      <c r="M1747" s="8">
        <f>IF(Table1[[#This Row],[Ad Spend]]=0,0,Table1[[#This Row],[Revenue]]/Table1[[#This Row],[Ad Spend]])</f>
        <v>19.466135266475277</v>
      </c>
      <c r="N1747">
        <f>YEAR(Table1[[#This Row],[Date]])</f>
        <v>2024</v>
      </c>
      <c r="O1747" t="str">
        <f>TEXT(Table1[[#This Row],[Date]],"mmm")</f>
        <v>Dec</v>
      </c>
      <c r="P1747">
        <f>MONTH(Table1[[#This Row],[Date]])</f>
        <v>12</v>
      </c>
    </row>
    <row r="1748" spans="1:16" x14ac:dyDescent="0.25">
      <c r="A1748" t="s">
        <v>1767</v>
      </c>
      <c r="B1748" t="s">
        <v>47</v>
      </c>
      <c r="C1748" t="s">
        <v>12</v>
      </c>
      <c r="D1748" s="1">
        <v>45639</v>
      </c>
      <c r="E1748">
        <v>22269</v>
      </c>
      <c r="F1748">
        <v>1109</v>
      </c>
      <c r="G1748">
        <v>127</v>
      </c>
      <c r="H1748" s="4">
        <v>1731.51</v>
      </c>
      <c r="I1748" s="4">
        <v>7088.03</v>
      </c>
      <c r="J1748" s="7">
        <f>Table1[[#This Row],[Clicks]]/Table1[[#This Row],[Impressions]]</f>
        <v>4.9800170640801111E-2</v>
      </c>
      <c r="K1748" s="7">
        <f>IFERROR(Table1[[#This Row],[Conversions]]/Table1[[#This Row],[Clicks]],0)</f>
        <v>0.11451758340847611</v>
      </c>
      <c r="L1748" s="6">
        <f>IF(Table1[[#This Row],[Conversions]]=0,0,Table1[[#This Row],[Ad Spend]]/Table1[[#This Row],[Conversions]])</f>
        <v>13.633937007874016</v>
      </c>
      <c r="M1748" s="8">
        <f>IF(Table1[[#This Row],[Ad Spend]]=0,0,Table1[[#This Row],[Revenue]]/Table1[[#This Row],[Ad Spend]])</f>
        <v>4.09355418103274</v>
      </c>
      <c r="N1748">
        <f>YEAR(Table1[[#This Row],[Date]])</f>
        <v>2024</v>
      </c>
      <c r="O1748" t="str">
        <f>TEXT(Table1[[#This Row],[Date]],"mmm")</f>
        <v>Dec</v>
      </c>
      <c r="P1748">
        <f>MONTH(Table1[[#This Row],[Date]])</f>
        <v>12</v>
      </c>
    </row>
    <row r="1749" spans="1:16" x14ac:dyDescent="0.25">
      <c r="A1749" t="s">
        <v>1768</v>
      </c>
      <c r="B1749" t="s">
        <v>41</v>
      </c>
      <c r="C1749" t="s">
        <v>19</v>
      </c>
      <c r="D1749" s="1">
        <v>45547</v>
      </c>
      <c r="E1749">
        <v>83707</v>
      </c>
      <c r="F1749">
        <v>5310</v>
      </c>
      <c r="G1749">
        <v>322</v>
      </c>
      <c r="H1749" s="4">
        <v>4995.67</v>
      </c>
      <c r="I1749" s="4">
        <v>12567.18</v>
      </c>
      <c r="J1749" s="7">
        <f>Table1[[#This Row],[Clicks]]/Table1[[#This Row],[Impressions]]</f>
        <v>6.3435554971507754E-2</v>
      </c>
      <c r="K1749" s="7">
        <f>IFERROR(Table1[[#This Row],[Conversions]]/Table1[[#This Row],[Clicks]],0)</f>
        <v>6.064030131826742E-2</v>
      </c>
      <c r="L1749" s="6">
        <f>IF(Table1[[#This Row],[Conversions]]=0,0,Table1[[#This Row],[Ad Spend]]/Table1[[#This Row],[Conversions]])</f>
        <v>15.514503105590062</v>
      </c>
      <c r="M1749" s="8">
        <f>IF(Table1[[#This Row],[Ad Spend]]=0,0,Table1[[#This Row],[Revenue]]/Table1[[#This Row],[Ad Spend]])</f>
        <v>2.5156145221762047</v>
      </c>
      <c r="N1749">
        <f>YEAR(Table1[[#This Row],[Date]])</f>
        <v>2024</v>
      </c>
      <c r="O1749" t="str">
        <f>TEXT(Table1[[#This Row],[Date]],"mmm")</f>
        <v>Sept</v>
      </c>
      <c r="P1749">
        <f>MONTH(Table1[[#This Row],[Date]])</f>
        <v>9</v>
      </c>
    </row>
    <row r="1750" spans="1:16" x14ac:dyDescent="0.25">
      <c r="A1750" t="s">
        <v>1769</v>
      </c>
      <c r="B1750" t="s">
        <v>16</v>
      </c>
      <c r="C1750" t="s">
        <v>10</v>
      </c>
      <c r="D1750" s="1">
        <v>45645</v>
      </c>
      <c r="E1750">
        <v>97509</v>
      </c>
      <c r="F1750">
        <v>3771</v>
      </c>
      <c r="G1750">
        <v>506</v>
      </c>
      <c r="H1750" s="4">
        <v>1756.97</v>
      </c>
      <c r="I1750" s="4">
        <v>50410.33</v>
      </c>
      <c r="J1750" s="7">
        <f>Table1[[#This Row],[Clicks]]/Table1[[#This Row],[Impressions]]</f>
        <v>3.8673353228932714E-2</v>
      </c>
      <c r="K1750" s="7">
        <f>IFERROR(Table1[[#This Row],[Conversions]]/Table1[[#This Row],[Clicks]],0)</f>
        <v>0.13418191461150888</v>
      </c>
      <c r="L1750" s="6">
        <f>IF(Table1[[#This Row],[Conversions]]=0,0,Table1[[#This Row],[Ad Spend]]/Table1[[#This Row],[Conversions]])</f>
        <v>3.4722727272727272</v>
      </c>
      <c r="M1750" s="8">
        <f>IF(Table1[[#This Row],[Ad Spend]]=0,0,Table1[[#This Row],[Revenue]]/Table1[[#This Row],[Ad Spend]])</f>
        <v>28.691628200823008</v>
      </c>
      <c r="N1750">
        <f>YEAR(Table1[[#This Row],[Date]])</f>
        <v>2024</v>
      </c>
      <c r="O1750" t="str">
        <f>TEXT(Table1[[#This Row],[Date]],"mmm")</f>
        <v>Dec</v>
      </c>
      <c r="P1750">
        <f>MONTH(Table1[[#This Row],[Date]])</f>
        <v>12</v>
      </c>
    </row>
    <row r="1751" spans="1:16" x14ac:dyDescent="0.25">
      <c r="A1751" t="s">
        <v>1770</v>
      </c>
      <c r="B1751" t="s">
        <v>21</v>
      </c>
      <c r="C1751" t="s">
        <v>17</v>
      </c>
      <c r="D1751" s="1">
        <v>45529</v>
      </c>
      <c r="E1751">
        <v>123535</v>
      </c>
      <c r="F1751">
        <v>2555</v>
      </c>
      <c r="G1751">
        <v>296</v>
      </c>
      <c r="H1751" s="4">
        <v>2050.71</v>
      </c>
      <c r="I1751" s="4">
        <v>34029.17</v>
      </c>
      <c r="J1751" s="7">
        <f>Table1[[#This Row],[Clicks]]/Table1[[#This Row],[Impressions]]</f>
        <v>2.0682397701056381E-2</v>
      </c>
      <c r="K1751" s="7">
        <f>IFERROR(Table1[[#This Row],[Conversions]]/Table1[[#This Row],[Clicks]],0)</f>
        <v>0.11585127201565558</v>
      </c>
      <c r="L1751" s="6">
        <f>IF(Table1[[#This Row],[Conversions]]=0,0,Table1[[#This Row],[Ad Spend]]/Table1[[#This Row],[Conversions]])</f>
        <v>6.9280743243243244</v>
      </c>
      <c r="M1751" s="8">
        <f>IF(Table1[[#This Row],[Ad Spend]]=0,0,Table1[[#This Row],[Revenue]]/Table1[[#This Row],[Ad Spend]])</f>
        <v>16.593847984356636</v>
      </c>
      <c r="N1751">
        <f>YEAR(Table1[[#This Row],[Date]])</f>
        <v>2024</v>
      </c>
      <c r="O1751" t="str">
        <f>TEXT(Table1[[#This Row],[Date]],"mmm")</f>
        <v>Aug</v>
      </c>
      <c r="P1751">
        <f>MONTH(Table1[[#This Row],[Date]])</f>
        <v>8</v>
      </c>
    </row>
    <row r="1752" spans="1:16" x14ac:dyDescent="0.25">
      <c r="A1752" t="s">
        <v>1771</v>
      </c>
      <c r="B1752" t="s">
        <v>16</v>
      </c>
      <c r="C1752" t="s">
        <v>19</v>
      </c>
      <c r="D1752" s="1">
        <v>45487</v>
      </c>
      <c r="E1752">
        <v>44160</v>
      </c>
      <c r="F1752">
        <v>1676</v>
      </c>
      <c r="G1752">
        <v>36</v>
      </c>
      <c r="H1752" s="4">
        <v>3998.6</v>
      </c>
      <c r="I1752" s="4">
        <v>3102.38</v>
      </c>
      <c r="J1752" s="7">
        <f>Table1[[#This Row],[Clicks]]/Table1[[#This Row],[Impressions]]</f>
        <v>3.7952898550724638E-2</v>
      </c>
      <c r="K1752" s="7">
        <f>IFERROR(Table1[[#This Row],[Conversions]]/Table1[[#This Row],[Clicks]],0)</f>
        <v>2.1479713603818614E-2</v>
      </c>
      <c r="L1752" s="6">
        <f>IF(Table1[[#This Row],[Conversions]]=0,0,Table1[[#This Row],[Ad Spend]]/Table1[[#This Row],[Conversions]])</f>
        <v>111.07222222222222</v>
      </c>
      <c r="M1752" s="8">
        <f>IF(Table1[[#This Row],[Ad Spend]]=0,0,Table1[[#This Row],[Revenue]]/Table1[[#This Row],[Ad Spend]])</f>
        <v>0.77586655329365284</v>
      </c>
      <c r="N1752">
        <f>YEAR(Table1[[#This Row],[Date]])</f>
        <v>2024</v>
      </c>
      <c r="O1752" t="str">
        <f>TEXT(Table1[[#This Row],[Date]],"mmm")</f>
        <v>Jul</v>
      </c>
      <c r="P1752">
        <f>MONTH(Table1[[#This Row],[Date]])</f>
        <v>7</v>
      </c>
    </row>
    <row r="1753" spans="1:16" x14ac:dyDescent="0.25">
      <c r="A1753" t="s">
        <v>1772</v>
      </c>
      <c r="B1753" t="s">
        <v>16</v>
      </c>
      <c r="C1753" t="s">
        <v>37</v>
      </c>
      <c r="D1753" s="1">
        <v>45595</v>
      </c>
      <c r="E1753">
        <v>53210</v>
      </c>
      <c r="F1753">
        <v>1340</v>
      </c>
      <c r="G1753">
        <v>29</v>
      </c>
      <c r="H1753" s="4">
        <v>2466.98</v>
      </c>
      <c r="I1753" s="4">
        <v>1365.58</v>
      </c>
      <c r="J1753" s="7">
        <f>Table1[[#This Row],[Clicks]]/Table1[[#This Row],[Impressions]]</f>
        <v>2.5183236233790641E-2</v>
      </c>
      <c r="K1753" s="7">
        <f>IFERROR(Table1[[#This Row],[Conversions]]/Table1[[#This Row],[Clicks]],0)</f>
        <v>2.1641791044776121E-2</v>
      </c>
      <c r="L1753" s="6">
        <f>IF(Table1[[#This Row],[Conversions]]=0,0,Table1[[#This Row],[Ad Spend]]/Table1[[#This Row],[Conversions]])</f>
        <v>85.068275862068973</v>
      </c>
      <c r="M1753" s="8">
        <f>IF(Table1[[#This Row],[Ad Spend]]=0,0,Table1[[#This Row],[Revenue]]/Table1[[#This Row],[Ad Spend]])</f>
        <v>0.55354319856666856</v>
      </c>
      <c r="N1753">
        <f>YEAR(Table1[[#This Row],[Date]])</f>
        <v>2024</v>
      </c>
      <c r="O1753" t="str">
        <f>TEXT(Table1[[#This Row],[Date]],"mmm")</f>
        <v>Oct</v>
      </c>
      <c r="P1753">
        <f>MONTH(Table1[[#This Row],[Date]])</f>
        <v>10</v>
      </c>
    </row>
    <row r="1754" spans="1:16" x14ac:dyDescent="0.25">
      <c r="A1754" t="s">
        <v>1773</v>
      </c>
      <c r="B1754" t="s">
        <v>14</v>
      </c>
      <c r="C1754" t="s">
        <v>10</v>
      </c>
      <c r="D1754" s="1">
        <v>45546</v>
      </c>
      <c r="E1754">
        <v>107821</v>
      </c>
      <c r="F1754">
        <v>2273</v>
      </c>
      <c r="G1754">
        <v>290</v>
      </c>
      <c r="H1754" s="4">
        <v>4298.3100000000004</v>
      </c>
      <c r="I1754" s="4">
        <v>13852.42</v>
      </c>
      <c r="J1754" s="7">
        <f>Table1[[#This Row],[Clicks]]/Table1[[#This Row],[Impressions]]</f>
        <v>2.1081236493818458E-2</v>
      </c>
      <c r="K1754" s="7">
        <f>IFERROR(Table1[[#This Row],[Conversions]]/Table1[[#This Row],[Clicks]],0)</f>
        <v>0.12758468983721954</v>
      </c>
      <c r="L1754" s="6">
        <f>IF(Table1[[#This Row],[Conversions]]=0,0,Table1[[#This Row],[Ad Spend]]/Table1[[#This Row],[Conversions]])</f>
        <v>14.821758620689657</v>
      </c>
      <c r="M1754" s="8">
        <f>IF(Table1[[#This Row],[Ad Spend]]=0,0,Table1[[#This Row],[Revenue]]/Table1[[#This Row],[Ad Spend]])</f>
        <v>3.2227596427433105</v>
      </c>
      <c r="N1754">
        <f>YEAR(Table1[[#This Row],[Date]])</f>
        <v>2024</v>
      </c>
      <c r="O1754" t="str">
        <f>TEXT(Table1[[#This Row],[Date]],"mmm")</f>
        <v>Sept</v>
      </c>
      <c r="P1754">
        <f>MONTH(Table1[[#This Row],[Date]])</f>
        <v>9</v>
      </c>
    </row>
    <row r="1755" spans="1:16" x14ac:dyDescent="0.25">
      <c r="A1755" t="s">
        <v>1774</v>
      </c>
      <c r="B1755" t="s">
        <v>14</v>
      </c>
      <c r="C1755" t="s">
        <v>17</v>
      </c>
      <c r="D1755" s="1">
        <v>45602</v>
      </c>
      <c r="E1755">
        <v>135845</v>
      </c>
      <c r="F1755">
        <v>5474</v>
      </c>
      <c r="G1755">
        <v>783</v>
      </c>
      <c r="H1755" s="4">
        <v>967.14</v>
      </c>
      <c r="I1755" s="4">
        <v>91540.52</v>
      </c>
      <c r="J1755" s="7">
        <f>Table1[[#This Row],[Clicks]]/Table1[[#This Row],[Impressions]]</f>
        <v>4.0295925503331005E-2</v>
      </c>
      <c r="K1755" s="7">
        <f>IFERROR(Table1[[#This Row],[Conversions]]/Table1[[#This Row],[Clicks]],0)</f>
        <v>0.14303982462550238</v>
      </c>
      <c r="L1755" s="6">
        <f>IF(Table1[[#This Row],[Conversions]]=0,0,Table1[[#This Row],[Ad Spend]]/Table1[[#This Row],[Conversions]])</f>
        <v>1.2351724137931035</v>
      </c>
      <c r="M1755" s="8">
        <f>IF(Table1[[#This Row],[Ad Spend]]=0,0,Table1[[#This Row],[Revenue]]/Table1[[#This Row],[Ad Spend]])</f>
        <v>94.650743429079554</v>
      </c>
      <c r="N1755">
        <f>YEAR(Table1[[#This Row],[Date]])</f>
        <v>2024</v>
      </c>
      <c r="O1755" t="str">
        <f>TEXT(Table1[[#This Row],[Date]],"mmm")</f>
        <v>Nov</v>
      </c>
      <c r="P1755">
        <f>MONTH(Table1[[#This Row],[Date]])</f>
        <v>11</v>
      </c>
    </row>
    <row r="1756" spans="1:16" x14ac:dyDescent="0.25">
      <c r="A1756" t="s">
        <v>1775</v>
      </c>
      <c r="B1756" t="s">
        <v>31</v>
      </c>
      <c r="C1756" t="s">
        <v>19</v>
      </c>
      <c r="D1756" s="1">
        <v>45346</v>
      </c>
      <c r="E1756">
        <v>22539</v>
      </c>
      <c r="F1756">
        <v>1728</v>
      </c>
      <c r="G1756">
        <v>193</v>
      </c>
      <c r="H1756" s="4">
        <v>3117.52</v>
      </c>
      <c r="I1756" s="4">
        <v>6590.52</v>
      </c>
      <c r="J1756" s="7">
        <f>Table1[[#This Row],[Clicks]]/Table1[[#This Row],[Impressions]]</f>
        <v>7.6667110342073741E-2</v>
      </c>
      <c r="K1756" s="7">
        <f>IFERROR(Table1[[#This Row],[Conversions]]/Table1[[#This Row],[Clicks]],0)</f>
        <v>0.11168981481481481</v>
      </c>
      <c r="L1756" s="6">
        <f>IF(Table1[[#This Row],[Conversions]]=0,0,Table1[[#This Row],[Ad Spend]]/Table1[[#This Row],[Conversions]])</f>
        <v>16.152953367875647</v>
      </c>
      <c r="M1756" s="8">
        <f>IF(Table1[[#This Row],[Ad Spend]]=0,0,Table1[[#This Row],[Revenue]]/Table1[[#This Row],[Ad Spend]])</f>
        <v>2.1140265339115709</v>
      </c>
      <c r="N1756">
        <f>YEAR(Table1[[#This Row],[Date]])</f>
        <v>2024</v>
      </c>
      <c r="O1756" t="str">
        <f>TEXT(Table1[[#This Row],[Date]],"mmm")</f>
        <v>Feb</v>
      </c>
      <c r="P1756">
        <f>MONTH(Table1[[#This Row],[Date]])</f>
        <v>2</v>
      </c>
    </row>
    <row r="1757" spans="1:16" x14ac:dyDescent="0.25">
      <c r="A1757" t="s">
        <v>1776</v>
      </c>
      <c r="B1757" t="s">
        <v>41</v>
      </c>
      <c r="C1757" t="s">
        <v>37</v>
      </c>
      <c r="D1757" s="1">
        <v>45505</v>
      </c>
      <c r="E1757">
        <v>133583</v>
      </c>
      <c r="F1757">
        <v>1457</v>
      </c>
      <c r="G1757">
        <v>87</v>
      </c>
      <c r="H1757" s="4">
        <v>961.29</v>
      </c>
      <c r="I1757" s="4">
        <v>7224.99</v>
      </c>
      <c r="J1757" s="7">
        <f>Table1[[#This Row],[Clicks]]/Table1[[#This Row],[Impressions]]</f>
        <v>1.0907076499255144E-2</v>
      </c>
      <c r="K1757" s="7">
        <f>IFERROR(Table1[[#This Row],[Conversions]]/Table1[[#This Row],[Clicks]],0)</f>
        <v>5.9711736444749489E-2</v>
      </c>
      <c r="L1757" s="6">
        <f>IF(Table1[[#This Row],[Conversions]]=0,0,Table1[[#This Row],[Ad Spend]]/Table1[[#This Row],[Conversions]])</f>
        <v>11.049310344827585</v>
      </c>
      <c r="M1757" s="8">
        <f>IF(Table1[[#This Row],[Ad Spend]]=0,0,Table1[[#This Row],[Revenue]]/Table1[[#This Row],[Ad Spend]])</f>
        <v>7.5159317167556097</v>
      </c>
      <c r="N1757">
        <f>YEAR(Table1[[#This Row],[Date]])</f>
        <v>2024</v>
      </c>
      <c r="O1757" t="str">
        <f>TEXT(Table1[[#This Row],[Date]],"mmm")</f>
        <v>Aug</v>
      </c>
      <c r="P1757">
        <f>MONTH(Table1[[#This Row],[Date]])</f>
        <v>8</v>
      </c>
    </row>
    <row r="1758" spans="1:16" x14ac:dyDescent="0.25">
      <c r="A1758" t="s">
        <v>1777</v>
      </c>
      <c r="B1758" t="s">
        <v>21</v>
      </c>
      <c r="C1758" t="s">
        <v>12</v>
      </c>
      <c r="D1758" s="1">
        <v>45354</v>
      </c>
      <c r="E1758">
        <v>38928</v>
      </c>
      <c r="F1758">
        <v>1832</v>
      </c>
      <c r="G1758">
        <v>117</v>
      </c>
      <c r="H1758" s="4">
        <v>1992.1</v>
      </c>
      <c r="I1758" s="4">
        <v>10395.620000000001</v>
      </c>
      <c r="J1758" s="7">
        <f>Table1[[#This Row],[Clicks]]/Table1[[#This Row],[Impressions]]</f>
        <v>4.706124126592684E-2</v>
      </c>
      <c r="K1758" s="7">
        <f>IFERROR(Table1[[#This Row],[Conversions]]/Table1[[#This Row],[Clicks]],0)</f>
        <v>6.3864628820960695E-2</v>
      </c>
      <c r="L1758" s="6">
        <f>IF(Table1[[#This Row],[Conversions]]=0,0,Table1[[#This Row],[Ad Spend]]/Table1[[#This Row],[Conversions]])</f>
        <v>17.026495726495725</v>
      </c>
      <c r="M1758" s="8">
        <f>IF(Table1[[#This Row],[Ad Spend]]=0,0,Table1[[#This Row],[Revenue]]/Table1[[#This Row],[Ad Spend]])</f>
        <v>5.2184227699412684</v>
      </c>
      <c r="N1758">
        <f>YEAR(Table1[[#This Row],[Date]])</f>
        <v>2024</v>
      </c>
      <c r="O1758" t="str">
        <f>TEXT(Table1[[#This Row],[Date]],"mmm")</f>
        <v>Mar</v>
      </c>
      <c r="P1758">
        <f>MONTH(Table1[[#This Row],[Date]])</f>
        <v>3</v>
      </c>
    </row>
    <row r="1759" spans="1:16" x14ac:dyDescent="0.25">
      <c r="A1759" t="s">
        <v>1778</v>
      </c>
      <c r="B1759" t="s">
        <v>16</v>
      </c>
      <c r="C1759" t="s">
        <v>19</v>
      </c>
      <c r="D1759" s="1">
        <v>45581</v>
      </c>
      <c r="E1759">
        <v>129131</v>
      </c>
      <c r="F1759">
        <v>1861</v>
      </c>
      <c r="G1759">
        <v>145</v>
      </c>
      <c r="H1759" s="4">
        <v>2201.6</v>
      </c>
      <c r="I1759" s="4">
        <v>5937.11</v>
      </c>
      <c r="J1759" s="7">
        <f>Table1[[#This Row],[Clicks]]/Table1[[#This Row],[Impressions]]</f>
        <v>1.4411721430175559E-2</v>
      </c>
      <c r="K1759" s="7">
        <f>IFERROR(Table1[[#This Row],[Conversions]]/Table1[[#This Row],[Clicks]],0)</f>
        <v>7.7915099408919941E-2</v>
      </c>
      <c r="L1759" s="6">
        <f>IF(Table1[[#This Row],[Conversions]]=0,0,Table1[[#This Row],[Ad Spend]]/Table1[[#This Row],[Conversions]])</f>
        <v>15.183448275862068</v>
      </c>
      <c r="M1759" s="8">
        <f>IF(Table1[[#This Row],[Ad Spend]]=0,0,Table1[[#This Row],[Revenue]]/Table1[[#This Row],[Ad Spend]])</f>
        <v>2.696725109011628</v>
      </c>
      <c r="N1759">
        <f>YEAR(Table1[[#This Row],[Date]])</f>
        <v>2024</v>
      </c>
      <c r="O1759" t="str">
        <f>TEXT(Table1[[#This Row],[Date]],"mmm")</f>
        <v>Oct</v>
      </c>
      <c r="P1759">
        <f>MONTH(Table1[[#This Row],[Date]])</f>
        <v>10</v>
      </c>
    </row>
    <row r="1760" spans="1:16" x14ac:dyDescent="0.25">
      <c r="A1760" t="s">
        <v>1779</v>
      </c>
      <c r="B1760" t="s">
        <v>47</v>
      </c>
      <c r="C1760" t="s">
        <v>37</v>
      </c>
      <c r="D1760" s="1">
        <v>45452</v>
      </c>
      <c r="E1760">
        <v>129829</v>
      </c>
      <c r="F1760">
        <v>8448</v>
      </c>
      <c r="G1760">
        <v>778</v>
      </c>
      <c r="H1760" s="4">
        <v>2970.66</v>
      </c>
      <c r="I1760" s="4">
        <v>41316.519999999997</v>
      </c>
      <c r="J1760" s="7">
        <f>Table1[[#This Row],[Clicks]]/Table1[[#This Row],[Impressions]]</f>
        <v>6.5070207734789609E-2</v>
      </c>
      <c r="K1760" s="7">
        <f>IFERROR(Table1[[#This Row],[Conversions]]/Table1[[#This Row],[Clicks]],0)</f>
        <v>9.2092803030303025E-2</v>
      </c>
      <c r="L1760" s="6">
        <f>IF(Table1[[#This Row],[Conversions]]=0,0,Table1[[#This Row],[Ad Spend]]/Table1[[#This Row],[Conversions]])</f>
        <v>3.8183290488431876</v>
      </c>
      <c r="M1760" s="8">
        <f>IF(Table1[[#This Row],[Ad Spend]]=0,0,Table1[[#This Row],[Revenue]]/Table1[[#This Row],[Ad Spend]])</f>
        <v>13.908195485178377</v>
      </c>
      <c r="N1760">
        <f>YEAR(Table1[[#This Row],[Date]])</f>
        <v>2024</v>
      </c>
      <c r="O1760" t="str">
        <f>TEXT(Table1[[#This Row],[Date]],"mmm")</f>
        <v>Jun</v>
      </c>
      <c r="P1760">
        <f>MONTH(Table1[[#This Row],[Date]])</f>
        <v>6</v>
      </c>
    </row>
    <row r="1761" spans="1:16" x14ac:dyDescent="0.25">
      <c r="A1761" t="s">
        <v>1780</v>
      </c>
      <c r="B1761" t="s">
        <v>14</v>
      </c>
      <c r="C1761" t="s">
        <v>37</v>
      </c>
      <c r="D1761" s="1">
        <v>45456</v>
      </c>
      <c r="E1761">
        <v>65011</v>
      </c>
      <c r="F1761">
        <v>3872</v>
      </c>
      <c r="G1761">
        <v>384</v>
      </c>
      <c r="H1761" s="4">
        <v>4103.95</v>
      </c>
      <c r="I1761" s="4">
        <v>17245.400000000001</v>
      </c>
      <c r="J1761" s="7">
        <f>Table1[[#This Row],[Clicks]]/Table1[[#This Row],[Impressions]]</f>
        <v>5.9559151528202917E-2</v>
      </c>
      <c r="K1761" s="7">
        <f>IFERROR(Table1[[#This Row],[Conversions]]/Table1[[#This Row],[Clicks]],0)</f>
        <v>9.9173553719008267E-2</v>
      </c>
      <c r="L1761" s="6">
        <f>IF(Table1[[#This Row],[Conversions]]=0,0,Table1[[#This Row],[Ad Spend]]/Table1[[#This Row],[Conversions]])</f>
        <v>10.687369791666667</v>
      </c>
      <c r="M1761" s="8">
        <f>IF(Table1[[#This Row],[Ad Spend]]=0,0,Table1[[#This Row],[Revenue]]/Table1[[#This Row],[Ad Spend]])</f>
        <v>4.2021467123137475</v>
      </c>
      <c r="N1761">
        <f>YEAR(Table1[[#This Row],[Date]])</f>
        <v>2024</v>
      </c>
      <c r="O1761" t="str">
        <f>TEXT(Table1[[#This Row],[Date]],"mmm")</f>
        <v>Jun</v>
      </c>
      <c r="P1761">
        <f>MONTH(Table1[[#This Row],[Date]])</f>
        <v>6</v>
      </c>
    </row>
    <row r="1762" spans="1:16" x14ac:dyDescent="0.25">
      <c r="A1762" t="s">
        <v>1781</v>
      </c>
      <c r="B1762" t="s">
        <v>41</v>
      </c>
      <c r="C1762" t="s">
        <v>10</v>
      </c>
      <c r="D1762" s="1">
        <v>45452</v>
      </c>
      <c r="E1762">
        <v>138945</v>
      </c>
      <c r="F1762">
        <v>9955</v>
      </c>
      <c r="G1762">
        <v>696</v>
      </c>
      <c r="H1762" s="4">
        <v>912.11</v>
      </c>
      <c r="I1762" s="4">
        <v>36307.18</v>
      </c>
      <c r="J1762" s="7">
        <f>Table1[[#This Row],[Clicks]]/Table1[[#This Row],[Impressions]]</f>
        <v>7.1647054589945663E-2</v>
      </c>
      <c r="K1762" s="7">
        <f>IFERROR(Table1[[#This Row],[Conversions]]/Table1[[#This Row],[Clicks]],0)</f>
        <v>6.9914615770969357E-2</v>
      </c>
      <c r="L1762" s="6">
        <f>IF(Table1[[#This Row],[Conversions]]=0,0,Table1[[#This Row],[Ad Spend]]/Table1[[#This Row],[Conversions]])</f>
        <v>1.3105028735632185</v>
      </c>
      <c r="M1762" s="8">
        <f>IF(Table1[[#This Row],[Ad Spend]]=0,0,Table1[[#This Row],[Revenue]]/Table1[[#This Row],[Ad Spend]])</f>
        <v>39.80570325947528</v>
      </c>
      <c r="N1762">
        <f>YEAR(Table1[[#This Row],[Date]])</f>
        <v>2024</v>
      </c>
      <c r="O1762" t="str">
        <f>TEXT(Table1[[#This Row],[Date]],"mmm")</f>
        <v>Jun</v>
      </c>
      <c r="P1762">
        <f>MONTH(Table1[[#This Row],[Date]])</f>
        <v>6</v>
      </c>
    </row>
    <row r="1763" spans="1:16" x14ac:dyDescent="0.25">
      <c r="A1763" t="s">
        <v>1782</v>
      </c>
      <c r="B1763" t="s">
        <v>41</v>
      </c>
      <c r="C1763" t="s">
        <v>17</v>
      </c>
      <c r="D1763" s="1">
        <v>45600</v>
      </c>
      <c r="E1763">
        <v>74732</v>
      </c>
      <c r="F1763">
        <v>1097</v>
      </c>
      <c r="G1763">
        <v>77</v>
      </c>
      <c r="H1763" s="4">
        <v>1127.27</v>
      </c>
      <c r="I1763" s="4">
        <v>7468.58</v>
      </c>
      <c r="J1763" s="7">
        <f>Table1[[#This Row],[Clicks]]/Table1[[#This Row],[Impressions]]</f>
        <v>1.4679120055665578E-2</v>
      </c>
      <c r="K1763" s="7">
        <f>IFERROR(Table1[[#This Row],[Conversions]]/Table1[[#This Row],[Clicks]],0)</f>
        <v>7.0191431175934363E-2</v>
      </c>
      <c r="L1763" s="6">
        <f>IF(Table1[[#This Row],[Conversions]]=0,0,Table1[[#This Row],[Ad Spend]]/Table1[[#This Row],[Conversions]])</f>
        <v>14.639870129870129</v>
      </c>
      <c r="M1763" s="8">
        <f>IF(Table1[[#This Row],[Ad Spend]]=0,0,Table1[[#This Row],[Revenue]]/Table1[[#This Row],[Ad Spend]])</f>
        <v>6.6253692549256167</v>
      </c>
      <c r="N1763">
        <f>YEAR(Table1[[#This Row],[Date]])</f>
        <v>2024</v>
      </c>
      <c r="O1763" t="str">
        <f>TEXT(Table1[[#This Row],[Date]],"mmm")</f>
        <v>Nov</v>
      </c>
      <c r="P1763">
        <f>MONTH(Table1[[#This Row],[Date]])</f>
        <v>11</v>
      </c>
    </row>
    <row r="1764" spans="1:16" x14ac:dyDescent="0.25">
      <c r="A1764" t="s">
        <v>1783</v>
      </c>
      <c r="B1764" t="s">
        <v>16</v>
      </c>
      <c r="C1764" t="s">
        <v>19</v>
      </c>
      <c r="D1764" s="1">
        <v>45690</v>
      </c>
      <c r="E1764">
        <v>20472</v>
      </c>
      <c r="F1764">
        <v>883</v>
      </c>
      <c r="G1764">
        <v>43</v>
      </c>
      <c r="H1764" s="4">
        <v>214.66</v>
      </c>
      <c r="I1764" s="4">
        <v>2391.5300000000002</v>
      </c>
      <c r="J1764" s="7">
        <f>Table1[[#This Row],[Clicks]]/Table1[[#This Row],[Impressions]]</f>
        <v>4.3132082844861273E-2</v>
      </c>
      <c r="K1764" s="7">
        <f>IFERROR(Table1[[#This Row],[Conversions]]/Table1[[#This Row],[Clicks]],0)</f>
        <v>4.8697621744054363E-2</v>
      </c>
      <c r="L1764" s="6">
        <f>IF(Table1[[#This Row],[Conversions]]=0,0,Table1[[#This Row],[Ad Spend]]/Table1[[#This Row],[Conversions]])</f>
        <v>4.9920930232558138</v>
      </c>
      <c r="M1764" s="8">
        <f>IF(Table1[[#This Row],[Ad Spend]]=0,0,Table1[[#This Row],[Revenue]]/Table1[[#This Row],[Ad Spend]])</f>
        <v>11.141013696077518</v>
      </c>
      <c r="N1764">
        <f>YEAR(Table1[[#This Row],[Date]])</f>
        <v>2025</v>
      </c>
      <c r="O1764" t="str">
        <f>TEXT(Table1[[#This Row],[Date]],"mmm")</f>
        <v>Feb</v>
      </c>
      <c r="P1764">
        <f>MONTH(Table1[[#This Row],[Date]])</f>
        <v>2</v>
      </c>
    </row>
    <row r="1765" spans="1:16" x14ac:dyDescent="0.25">
      <c r="A1765" t="s">
        <v>1784</v>
      </c>
      <c r="B1765" t="s">
        <v>41</v>
      </c>
      <c r="C1765" t="s">
        <v>12</v>
      </c>
      <c r="D1765" s="1">
        <v>45366</v>
      </c>
      <c r="E1765">
        <v>76501</v>
      </c>
      <c r="F1765">
        <v>5888</v>
      </c>
      <c r="G1765">
        <v>488</v>
      </c>
      <c r="H1765" s="4">
        <v>1708.01</v>
      </c>
      <c r="I1765" s="4">
        <v>52860.82</v>
      </c>
      <c r="J1765" s="7">
        <f>Table1[[#This Row],[Clicks]]/Table1[[#This Row],[Impressions]]</f>
        <v>7.6966314165827901E-2</v>
      </c>
      <c r="K1765" s="7">
        <f>IFERROR(Table1[[#This Row],[Conversions]]/Table1[[#This Row],[Clicks]],0)</f>
        <v>8.2880434782608689E-2</v>
      </c>
      <c r="L1765" s="6">
        <f>IF(Table1[[#This Row],[Conversions]]=0,0,Table1[[#This Row],[Ad Spend]]/Table1[[#This Row],[Conversions]])</f>
        <v>3.5000204918032787</v>
      </c>
      <c r="M1765" s="8">
        <f>IF(Table1[[#This Row],[Ad Spend]]=0,0,Table1[[#This Row],[Revenue]]/Table1[[#This Row],[Ad Spend]])</f>
        <v>30.948776646506754</v>
      </c>
      <c r="N1765">
        <f>YEAR(Table1[[#This Row],[Date]])</f>
        <v>2024</v>
      </c>
      <c r="O1765" t="str">
        <f>TEXT(Table1[[#This Row],[Date]],"mmm")</f>
        <v>Mar</v>
      </c>
      <c r="P1765">
        <f>MONTH(Table1[[#This Row],[Date]])</f>
        <v>3</v>
      </c>
    </row>
    <row r="1766" spans="1:16" x14ac:dyDescent="0.25">
      <c r="A1766" t="s">
        <v>1785</v>
      </c>
      <c r="B1766" t="s">
        <v>14</v>
      </c>
      <c r="C1766" t="s">
        <v>37</v>
      </c>
      <c r="D1766" s="1">
        <v>45597</v>
      </c>
      <c r="E1766">
        <v>36552</v>
      </c>
      <c r="F1766">
        <v>1121</v>
      </c>
      <c r="G1766">
        <v>31</v>
      </c>
      <c r="H1766" s="4">
        <v>4446.8999999999996</v>
      </c>
      <c r="I1766" s="4">
        <v>2242.86</v>
      </c>
      <c r="J1766" s="7">
        <f>Table1[[#This Row],[Clicks]]/Table1[[#This Row],[Impressions]]</f>
        <v>3.0668636463121034E-2</v>
      </c>
      <c r="K1766" s="7">
        <f>IFERROR(Table1[[#This Row],[Conversions]]/Table1[[#This Row],[Clicks]],0)</f>
        <v>2.7653880463871544E-2</v>
      </c>
      <c r="L1766" s="6">
        <f>IF(Table1[[#This Row],[Conversions]]=0,0,Table1[[#This Row],[Ad Spend]]/Table1[[#This Row],[Conversions]])</f>
        <v>143.44838709677418</v>
      </c>
      <c r="M1766" s="8">
        <f>IF(Table1[[#This Row],[Ad Spend]]=0,0,Table1[[#This Row],[Revenue]]/Table1[[#This Row],[Ad Spend]])</f>
        <v>0.50436483842676927</v>
      </c>
      <c r="N1766">
        <f>YEAR(Table1[[#This Row],[Date]])</f>
        <v>2024</v>
      </c>
      <c r="O1766" t="str">
        <f>TEXT(Table1[[#This Row],[Date]],"mmm")</f>
        <v>Nov</v>
      </c>
      <c r="P1766">
        <f>MONTH(Table1[[#This Row],[Date]])</f>
        <v>11</v>
      </c>
    </row>
    <row r="1767" spans="1:16" x14ac:dyDescent="0.25">
      <c r="A1767" t="s">
        <v>1786</v>
      </c>
      <c r="B1767" t="s">
        <v>34</v>
      </c>
      <c r="C1767" t="s">
        <v>37</v>
      </c>
      <c r="D1767" s="1">
        <v>45696</v>
      </c>
      <c r="E1767">
        <v>103568</v>
      </c>
      <c r="F1767">
        <v>4102</v>
      </c>
      <c r="G1767">
        <v>518</v>
      </c>
      <c r="H1767" s="4">
        <v>252.39</v>
      </c>
      <c r="I1767" s="4">
        <v>23879.17</v>
      </c>
      <c r="J1767" s="7">
        <f>Table1[[#This Row],[Clicks]]/Table1[[#This Row],[Impressions]]</f>
        <v>3.9606828363973431E-2</v>
      </c>
      <c r="K1767" s="7">
        <f>IFERROR(Table1[[#This Row],[Conversions]]/Table1[[#This Row],[Clicks]],0)</f>
        <v>0.12627986348122866</v>
      </c>
      <c r="L1767" s="6">
        <f>IF(Table1[[#This Row],[Conversions]]=0,0,Table1[[#This Row],[Ad Spend]]/Table1[[#This Row],[Conversions]])</f>
        <v>0.48723938223938223</v>
      </c>
      <c r="M1767" s="8">
        <f>IF(Table1[[#This Row],[Ad Spend]]=0,0,Table1[[#This Row],[Revenue]]/Table1[[#This Row],[Ad Spend]])</f>
        <v>94.612187487618371</v>
      </c>
      <c r="N1767">
        <f>YEAR(Table1[[#This Row],[Date]])</f>
        <v>2025</v>
      </c>
      <c r="O1767" t="str">
        <f>TEXT(Table1[[#This Row],[Date]],"mmm")</f>
        <v>Feb</v>
      </c>
      <c r="P1767">
        <f>MONTH(Table1[[#This Row],[Date]])</f>
        <v>2</v>
      </c>
    </row>
    <row r="1768" spans="1:16" x14ac:dyDescent="0.25">
      <c r="A1768" t="s">
        <v>1787</v>
      </c>
      <c r="B1768" t="s">
        <v>16</v>
      </c>
      <c r="C1768" t="s">
        <v>19</v>
      </c>
      <c r="D1768" s="1">
        <v>45304</v>
      </c>
      <c r="E1768">
        <v>12555</v>
      </c>
      <c r="F1768">
        <v>698</v>
      </c>
      <c r="G1768">
        <v>83</v>
      </c>
      <c r="H1768" s="4">
        <v>577.80999999999995</v>
      </c>
      <c r="I1768" s="4">
        <v>5519</v>
      </c>
      <c r="J1768" s="7">
        <f>Table1[[#This Row],[Clicks]]/Table1[[#This Row],[Impressions]]</f>
        <v>5.5595380326563124E-2</v>
      </c>
      <c r="K1768" s="7">
        <f>IFERROR(Table1[[#This Row],[Conversions]]/Table1[[#This Row],[Clicks]],0)</f>
        <v>0.11891117478510028</v>
      </c>
      <c r="L1768" s="6">
        <f>IF(Table1[[#This Row],[Conversions]]=0,0,Table1[[#This Row],[Ad Spend]]/Table1[[#This Row],[Conversions]])</f>
        <v>6.9615662650602399</v>
      </c>
      <c r="M1768" s="8">
        <f>IF(Table1[[#This Row],[Ad Spend]]=0,0,Table1[[#This Row],[Revenue]]/Table1[[#This Row],[Ad Spend]])</f>
        <v>9.5515827001955671</v>
      </c>
      <c r="N1768">
        <f>YEAR(Table1[[#This Row],[Date]])</f>
        <v>2024</v>
      </c>
      <c r="O1768" t="str">
        <f>TEXT(Table1[[#This Row],[Date]],"mmm")</f>
        <v>Jan</v>
      </c>
      <c r="P1768">
        <f>MONTH(Table1[[#This Row],[Date]])</f>
        <v>1</v>
      </c>
    </row>
    <row r="1769" spans="1:16" x14ac:dyDescent="0.25">
      <c r="A1769" t="s">
        <v>1788</v>
      </c>
      <c r="B1769" t="s">
        <v>16</v>
      </c>
      <c r="C1769" t="s">
        <v>17</v>
      </c>
      <c r="D1769" s="1">
        <v>45612</v>
      </c>
      <c r="E1769">
        <v>105144</v>
      </c>
      <c r="F1769">
        <v>5138</v>
      </c>
      <c r="G1769">
        <v>499</v>
      </c>
      <c r="H1769" s="4">
        <v>3840.62</v>
      </c>
      <c r="I1769" s="4">
        <v>15356.47</v>
      </c>
      <c r="J1769" s="7">
        <f>Table1[[#This Row],[Clicks]]/Table1[[#This Row],[Impressions]]</f>
        <v>4.886631667047097E-2</v>
      </c>
      <c r="K1769" s="7">
        <f>IFERROR(Table1[[#This Row],[Conversions]]/Table1[[#This Row],[Clicks]],0)</f>
        <v>9.7119501751654347E-2</v>
      </c>
      <c r="L1769" s="6">
        <f>IF(Table1[[#This Row],[Conversions]]=0,0,Table1[[#This Row],[Ad Spend]]/Table1[[#This Row],[Conversions]])</f>
        <v>7.6966332665330661</v>
      </c>
      <c r="M1769" s="8">
        <f>IF(Table1[[#This Row],[Ad Spend]]=0,0,Table1[[#This Row],[Revenue]]/Table1[[#This Row],[Ad Spend]])</f>
        <v>3.9984351484916498</v>
      </c>
      <c r="N1769">
        <f>YEAR(Table1[[#This Row],[Date]])</f>
        <v>2024</v>
      </c>
      <c r="O1769" t="str">
        <f>TEXT(Table1[[#This Row],[Date]],"mmm")</f>
        <v>Nov</v>
      </c>
      <c r="P1769">
        <f>MONTH(Table1[[#This Row],[Date]])</f>
        <v>11</v>
      </c>
    </row>
    <row r="1770" spans="1:16" x14ac:dyDescent="0.25">
      <c r="A1770" t="s">
        <v>1789</v>
      </c>
      <c r="B1770" t="s">
        <v>34</v>
      </c>
      <c r="C1770" t="s">
        <v>17</v>
      </c>
      <c r="D1770" s="1">
        <v>45433</v>
      </c>
      <c r="E1770">
        <v>56847</v>
      </c>
      <c r="F1770">
        <v>3379</v>
      </c>
      <c r="G1770">
        <v>266</v>
      </c>
      <c r="H1770" s="4">
        <v>981.93</v>
      </c>
      <c r="I1770" s="4">
        <v>8739.0499999999993</v>
      </c>
      <c r="J1770" s="7">
        <f>Table1[[#This Row],[Clicks]]/Table1[[#This Row],[Impressions]]</f>
        <v>5.9440251904234173E-2</v>
      </c>
      <c r="K1770" s="7">
        <f>IFERROR(Table1[[#This Row],[Conversions]]/Table1[[#This Row],[Clicks]],0)</f>
        <v>7.8721515241195625E-2</v>
      </c>
      <c r="L1770" s="6">
        <f>IF(Table1[[#This Row],[Conversions]]=0,0,Table1[[#This Row],[Ad Spend]]/Table1[[#This Row],[Conversions]])</f>
        <v>3.6914661654135337</v>
      </c>
      <c r="M1770" s="8">
        <f>IF(Table1[[#This Row],[Ad Spend]]=0,0,Table1[[#This Row],[Revenue]]/Table1[[#This Row],[Ad Spend]])</f>
        <v>8.8998706628782092</v>
      </c>
      <c r="N1770">
        <f>YEAR(Table1[[#This Row],[Date]])</f>
        <v>2024</v>
      </c>
      <c r="O1770" t="str">
        <f>TEXT(Table1[[#This Row],[Date]],"mmm")</f>
        <v>May</v>
      </c>
      <c r="P1770">
        <f>MONTH(Table1[[#This Row],[Date]])</f>
        <v>5</v>
      </c>
    </row>
    <row r="1771" spans="1:16" x14ac:dyDescent="0.25">
      <c r="A1771" t="s">
        <v>1790</v>
      </c>
      <c r="B1771" t="s">
        <v>31</v>
      </c>
      <c r="C1771" t="s">
        <v>10</v>
      </c>
      <c r="D1771" s="1">
        <v>45318</v>
      </c>
      <c r="E1771">
        <v>90599</v>
      </c>
      <c r="F1771">
        <v>4410</v>
      </c>
      <c r="G1771">
        <v>299</v>
      </c>
      <c r="H1771" s="4">
        <v>1713.29</v>
      </c>
      <c r="I1771" s="4">
        <v>27522.99</v>
      </c>
      <c r="J1771" s="7">
        <f>Table1[[#This Row],[Clicks]]/Table1[[#This Row],[Impressions]]</f>
        <v>4.8676033951809625E-2</v>
      </c>
      <c r="K1771" s="7">
        <f>IFERROR(Table1[[#This Row],[Conversions]]/Table1[[#This Row],[Clicks]],0)</f>
        <v>6.7800453514739234E-2</v>
      </c>
      <c r="L1771" s="6">
        <f>IF(Table1[[#This Row],[Conversions]]=0,0,Table1[[#This Row],[Ad Spend]]/Table1[[#This Row],[Conversions]])</f>
        <v>5.7300668896321065</v>
      </c>
      <c r="M1771" s="8">
        <f>IF(Table1[[#This Row],[Ad Spend]]=0,0,Table1[[#This Row],[Revenue]]/Table1[[#This Row],[Ad Spend]])</f>
        <v>16.064408243788268</v>
      </c>
      <c r="N1771">
        <f>YEAR(Table1[[#This Row],[Date]])</f>
        <v>2024</v>
      </c>
      <c r="O1771" t="str">
        <f>TEXT(Table1[[#This Row],[Date]],"mmm")</f>
        <v>Jan</v>
      </c>
      <c r="P1771">
        <f>MONTH(Table1[[#This Row],[Date]])</f>
        <v>1</v>
      </c>
    </row>
    <row r="1772" spans="1:16" x14ac:dyDescent="0.25">
      <c r="A1772" t="s">
        <v>1791</v>
      </c>
      <c r="B1772" t="s">
        <v>31</v>
      </c>
      <c r="C1772" t="s">
        <v>17</v>
      </c>
      <c r="D1772" s="1">
        <v>45622</v>
      </c>
      <c r="E1772">
        <v>89904</v>
      </c>
      <c r="F1772">
        <v>3388</v>
      </c>
      <c r="G1772">
        <v>211</v>
      </c>
      <c r="H1772" s="4">
        <v>4213.1499999999996</v>
      </c>
      <c r="I1772" s="4">
        <v>4948.67</v>
      </c>
      <c r="J1772" s="7">
        <f>Table1[[#This Row],[Clicks]]/Table1[[#This Row],[Impressions]]</f>
        <v>3.7684641395266061E-2</v>
      </c>
      <c r="K1772" s="7">
        <f>IFERROR(Table1[[#This Row],[Conversions]]/Table1[[#This Row],[Clicks]],0)</f>
        <v>6.2278630460448639E-2</v>
      </c>
      <c r="L1772" s="6">
        <f>IF(Table1[[#This Row],[Conversions]]=0,0,Table1[[#This Row],[Ad Spend]]/Table1[[#This Row],[Conversions]])</f>
        <v>19.967535545023694</v>
      </c>
      <c r="M1772" s="8">
        <f>IF(Table1[[#This Row],[Ad Spend]]=0,0,Table1[[#This Row],[Revenue]]/Table1[[#This Row],[Ad Spend]])</f>
        <v>1.1745772165719237</v>
      </c>
      <c r="N1772">
        <f>YEAR(Table1[[#This Row],[Date]])</f>
        <v>2024</v>
      </c>
      <c r="O1772" t="str">
        <f>TEXT(Table1[[#This Row],[Date]],"mmm")</f>
        <v>Nov</v>
      </c>
      <c r="P1772">
        <f>MONTH(Table1[[#This Row],[Date]])</f>
        <v>11</v>
      </c>
    </row>
    <row r="1773" spans="1:16" x14ac:dyDescent="0.25">
      <c r="A1773" t="s">
        <v>1792</v>
      </c>
      <c r="B1773" t="s">
        <v>34</v>
      </c>
      <c r="C1773" t="s">
        <v>19</v>
      </c>
      <c r="D1773" s="1">
        <v>45581</v>
      </c>
      <c r="E1773">
        <v>15323</v>
      </c>
      <c r="F1773">
        <v>1100</v>
      </c>
      <c r="G1773">
        <v>29</v>
      </c>
      <c r="H1773" s="4">
        <v>3642.9</v>
      </c>
      <c r="I1773" s="4">
        <v>962.41</v>
      </c>
      <c r="J1773" s="7">
        <f>Table1[[#This Row],[Clicks]]/Table1[[#This Row],[Impressions]]</f>
        <v>7.1787508973438621E-2</v>
      </c>
      <c r="K1773" s="7">
        <f>IFERROR(Table1[[#This Row],[Conversions]]/Table1[[#This Row],[Clicks]],0)</f>
        <v>2.6363636363636363E-2</v>
      </c>
      <c r="L1773" s="6">
        <f>IF(Table1[[#This Row],[Conversions]]=0,0,Table1[[#This Row],[Ad Spend]]/Table1[[#This Row],[Conversions]])</f>
        <v>125.61724137931034</v>
      </c>
      <c r="M1773" s="8">
        <f>IF(Table1[[#This Row],[Ad Spend]]=0,0,Table1[[#This Row],[Revenue]]/Table1[[#This Row],[Ad Spend]])</f>
        <v>0.26418787229954155</v>
      </c>
      <c r="N1773">
        <f>YEAR(Table1[[#This Row],[Date]])</f>
        <v>2024</v>
      </c>
      <c r="O1773" t="str">
        <f>TEXT(Table1[[#This Row],[Date]],"mmm")</f>
        <v>Oct</v>
      </c>
      <c r="P1773">
        <f>MONTH(Table1[[#This Row],[Date]])</f>
        <v>10</v>
      </c>
    </row>
    <row r="1774" spans="1:16" x14ac:dyDescent="0.25">
      <c r="A1774" t="s">
        <v>1793</v>
      </c>
      <c r="B1774" t="s">
        <v>9</v>
      </c>
      <c r="C1774" t="s">
        <v>10</v>
      </c>
      <c r="D1774" s="1">
        <v>45363</v>
      </c>
      <c r="E1774">
        <v>44733</v>
      </c>
      <c r="F1774">
        <v>767</v>
      </c>
      <c r="G1774">
        <v>31</v>
      </c>
      <c r="H1774" s="4">
        <v>3626.5</v>
      </c>
      <c r="I1774" s="4">
        <v>904.76</v>
      </c>
      <c r="J1774" s="7">
        <f>Table1[[#This Row],[Clicks]]/Table1[[#This Row],[Impressions]]</f>
        <v>1.7146178436501017E-2</v>
      </c>
      <c r="K1774" s="7">
        <f>IFERROR(Table1[[#This Row],[Conversions]]/Table1[[#This Row],[Clicks]],0)</f>
        <v>4.0417209908735333E-2</v>
      </c>
      <c r="L1774" s="6">
        <f>IF(Table1[[#This Row],[Conversions]]=0,0,Table1[[#This Row],[Ad Spend]]/Table1[[#This Row],[Conversions]])</f>
        <v>116.98387096774194</v>
      </c>
      <c r="M1774" s="8">
        <f>IF(Table1[[#This Row],[Ad Spend]]=0,0,Table1[[#This Row],[Revenue]]/Table1[[#This Row],[Ad Spend]])</f>
        <v>0.24948573004274094</v>
      </c>
      <c r="N1774">
        <f>YEAR(Table1[[#This Row],[Date]])</f>
        <v>2024</v>
      </c>
      <c r="O1774" t="str">
        <f>TEXT(Table1[[#This Row],[Date]],"mmm")</f>
        <v>Mar</v>
      </c>
      <c r="P1774">
        <f>MONTH(Table1[[#This Row],[Date]])</f>
        <v>3</v>
      </c>
    </row>
    <row r="1775" spans="1:16" x14ac:dyDescent="0.25">
      <c r="A1775" t="s">
        <v>1794</v>
      </c>
      <c r="B1775" t="s">
        <v>47</v>
      </c>
      <c r="C1775" t="s">
        <v>19</v>
      </c>
      <c r="D1775" s="1">
        <v>45465</v>
      </c>
      <c r="E1775">
        <v>26275</v>
      </c>
      <c r="F1775">
        <v>1021</v>
      </c>
      <c r="G1775">
        <v>120</v>
      </c>
      <c r="H1775" s="4">
        <v>2563.79</v>
      </c>
      <c r="I1775" s="4">
        <v>8941.34</v>
      </c>
      <c r="J1775" s="7">
        <f>Table1[[#This Row],[Clicks]]/Table1[[#This Row],[Impressions]]</f>
        <v>3.8858230256898191E-2</v>
      </c>
      <c r="K1775" s="7">
        <f>IFERROR(Table1[[#This Row],[Conversions]]/Table1[[#This Row],[Clicks]],0)</f>
        <v>0.11753183153770813</v>
      </c>
      <c r="L1775" s="6">
        <f>IF(Table1[[#This Row],[Conversions]]=0,0,Table1[[#This Row],[Ad Spend]]/Table1[[#This Row],[Conversions]])</f>
        <v>21.364916666666666</v>
      </c>
      <c r="M1775" s="8">
        <f>IF(Table1[[#This Row],[Ad Spend]]=0,0,Table1[[#This Row],[Revenue]]/Table1[[#This Row],[Ad Spend]])</f>
        <v>3.4875477320685393</v>
      </c>
      <c r="N1775">
        <f>YEAR(Table1[[#This Row],[Date]])</f>
        <v>2024</v>
      </c>
      <c r="O1775" t="str">
        <f>TEXT(Table1[[#This Row],[Date]],"mmm")</f>
        <v>Jun</v>
      </c>
      <c r="P1775">
        <f>MONTH(Table1[[#This Row],[Date]])</f>
        <v>6</v>
      </c>
    </row>
    <row r="1776" spans="1:16" x14ac:dyDescent="0.25">
      <c r="A1776" t="s">
        <v>1795</v>
      </c>
      <c r="B1776" t="s">
        <v>21</v>
      </c>
      <c r="C1776" t="s">
        <v>17</v>
      </c>
      <c r="D1776" s="1">
        <v>45647</v>
      </c>
      <c r="E1776">
        <v>45628</v>
      </c>
      <c r="F1776">
        <v>2206</v>
      </c>
      <c r="G1776">
        <v>69</v>
      </c>
      <c r="H1776" s="4">
        <v>1194.82</v>
      </c>
      <c r="I1776" s="4">
        <v>2477.52</v>
      </c>
      <c r="J1776" s="7">
        <f>Table1[[#This Row],[Clicks]]/Table1[[#This Row],[Impressions]]</f>
        <v>4.8347505917419126E-2</v>
      </c>
      <c r="K1776" s="7">
        <f>IFERROR(Table1[[#This Row],[Conversions]]/Table1[[#This Row],[Clicks]],0)</f>
        <v>3.1278331822302809E-2</v>
      </c>
      <c r="L1776" s="6">
        <f>IF(Table1[[#This Row],[Conversions]]=0,0,Table1[[#This Row],[Ad Spend]]/Table1[[#This Row],[Conversions]])</f>
        <v>17.31623188405797</v>
      </c>
      <c r="M1776" s="8">
        <f>IF(Table1[[#This Row],[Ad Spend]]=0,0,Table1[[#This Row],[Revenue]]/Table1[[#This Row],[Ad Spend]])</f>
        <v>2.0735508277397434</v>
      </c>
      <c r="N1776">
        <f>YEAR(Table1[[#This Row],[Date]])</f>
        <v>2024</v>
      </c>
      <c r="O1776" t="str">
        <f>TEXT(Table1[[#This Row],[Date]],"mmm")</f>
        <v>Dec</v>
      </c>
      <c r="P1776">
        <f>MONTH(Table1[[#This Row],[Date]])</f>
        <v>12</v>
      </c>
    </row>
    <row r="1777" spans="1:16" x14ac:dyDescent="0.25">
      <c r="A1777" t="s">
        <v>1796</v>
      </c>
      <c r="B1777" t="s">
        <v>34</v>
      </c>
      <c r="C1777" t="s">
        <v>37</v>
      </c>
      <c r="D1777" s="1">
        <v>45414</v>
      </c>
      <c r="E1777">
        <v>19814</v>
      </c>
      <c r="F1777">
        <v>1092</v>
      </c>
      <c r="G1777">
        <v>101</v>
      </c>
      <c r="H1777" s="4">
        <v>451.92</v>
      </c>
      <c r="I1777" s="4">
        <v>10533.22</v>
      </c>
      <c r="J1777" s="7">
        <f>Table1[[#This Row],[Clicks]]/Table1[[#This Row],[Impressions]]</f>
        <v>5.5112546684162711E-2</v>
      </c>
      <c r="K1777" s="7">
        <f>IFERROR(Table1[[#This Row],[Conversions]]/Table1[[#This Row],[Clicks]],0)</f>
        <v>9.2490842490842495E-2</v>
      </c>
      <c r="L1777" s="6">
        <f>IF(Table1[[#This Row],[Conversions]]=0,0,Table1[[#This Row],[Ad Spend]]/Table1[[#This Row],[Conversions]])</f>
        <v>4.4744554455445549</v>
      </c>
      <c r="M1777" s="8">
        <f>IF(Table1[[#This Row],[Ad Spend]]=0,0,Table1[[#This Row],[Revenue]]/Table1[[#This Row],[Ad Spend]])</f>
        <v>23.307709329084791</v>
      </c>
      <c r="N1777">
        <f>YEAR(Table1[[#This Row],[Date]])</f>
        <v>2024</v>
      </c>
      <c r="O1777" t="str">
        <f>TEXT(Table1[[#This Row],[Date]],"mmm")</f>
        <v>May</v>
      </c>
      <c r="P1777">
        <f>MONTH(Table1[[#This Row],[Date]])</f>
        <v>5</v>
      </c>
    </row>
    <row r="1778" spans="1:16" x14ac:dyDescent="0.25">
      <c r="A1778" t="s">
        <v>1797</v>
      </c>
      <c r="B1778" t="s">
        <v>14</v>
      </c>
      <c r="C1778" t="s">
        <v>17</v>
      </c>
      <c r="D1778" s="1">
        <v>45313</v>
      </c>
      <c r="E1778">
        <v>16056</v>
      </c>
      <c r="F1778">
        <v>406</v>
      </c>
      <c r="G1778">
        <v>20</v>
      </c>
      <c r="H1778" s="4">
        <v>932.63</v>
      </c>
      <c r="I1778" s="4">
        <v>2140.9699999999998</v>
      </c>
      <c r="J1778" s="7">
        <f>Table1[[#This Row],[Clicks]]/Table1[[#This Row],[Impressions]]</f>
        <v>2.528649725959143E-2</v>
      </c>
      <c r="K1778" s="7">
        <f>IFERROR(Table1[[#This Row],[Conversions]]/Table1[[#This Row],[Clicks]],0)</f>
        <v>4.9261083743842367E-2</v>
      </c>
      <c r="L1778" s="6">
        <f>IF(Table1[[#This Row],[Conversions]]=0,0,Table1[[#This Row],[Ad Spend]]/Table1[[#This Row],[Conversions]])</f>
        <v>46.631500000000003</v>
      </c>
      <c r="M1778" s="8">
        <f>IF(Table1[[#This Row],[Ad Spend]]=0,0,Table1[[#This Row],[Revenue]]/Table1[[#This Row],[Ad Spend]])</f>
        <v>2.2956263469972011</v>
      </c>
      <c r="N1778">
        <f>YEAR(Table1[[#This Row],[Date]])</f>
        <v>2024</v>
      </c>
      <c r="O1778" t="str">
        <f>TEXT(Table1[[#This Row],[Date]],"mmm")</f>
        <v>Jan</v>
      </c>
      <c r="P1778">
        <f>MONTH(Table1[[#This Row],[Date]])</f>
        <v>1</v>
      </c>
    </row>
    <row r="1779" spans="1:16" x14ac:dyDescent="0.25">
      <c r="A1779" t="s">
        <v>1798</v>
      </c>
      <c r="B1779" t="s">
        <v>47</v>
      </c>
      <c r="C1779" t="s">
        <v>19</v>
      </c>
      <c r="D1779" s="1">
        <v>45490</v>
      </c>
      <c r="E1779">
        <v>108758</v>
      </c>
      <c r="F1779">
        <v>1234</v>
      </c>
      <c r="G1779">
        <v>147</v>
      </c>
      <c r="H1779" s="4">
        <v>2562.69</v>
      </c>
      <c r="I1779" s="4">
        <v>12783.74</v>
      </c>
      <c r="J1779" s="7">
        <f>Table1[[#This Row],[Clicks]]/Table1[[#This Row],[Impressions]]</f>
        <v>1.1346291767042424E-2</v>
      </c>
      <c r="K1779" s="7">
        <f>IFERROR(Table1[[#This Row],[Conversions]]/Table1[[#This Row],[Clicks]],0)</f>
        <v>0.11912479740680713</v>
      </c>
      <c r="L1779" s="6">
        <f>IF(Table1[[#This Row],[Conversions]]=0,0,Table1[[#This Row],[Ad Spend]]/Table1[[#This Row],[Conversions]])</f>
        <v>17.433265306122451</v>
      </c>
      <c r="M1779" s="8">
        <f>IF(Table1[[#This Row],[Ad Spend]]=0,0,Table1[[#This Row],[Revenue]]/Table1[[#This Row],[Ad Spend]])</f>
        <v>4.9884067132583336</v>
      </c>
      <c r="N1779">
        <f>YEAR(Table1[[#This Row],[Date]])</f>
        <v>2024</v>
      </c>
      <c r="O1779" t="str">
        <f>TEXT(Table1[[#This Row],[Date]],"mmm")</f>
        <v>Jul</v>
      </c>
      <c r="P1779">
        <f>MONTH(Table1[[#This Row],[Date]])</f>
        <v>7</v>
      </c>
    </row>
    <row r="1780" spans="1:16" x14ac:dyDescent="0.25">
      <c r="A1780" t="s">
        <v>1799</v>
      </c>
      <c r="B1780" t="s">
        <v>21</v>
      </c>
      <c r="C1780" t="s">
        <v>12</v>
      </c>
      <c r="D1780" s="1">
        <v>45326</v>
      </c>
      <c r="E1780">
        <v>15519</v>
      </c>
      <c r="F1780">
        <v>372</v>
      </c>
      <c r="G1780">
        <v>9</v>
      </c>
      <c r="H1780" s="4">
        <v>1301.6300000000001</v>
      </c>
      <c r="I1780" s="4">
        <v>622.32000000000005</v>
      </c>
      <c r="J1780" s="7">
        <f>Table1[[#This Row],[Clicks]]/Table1[[#This Row],[Impressions]]</f>
        <v>2.397061666344481E-2</v>
      </c>
      <c r="K1780" s="7">
        <f>IFERROR(Table1[[#This Row],[Conversions]]/Table1[[#This Row],[Clicks]],0)</f>
        <v>2.4193548387096774E-2</v>
      </c>
      <c r="L1780" s="6">
        <f>IF(Table1[[#This Row],[Conversions]]=0,0,Table1[[#This Row],[Ad Spend]]/Table1[[#This Row],[Conversions]])</f>
        <v>144.62555555555556</v>
      </c>
      <c r="M1780" s="8">
        <f>IF(Table1[[#This Row],[Ad Spend]]=0,0,Table1[[#This Row],[Revenue]]/Table1[[#This Row],[Ad Spend]])</f>
        <v>0.47810821815723364</v>
      </c>
      <c r="N1780">
        <f>YEAR(Table1[[#This Row],[Date]])</f>
        <v>2024</v>
      </c>
      <c r="O1780" t="str">
        <f>TEXT(Table1[[#This Row],[Date]],"mmm")</f>
        <v>Feb</v>
      </c>
      <c r="P1780">
        <f>MONTH(Table1[[#This Row],[Date]])</f>
        <v>2</v>
      </c>
    </row>
    <row r="1781" spans="1:16" x14ac:dyDescent="0.25">
      <c r="A1781" t="s">
        <v>1800</v>
      </c>
      <c r="B1781" t="s">
        <v>47</v>
      </c>
      <c r="C1781" t="s">
        <v>10</v>
      </c>
      <c r="D1781" s="1">
        <v>45589</v>
      </c>
      <c r="E1781">
        <v>101499</v>
      </c>
      <c r="F1781">
        <v>4632</v>
      </c>
      <c r="G1781">
        <v>591</v>
      </c>
      <c r="H1781" s="4">
        <v>2106.4699999999998</v>
      </c>
      <c r="I1781" s="4">
        <v>20818.32</v>
      </c>
      <c r="J1781" s="7">
        <f>Table1[[#This Row],[Clicks]]/Table1[[#This Row],[Impressions]]</f>
        <v>4.5635917595247245E-2</v>
      </c>
      <c r="K1781" s="7">
        <f>IFERROR(Table1[[#This Row],[Conversions]]/Table1[[#This Row],[Clicks]],0)</f>
        <v>0.12759067357512954</v>
      </c>
      <c r="L1781" s="6">
        <f>IF(Table1[[#This Row],[Conversions]]=0,0,Table1[[#This Row],[Ad Spend]]/Table1[[#This Row],[Conversions]])</f>
        <v>3.5642470389170895</v>
      </c>
      <c r="M1781" s="8">
        <f>IF(Table1[[#This Row],[Ad Spend]]=0,0,Table1[[#This Row],[Revenue]]/Table1[[#This Row],[Ad Spend]])</f>
        <v>9.8830365492981151</v>
      </c>
      <c r="N1781">
        <f>YEAR(Table1[[#This Row],[Date]])</f>
        <v>2024</v>
      </c>
      <c r="O1781" t="str">
        <f>TEXT(Table1[[#This Row],[Date]],"mmm")</f>
        <v>Oct</v>
      </c>
      <c r="P1781">
        <f>MONTH(Table1[[#This Row],[Date]])</f>
        <v>10</v>
      </c>
    </row>
    <row r="1782" spans="1:16" x14ac:dyDescent="0.25">
      <c r="A1782" t="s">
        <v>1801</v>
      </c>
      <c r="B1782" t="s">
        <v>31</v>
      </c>
      <c r="C1782" t="s">
        <v>12</v>
      </c>
      <c r="D1782" s="1">
        <v>45436</v>
      </c>
      <c r="E1782">
        <v>74637</v>
      </c>
      <c r="F1782">
        <v>3652</v>
      </c>
      <c r="G1782">
        <v>315</v>
      </c>
      <c r="H1782" s="4">
        <v>967.34</v>
      </c>
      <c r="I1782" s="4">
        <v>12649.96</v>
      </c>
      <c r="J1782" s="7">
        <f>Table1[[#This Row],[Clicks]]/Table1[[#This Row],[Impressions]]</f>
        <v>4.8930155284912312E-2</v>
      </c>
      <c r="K1782" s="7">
        <f>IFERROR(Table1[[#This Row],[Conversions]]/Table1[[#This Row],[Clicks]],0)</f>
        <v>8.6254107338444685E-2</v>
      </c>
      <c r="L1782" s="6">
        <f>IF(Table1[[#This Row],[Conversions]]=0,0,Table1[[#This Row],[Ad Spend]]/Table1[[#This Row],[Conversions]])</f>
        <v>3.0709206349206348</v>
      </c>
      <c r="M1782" s="8">
        <f>IF(Table1[[#This Row],[Ad Spend]]=0,0,Table1[[#This Row],[Revenue]]/Table1[[#This Row],[Ad Spend]])</f>
        <v>13.077056670870634</v>
      </c>
      <c r="N1782">
        <f>YEAR(Table1[[#This Row],[Date]])</f>
        <v>2024</v>
      </c>
      <c r="O1782" t="str">
        <f>TEXT(Table1[[#This Row],[Date]],"mmm")</f>
        <v>May</v>
      </c>
      <c r="P1782">
        <f>MONTH(Table1[[#This Row],[Date]])</f>
        <v>5</v>
      </c>
    </row>
    <row r="1783" spans="1:16" x14ac:dyDescent="0.25">
      <c r="A1783" t="s">
        <v>1802</v>
      </c>
      <c r="B1783" t="s">
        <v>34</v>
      </c>
      <c r="C1783" t="s">
        <v>19</v>
      </c>
      <c r="D1783" s="1">
        <v>45392</v>
      </c>
      <c r="E1783">
        <v>90736</v>
      </c>
      <c r="F1783">
        <v>6610</v>
      </c>
      <c r="G1783">
        <v>469</v>
      </c>
      <c r="H1783" s="4">
        <v>3322.22</v>
      </c>
      <c r="I1783" s="4">
        <v>30562.37</v>
      </c>
      <c r="J1783" s="7">
        <f>Table1[[#This Row],[Clicks]]/Table1[[#This Row],[Impressions]]</f>
        <v>7.2848703932287068E-2</v>
      </c>
      <c r="K1783" s="7">
        <f>IFERROR(Table1[[#This Row],[Conversions]]/Table1[[#This Row],[Clicks]],0)</f>
        <v>7.0953101361573373E-2</v>
      </c>
      <c r="L1783" s="6">
        <f>IF(Table1[[#This Row],[Conversions]]=0,0,Table1[[#This Row],[Ad Spend]]/Table1[[#This Row],[Conversions]])</f>
        <v>7.0836247334754789</v>
      </c>
      <c r="M1783" s="8">
        <f>IF(Table1[[#This Row],[Ad Spend]]=0,0,Table1[[#This Row],[Revenue]]/Table1[[#This Row],[Ad Spend]])</f>
        <v>9.1993817387168821</v>
      </c>
      <c r="N1783">
        <f>YEAR(Table1[[#This Row],[Date]])</f>
        <v>2024</v>
      </c>
      <c r="O1783" t="str">
        <f>TEXT(Table1[[#This Row],[Date]],"mmm")</f>
        <v>Apr</v>
      </c>
      <c r="P1783">
        <f>MONTH(Table1[[#This Row],[Date]])</f>
        <v>4</v>
      </c>
    </row>
    <row r="1784" spans="1:16" x14ac:dyDescent="0.25">
      <c r="A1784" t="s">
        <v>1803</v>
      </c>
      <c r="B1784" t="s">
        <v>41</v>
      </c>
      <c r="C1784" t="s">
        <v>12</v>
      </c>
      <c r="D1784" s="1">
        <v>45625</v>
      </c>
      <c r="E1784">
        <v>139166</v>
      </c>
      <c r="F1784">
        <v>8892</v>
      </c>
      <c r="G1784">
        <v>414</v>
      </c>
      <c r="H1784" s="4">
        <v>740.93</v>
      </c>
      <c r="I1784" s="4">
        <v>24320.52</v>
      </c>
      <c r="J1784" s="7">
        <f>Table1[[#This Row],[Clicks]]/Table1[[#This Row],[Impressions]]</f>
        <v>6.3894916861877177E-2</v>
      </c>
      <c r="K1784" s="7">
        <f>IFERROR(Table1[[#This Row],[Conversions]]/Table1[[#This Row],[Clicks]],0)</f>
        <v>4.6558704453441298E-2</v>
      </c>
      <c r="L1784" s="6">
        <f>IF(Table1[[#This Row],[Conversions]]=0,0,Table1[[#This Row],[Ad Spend]]/Table1[[#This Row],[Conversions]])</f>
        <v>1.7896859903381641</v>
      </c>
      <c r="M1784" s="8">
        <f>IF(Table1[[#This Row],[Ad Spend]]=0,0,Table1[[#This Row],[Revenue]]/Table1[[#This Row],[Ad Spend]])</f>
        <v>32.824315387418515</v>
      </c>
      <c r="N1784">
        <f>YEAR(Table1[[#This Row],[Date]])</f>
        <v>2024</v>
      </c>
      <c r="O1784" t="str">
        <f>TEXT(Table1[[#This Row],[Date]],"mmm")</f>
        <v>Nov</v>
      </c>
      <c r="P1784">
        <f>MONTH(Table1[[#This Row],[Date]])</f>
        <v>11</v>
      </c>
    </row>
    <row r="1785" spans="1:16" x14ac:dyDescent="0.25">
      <c r="A1785" t="s">
        <v>1804</v>
      </c>
      <c r="B1785" t="s">
        <v>9</v>
      </c>
      <c r="C1785" t="s">
        <v>37</v>
      </c>
      <c r="D1785" s="1">
        <v>45394</v>
      </c>
      <c r="E1785">
        <v>83278</v>
      </c>
      <c r="F1785">
        <v>5688</v>
      </c>
      <c r="G1785">
        <v>612</v>
      </c>
      <c r="H1785" s="4">
        <v>4455.93</v>
      </c>
      <c r="I1785" s="4">
        <v>62293.05</v>
      </c>
      <c r="J1785" s="7">
        <f>Table1[[#This Row],[Clicks]]/Table1[[#This Row],[Impressions]]</f>
        <v>6.8301352097792936E-2</v>
      </c>
      <c r="K1785" s="7">
        <f>IFERROR(Table1[[#This Row],[Conversions]]/Table1[[#This Row],[Clicks]],0)</f>
        <v>0.10759493670886076</v>
      </c>
      <c r="L1785" s="6">
        <f>IF(Table1[[#This Row],[Conversions]]=0,0,Table1[[#This Row],[Ad Spend]]/Table1[[#This Row],[Conversions]])</f>
        <v>7.2809313725490199</v>
      </c>
      <c r="M1785" s="8">
        <f>IF(Table1[[#This Row],[Ad Spend]]=0,0,Table1[[#This Row],[Revenue]]/Table1[[#This Row],[Ad Spend]])</f>
        <v>13.97980892877581</v>
      </c>
      <c r="N1785">
        <f>YEAR(Table1[[#This Row],[Date]])</f>
        <v>2024</v>
      </c>
      <c r="O1785" t="str">
        <f>TEXT(Table1[[#This Row],[Date]],"mmm")</f>
        <v>Apr</v>
      </c>
      <c r="P1785">
        <f>MONTH(Table1[[#This Row],[Date]])</f>
        <v>4</v>
      </c>
    </row>
    <row r="1786" spans="1:16" x14ac:dyDescent="0.25">
      <c r="A1786" t="s">
        <v>1805</v>
      </c>
      <c r="B1786" t="s">
        <v>47</v>
      </c>
      <c r="C1786" t="s">
        <v>17</v>
      </c>
      <c r="D1786" s="1">
        <v>45319</v>
      </c>
      <c r="E1786">
        <v>65243</v>
      </c>
      <c r="F1786">
        <v>3241</v>
      </c>
      <c r="G1786">
        <v>437</v>
      </c>
      <c r="H1786" s="4">
        <v>1411.2</v>
      </c>
      <c r="I1786" s="4">
        <v>31075.040000000001</v>
      </c>
      <c r="J1786" s="7">
        <f>Table1[[#This Row],[Clicks]]/Table1[[#This Row],[Impressions]]</f>
        <v>4.9675827291816743E-2</v>
      </c>
      <c r="K1786" s="7">
        <f>IFERROR(Table1[[#This Row],[Conversions]]/Table1[[#This Row],[Clicks]],0)</f>
        <v>0.13483492749151496</v>
      </c>
      <c r="L1786" s="6">
        <f>IF(Table1[[#This Row],[Conversions]]=0,0,Table1[[#This Row],[Ad Spend]]/Table1[[#This Row],[Conversions]])</f>
        <v>3.2292906178489704</v>
      </c>
      <c r="M1786" s="8">
        <f>IF(Table1[[#This Row],[Ad Spend]]=0,0,Table1[[#This Row],[Revenue]]/Table1[[#This Row],[Ad Spend]])</f>
        <v>22.0202947845805</v>
      </c>
      <c r="N1786">
        <f>YEAR(Table1[[#This Row],[Date]])</f>
        <v>2024</v>
      </c>
      <c r="O1786" t="str">
        <f>TEXT(Table1[[#This Row],[Date]],"mmm")</f>
        <v>Jan</v>
      </c>
      <c r="P1786">
        <f>MONTH(Table1[[#This Row],[Date]])</f>
        <v>1</v>
      </c>
    </row>
    <row r="1787" spans="1:16" x14ac:dyDescent="0.25">
      <c r="A1787" t="s">
        <v>1806</v>
      </c>
      <c r="B1787" t="s">
        <v>34</v>
      </c>
      <c r="C1787" t="s">
        <v>10</v>
      </c>
      <c r="D1787" s="1">
        <v>45402</v>
      </c>
      <c r="E1787">
        <v>52426</v>
      </c>
      <c r="F1787">
        <v>3681</v>
      </c>
      <c r="G1787">
        <v>172</v>
      </c>
      <c r="H1787" s="4">
        <v>4744.62</v>
      </c>
      <c r="I1787" s="4">
        <v>10123.43</v>
      </c>
      <c r="J1787" s="7">
        <f>Table1[[#This Row],[Clicks]]/Table1[[#This Row],[Impressions]]</f>
        <v>7.0213252966085535E-2</v>
      </c>
      <c r="K1787" s="7">
        <f>IFERROR(Table1[[#This Row],[Conversions]]/Table1[[#This Row],[Clicks]],0)</f>
        <v>4.6726433034501497E-2</v>
      </c>
      <c r="L1787" s="6">
        <f>IF(Table1[[#This Row],[Conversions]]=0,0,Table1[[#This Row],[Ad Spend]]/Table1[[#This Row],[Conversions]])</f>
        <v>27.585000000000001</v>
      </c>
      <c r="M1787" s="8">
        <f>IF(Table1[[#This Row],[Ad Spend]]=0,0,Table1[[#This Row],[Revenue]]/Table1[[#This Row],[Ad Spend]])</f>
        <v>2.1336650774983035</v>
      </c>
      <c r="N1787">
        <f>YEAR(Table1[[#This Row],[Date]])</f>
        <v>2024</v>
      </c>
      <c r="O1787" t="str">
        <f>TEXT(Table1[[#This Row],[Date]],"mmm")</f>
        <v>Apr</v>
      </c>
      <c r="P1787">
        <f>MONTH(Table1[[#This Row],[Date]])</f>
        <v>4</v>
      </c>
    </row>
    <row r="1788" spans="1:16" x14ac:dyDescent="0.25">
      <c r="A1788" t="s">
        <v>1807</v>
      </c>
      <c r="B1788" t="s">
        <v>47</v>
      </c>
      <c r="C1788" t="s">
        <v>17</v>
      </c>
      <c r="D1788" s="1">
        <v>45492</v>
      </c>
      <c r="E1788">
        <v>48321</v>
      </c>
      <c r="F1788">
        <v>3597</v>
      </c>
      <c r="G1788">
        <v>296</v>
      </c>
      <c r="H1788" s="4">
        <v>3064.35</v>
      </c>
      <c r="I1788" s="4">
        <v>29452.09</v>
      </c>
      <c r="J1788" s="7">
        <f>Table1[[#This Row],[Clicks]]/Table1[[#This Row],[Impressions]]</f>
        <v>7.4439684609176132E-2</v>
      </c>
      <c r="K1788" s="7">
        <f>IFERROR(Table1[[#This Row],[Conversions]]/Table1[[#This Row],[Clicks]],0)</f>
        <v>8.2290797887128161E-2</v>
      </c>
      <c r="L1788" s="6">
        <f>IF(Table1[[#This Row],[Conversions]]=0,0,Table1[[#This Row],[Ad Spend]]/Table1[[#This Row],[Conversions]])</f>
        <v>10.352533783783784</v>
      </c>
      <c r="M1788" s="8">
        <f>IF(Table1[[#This Row],[Ad Spend]]=0,0,Table1[[#This Row],[Revenue]]/Table1[[#This Row],[Ad Spend]])</f>
        <v>9.6112030283746961</v>
      </c>
      <c r="N1788">
        <f>YEAR(Table1[[#This Row],[Date]])</f>
        <v>2024</v>
      </c>
      <c r="O1788" t="str">
        <f>TEXT(Table1[[#This Row],[Date]],"mmm")</f>
        <v>Jul</v>
      </c>
      <c r="P1788">
        <f>MONTH(Table1[[#This Row],[Date]])</f>
        <v>7</v>
      </c>
    </row>
    <row r="1789" spans="1:16" x14ac:dyDescent="0.25">
      <c r="A1789" t="s">
        <v>1808</v>
      </c>
      <c r="B1789" t="s">
        <v>14</v>
      </c>
      <c r="C1789" t="s">
        <v>10</v>
      </c>
      <c r="D1789" s="1">
        <v>45607</v>
      </c>
      <c r="E1789">
        <v>33117</v>
      </c>
      <c r="F1789">
        <v>2381</v>
      </c>
      <c r="G1789">
        <v>311</v>
      </c>
      <c r="H1789" s="4">
        <v>3172.53</v>
      </c>
      <c r="I1789" s="4">
        <v>32877.86</v>
      </c>
      <c r="J1789" s="7">
        <f>Table1[[#This Row],[Clicks]]/Table1[[#This Row],[Impressions]]</f>
        <v>7.1896608992360417E-2</v>
      </c>
      <c r="K1789" s="7">
        <f>IFERROR(Table1[[#This Row],[Conversions]]/Table1[[#This Row],[Clicks]],0)</f>
        <v>0.13061738765224695</v>
      </c>
      <c r="L1789" s="6">
        <f>IF(Table1[[#This Row],[Conversions]]=0,0,Table1[[#This Row],[Ad Spend]]/Table1[[#This Row],[Conversions]])</f>
        <v>10.201061093247588</v>
      </c>
      <c r="M1789" s="8">
        <f>IF(Table1[[#This Row],[Ad Spend]]=0,0,Table1[[#This Row],[Revenue]]/Table1[[#This Row],[Ad Spend]])</f>
        <v>10.363293648917425</v>
      </c>
      <c r="N1789">
        <f>YEAR(Table1[[#This Row],[Date]])</f>
        <v>2024</v>
      </c>
      <c r="O1789" t="str">
        <f>TEXT(Table1[[#This Row],[Date]],"mmm")</f>
        <v>Nov</v>
      </c>
      <c r="P1789">
        <f>MONTH(Table1[[#This Row],[Date]])</f>
        <v>11</v>
      </c>
    </row>
    <row r="1790" spans="1:16" x14ac:dyDescent="0.25">
      <c r="A1790" t="s">
        <v>1809</v>
      </c>
      <c r="B1790" t="s">
        <v>34</v>
      </c>
      <c r="C1790" t="s">
        <v>10</v>
      </c>
      <c r="D1790" s="1">
        <v>45447</v>
      </c>
      <c r="E1790">
        <v>121669</v>
      </c>
      <c r="F1790">
        <v>4465</v>
      </c>
      <c r="G1790">
        <v>419</v>
      </c>
      <c r="H1790" s="4">
        <v>965.54</v>
      </c>
      <c r="I1790" s="4">
        <v>10623.24</v>
      </c>
      <c r="J1790" s="7">
        <f>Table1[[#This Row],[Clicks]]/Table1[[#This Row],[Impressions]]</f>
        <v>3.6697926341138665E-2</v>
      </c>
      <c r="K1790" s="7">
        <f>IFERROR(Table1[[#This Row],[Conversions]]/Table1[[#This Row],[Clicks]],0)</f>
        <v>9.3840985442329231E-2</v>
      </c>
      <c r="L1790" s="6">
        <f>IF(Table1[[#This Row],[Conversions]]=0,0,Table1[[#This Row],[Ad Spend]]/Table1[[#This Row],[Conversions]])</f>
        <v>2.3043914081145584</v>
      </c>
      <c r="M1790" s="8">
        <f>IF(Table1[[#This Row],[Ad Spend]]=0,0,Table1[[#This Row],[Revenue]]/Table1[[#This Row],[Ad Spend]])</f>
        <v>11.002382086707957</v>
      </c>
      <c r="N1790">
        <f>YEAR(Table1[[#This Row],[Date]])</f>
        <v>2024</v>
      </c>
      <c r="O1790" t="str">
        <f>TEXT(Table1[[#This Row],[Date]],"mmm")</f>
        <v>Jun</v>
      </c>
      <c r="P1790">
        <f>MONTH(Table1[[#This Row],[Date]])</f>
        <v>6</v>
      </c>
    </row>
    <row r="1791" spans="1:16" x14ac:dyDescent="0.25">
      <c r="A1791" t="s">
        <v>1810</v>
      </c>
      <c r="B1791" t="s">
        <v>14</v>
      </c>
      <c r="C1791" t="s">
        <v>37</v>
      </c>
      <c r="D1791" s="1">
        <v>45508</v>
      </c>
      <c r="E1791">
        <v>102732</v>
      </c>
      <c r="F1791">
        <v>1574</v>
      </c>
      <c r="G1791">
        <v>116</v>
      </c>
      <c r="H1791" s="4">
        <v>307.49</v>
      </c>
      <c r="I1791" s="4">
        <v>11257.15</v>
      </c>
      <c r="J1791" s="7">
        <f>Table1[[#This Row],[Clicks]]/Table1[[#This Row],[Impressions]]</f>
        <v>1.5321418837363236E-2</v>
      </c>
      <c r="K1791" s="7">
        <f>IFERROR(Table1[[#This Row],[Conversions]]/Table1[[#This Row],[Clicks]],0)</f>
        <v>7.3697585768742052E-2</v>
      </c>
      <c r="L1791" s="6">
        <f>IF(Table1[[#This Row],[Conversions]]=0,0,Table1[[#This Row],[Ad Spend]]/Table1[[#This Row],[Conversions]])</f>
        <v>2.6507758620689654</v>
      </c>
      <c r="M1791" s="8">
        <f>IF(Table1[[#This Row],[Ad Spend]]=0,0,Table1[[#This Row],[Revenue]]/Table1[[#This Row],[Ad Spend]])</f>
        <v>36.609808449055251</v>
      </c>
      <c r="N1791">
        <f>YEAR(Table1[[#This Row],[Date]])</f>
        <v>2024</v>
      </c>
      <c r="O1791" t="str">
        <f>TEXT(Table1[[#This Row],[Date]],"mmm")</f>
        <v>Aug</v>
      </c>
      <c r="P1791">
        <f>MONTH(Table1[[#This Row],[Date]])</f>
        <v>8</v>
      </c>
    </row>
    <row r="1792" spans="1:16" x14ac:dyDescent="0.25">
      <c r="A1792" t="s">
        <v>1811</v>
      </c>
      <c r="B1792" t="s">
        <v>9</v>
      </c>
      <c r="C1792" t="s">
        <v>19</v>
      </c>
      <c r="D1792" s="1">
        <v>45364</v>
      </c>
      <c r="E1792">
        <v>73871</v>
      </c>
      <c r="F1792">
        <v>3101</v>
      </c>
      <c r="G1792">
        <v>437</v>
      </c>
      <c r="H1792" s="4">
        <v>4919.76</v>
      </c>
      <c r="I1792" s="4">
        <v>48706.54</v>
      </c>
      <c r="J1792" s="7">
        <f>Table1[[#This Row],[Clicks]]/Table1[[#This Row],[Impressions]]</f>
        <v>4.1978584288827822E-2</v>
      </c>
      <c r="K1792" s="7">
        <f>IFERROR(Table1[[#This Row],[Conversions]]/Table1[[#This Row],[Clicks]],0)</f>
        <v>0.14092228313447275</v>
      </c>
      <c r="L1792" s="6">
        <f>IF(Table1[[#This Row],[Conversions]]=0,0,Table1[[#This Row],[Ad Spend]]/Table1[[#This Row],[Conversions]])</f>
        <v>11.258032036613272</v>
      </c>
      <c r="M1792" s="8">
        <f>IF(Table1[[#This Row],[Ad Spend]]=0,0,Table1[[#This Row],[Revenue]]/Table1[[#This Row],[Ad Spend]])</f>
        <v>9.9001861879441275</v>
      </c>
      <c r="N1792">
        <f>YEAR(Table1[[#This Row],[Date]])</f>
        <v>2024</v>
      </c>
      <c r="O1792" t="str">
        <f>TEXT(Table1[[#This Row],[Date]],"mmm")</f>
        <v>Mar</v>
      </c>
      <c r="P1792">
        <f>MONTH(Table1[[#This Row],[Date]])</f>
        <v>3</v>
      </c>
    </row>
    <row r="1793" spans="1:16" x14ac:dyDescent="0.25">
      <c r="A1793" t="s">
        <v>1812</v>
      </c>
      <c r="B1793" t="s">
        <v>9</v>
      </c>
      <c r="C1793" t="s">
        <v>10</v>
      </c>
      <c r="D1793" s="1">
        <v>45535</v>
      </c>
      <c r="E1793">
        <v>50765</v>
      </c>
      <c r="F1793">
        <v>558</v>
      </c>
      <c r="G1793">
        <v>17</v>
      </c>
      <c r="H1793" s="4">
        <v>1327.05</v>
      </c>
      <c r="I1793" s="4">
        <v>1818.65</v>
      </c>
      <c r="J1793" s="7">
        <f>Table1[[#This Row],[Clicks]]/Table1[[#This Row],[Impressions]]</f>
        <v>1.0991825076332118E-2</v>
      </c>
      <c r="K1793" s="7">
        <f>IFERROR(Table1[[#This Row],[Conversions]]/Table1[[#This Row],[Clicks]],0)</f>
        <v>3.046594982078853E-2</v>
      </c>
      <c r="L1793" s="6">
        <f>IF(Table1[[#This Row],[Conversions]]=0,0,Table1[[#This Row],[Ad Spend]]/Table1[[#This Row],[Conversions]])</f>
        <v>78.061764705882354</v>
      </c>
      <c r="M1793" s="8">
        <f>IF(Table1[[#This Row],[Ad Spend]]=0,0,Table1[[#This Row],[Revenue]]/Table1[[#This Row],[Ad Spend]])</f>
        <v>1.3704457254813309</v>
      </c>
      <c r="N1793">
        <f>YEAR(Table1[[#This Row],[Date]])</f>
        <v>2024</v>
      </c>
      <c r="O1793" t="str">
        <f>TEXT(Table1[[#This Row],[Date]],"mmm")</f>
        <v>Aug</v>
      </c>
      <c r="P1793">
        <f>MONTH(Table1[[#This Row],[Date]])</f>
        <v>8</v>
      </c>
    </row>
    <row r="1794" spans="1:16" x14ac:dyDescent="0.25">
      <c r="A1794" t="s">
        <v>1813</v>
      </c>
      <c r="B1794" t="s">
        <v>34</v>
      </c>
      <c r="C1794" t="s">
        <v>19</v>
      </c>
      <c r="D1794" s="1">
        <v>45303</v>
      </c>
      <c r="E1794">
        <v>130757</v>
      </c>
      <c r="F1794">
        <v>1886</v>
      </c>
      <c r="G1794">
        <v>207</v>
      </c>
      <c r="H1794" s="4">
        <v>1234.28</v>
      </c>
      <c r="I1794" s="4">
        <v>12369.06</v>
      </c>
      <c r="J1794" s="7">
        <f>Table1[[#This Row],[Clicks]]/Table1[[#This Row],[Impressions]]</f>
        <v>1.4423701981538273E-2</v>
      </c>
      <c r="K1794" s="7">
        <f>IFERROR(Table1[[#This Row],[Conversions]]/Table1[[#This Row],[Clicks]],0)</f>
        <v>0.10975609756097561</v>
      </c>
      <c r="L1794" s="6">
        <f>IF(Table1[[#This Row],[Conversions]]=0,0,Table1[[#This Row],[Ad Spend]]/Table1[[#This Row],[Conversions]])</f>
        <v>5.9627053140096615</v>
      </c>
      <c r="M1794" s="8">
        <f>IF(Table1[[#This Row],[Ad Spend]]=0,0,Table1[[#This Row],[Revenue]]/Table1[[#This Row],[Ad Spend]])</f>
        <v>10.021275561460932</v>
      </c>
      <c r="N1794">
        <f>YEAR(Table1[[#This Row],[Date]])</f>
        <v>2024</v>
      </c>
      <c r="O1794" t="str">
        <f>TEXT(Table1[[#This Row],[Date]],"mmm")</f>
        <v>Jan</v>
      </c>
      <c r="P1794">
        <f>MONTH(Table1[[#This Row],[Date]])</f>
        <v>1</v>
      </c>
    </row>
    <row r="1795" spans="1:16" x14ac:dyDescent="0.25">
      <c r="A1795" t="s">
        <v>1814</v>
      </c>
      <c r="B1795" t="s">
        <v>21</v>
      </c>
      <c r="C1795" t="s">
        <v>10</v>
      </c>
      <c r="D1795" s="1">
        <v>45311</v>
      </c>
      <c r="E1795">
        <v>135396</v>
      </c>
      <c r="F1795">
        <v>5452</v>
      </c>
      <c r="G1795">
        <v>439</v>
      </c>
      <c r="H1795" s="4">
        <v>1040.1099999999999</v>
      </c>
      <c r="I1795" s="4">
        <v>9362.51</v>
      </c>
      <c r="J1795" s="7">
        <f>Table1[[#This Row],[Clicks]]/Table1[[#This Row],[Impressions]]</f>
        <v>4.0267068451062073E-2</v>
      </c>
      <c r="K1795" s="7">
        <f>IFERROR(Table1[[#This Row],[Conversions]]/Table1[[#This Row],[Clicks]],0)</f>
        <v>8.0520909757887019E-2</v>
      </c>
      <c r="L1795" s="6">
        <f>IF(Table1[[#This Row],[Conversions]]=0,0,Table1[[#This Row],[Ad Spend]]/Table1[[#This Row],[Conversions]])</f>
        <v>2.3692710706150337</v>
      </c>
      <c r="M1795" s="8">
        <f>IF(Table1[[#This Row],[Ad Spend]]=0,0,Table1[[#This Row],[Revenue]]/Table1[[#This Row],[Ad Spend]])</f>
        <v>9.0014613838920887</v>
      </c>
      <c r="N1795">
        <f>YEAR(Table1[[#This Row],[Date]])</f>
        <v>2024</v>
      </c>
      <c r="O1795" t="str">
        <f>TEXT(Table1[[#This Row],[Date]],"mmm")</f>
        <v>Jan</v>
      </c>
      <c r="P1795">
        <f>MONTH(Table1[[#This Row],[Date]])</f>
        <v>1</v>
      </c>
    </row>
    <row r="1796" spans="1:16" x14ac:dyDescent="0.25">
      <c r="A1796" t="s">
        <v>1815</v>
      </c>
      <c r="B1796" t="s">
        <v>31</v>
      </c>
      <c r="C1796" t="s">
        <v>10</v>
      </c>
      <c r="D1796" s="1">
        <v>45686</v>
      </c>
      <c r="E1796">
        <v>78616</v>
      </c>
      <c r="F1796">
        <v>4692</v>
      </c>
      <c r="G1796">
        <v>532</v>
      </c>
      <c r="H1796" s="4">
        <v>1172.95</v>
      </c>
      <c r="I1796" s="4">
        <v>24859.53</v>
      </c>
      <c r="J1796" s="7">
        <f>Table1[[#This Row],[Clicks]]/Table1[[#This Row],[Impressions]]</f>
        <v>5.9682507377633053E-2</v>
      </c>
      <c r="K1796" s="7">
        <f>IFERROR(Table1[[#This Row],[Conversions]]/Table1[[#This Row],[Clicks]],0)</f>
        <v>0.113384484228474</v>
      </c>
      <c r="L1796" s="6">
        <f>IF(Table1[[#This Row],[Conversions]]=0,0,Table1[[#This Row],[Ad Spend]]/Table1[[#This Row],[Conversions]])</f>
        <v>2.2047932330827069</v>
      </c>
      <c r="M1796" s="8">
        <f>IF(Table1[[#This Row],[Ad Spend]]=0,0,Table1[[#This Row],[Revenue]]/Table1[[#This Row],[Ad Spend]])</f>
        <v>21.194023615669892</v>
      </c>
      <c r="N1796">
        <f>YEAR(Table1[[#This Row],[Date]])</f>
        <v>2025</v>
      </c>
      <c r="O1796" t="str">
        <f>TEXT(Table1[[#This Row],[Date]],"mmm")</f>
        <v>Jan</v>
      </c>
      <c r="P1796">
        <f>MONTH(Table1[[#This Row],[Date]])</f>
        <v>1</v>
      </c>
    </row>
    <row r="1797" spans="1:16" x14ac:dyDescent="0.25">
      <c r="A1797" t="s">
        <v>1816</v>
      </c>
      <c r="B1797" t="s">
        <v>34</v>
      </c>
      <c r="C1797" t="s">
        <v>37</v>
      </c>
      <c r="D1797" s="1">
        <v>45412</v>
      </c>
      <c r="E1797">
        <v>122437</v>
      </c>
      <c r="F1797">
        <v>8169</v>
      </c>
      <c r="G1797">
        <v>1220</v>
      </c>
      <c r="H1797" s="4">
        <v>411.79</v>
      </c>
      <c r="I1797" s="4">
        <v>93111.86</v>
      </c>
      <c r="J1797" s="7">
        <f>Table1[[#This Row],[Clicks]]/Table1[[#This Row],[Impressions]]</f>
        <v>6.6720027442684807E-2</v>
      </c>
      <c r="K1797" s="7">
        <f>IFERROR(Table1[[#This Row],[Conversions]]/Table1[[#This Row],[Clicks]],0)</f>
        <v>0.14934508507773289</v>
      </c>
      <c r="L1797" s="6">
        <f>IF(Table1[[#This Row],[Conversions]]=0,0,Table1[[#This Row],[Ad Spend]]/Table1[[#This Row],[Conversions]])</f>
        <v>0.33753278688524591</v>
      </c>
      <c r="M1797" s="8">
        <f>IF(Table1[[#This Row],[Ad Spend]]=0,0,Table1[[#This Row],[Revenue]]/Table1[[#This Row],[Ad Spend]])</f>
        <v>226.11491294106219</v>
      </c>
      <c r="N1797">
        <f>YEAR(Table1[[#This Row],[Date]])</f>
        <v>2024</v>
      </c>
      <c r="O1797" t="str">
        <f>TEXT(Table1[[#This Row],[Date]],"mmm")</f>
        <v>Apr</v>
      </c>
      <c r="P1797">
        <f>MONTH(Table1[[#This Row],[Date]])</f>
        <v>4</v>
      </c>
    </row>
    <row r="1798" spans="1:16" x14ac:dyDescent="0.25">
      <c r="A1798" t="s">
        <v>1817</v>
      </c>
      <c r="B1798" t="s">
        <v>21</v>
      </c>
      <c r="C1798" t="s">
        <v>12</v>
      </c>
      <c r="D1798" s="1">
        <v>45651</v>
      </c>
      <c r="E1798">
        <v>133064</v>
      </c>
      <c r="F1798">
        <v>8707</v>
      </c>
      <c r="G1798">
        <v>984</v>
      </c>
      <c r="H1798" s="4">
        <v>3764.12</v>
      </c>
      <c r="I1798" s="4">
        <v>47873.279999999999</v>
      </c>
      <c r="J1798" s="7">
        <f>Table1[[#This Row],[Clicks]]/Table1[[#This Row],[Impressions]]</f>
        <v>6.5434678049660314E-2</v>
      </c>
      <c r="K1798" s="7">
        <f>IFERROR(Table1[[#This Row],[Conversions]]/Table1[[#This Row],[Clicks]],0)</f>
        <v>0.1130125186631446</v>
      </c>
      <c r="L1798" s="6">
        <f>IF(Table1[[#This Row],[Conversions]]=0,0,Table1[[#This Row],[Ad Spend]]/Table1[[#This Row],[Conversions]])</f>
        <v>3.8253252032520324</v>
      </c>
      <c r="M1798" s="8">
        <f>IF(Table1[[#This Row],[Ad Spend]]=0,0,Table1[[#This Row],[Revenue]]/Table1[[#This Row],[Ad Spend]])</f>
        <v>12.718319288439263</v>
      </c>
      <c r="N1798">
        <f>YEAR(Table1[[#This Row],[Date]])</f>
        <v>2024</v>
      </c>
      <c r="O1798" t="str">
        <f>TEXT(Table1[[#This Row],[Date]],"mmm")</f>
        <v>Dec</v>
      </c>
      <c r="P1798">
        <f>MONTH(Table1[[#This Row],[Date]])</f>
        <v>12</v>
      </c>
    </row>
    <row r="1799" spans="1:16" x14ac:dyDescent="0.25">
      <c r="A1799" t="s">
        <v>1818</v>
      </c>
      <c r="B1799" t="s">
        <v>9</v>
      </c>
      <c r="C1799" t="s">
        <v>12</v>
      </c>
      <c r="D1799" s="1">
        <v>45480</v>
      </c>
      <c r="E1799">
        <v>124605</v>
      </c>
      <c r="F1799">
        <v>8404</v>
      </c>
      <c r="G1799">
        <v>763</v>
      </c>
      <c r="H1799" s="4">
        <v>1991.68</v>
      </c>
      <c r="I1799" s="4">
        <v>84068.93</v>
      </c>
      <c r="J1799" s="7">
        <f>Table1[[#This Row],[Clicks]]/Table1[[#This Row],[Impressions]]</f>
        <v>6.7445126600056179E-2</v>
      </c>
      <c r="K1799" s="7">
        <f>IFERROR(Table1[[#This Row],[Conversions]]/Table1[[#This Row],[Clicks]],0)</f>
        <v>9.0790099952403613E-2</v>
      </c>
      <c r="L1799" s="6">
        <f>IF(Table1[[#This Row],[Conversions]]=0,0,Table1[[#This Row],[Ad Spend]]/Table1[[#This Row],[Conversions]])</f>
        <v>2.6103276539973788</v>
      </c>
      <c r="M1799" s="8">
        <f>IF(Table1[[#This Row],[Ad Spend]]=0,0,Table1[[#This Row],[Revenue]]/Table1[[#This Row],[Ad Spend]])</f>
        <v>42.210058844794339</v>
      </c>
      <c r="N1799">
        <f>YEAR(Table1[[#This Row],[Date]])</f>
        <v>2024</v>
      </c>
      <c r="O1799" t="str">
        <f>TEXT(Table1[[#This Row],[Date]],"mmm")</f>
        <v>Jul</v>
      </c>
      <c r="P1799">
        <f>MONTH(Table1[[#This Row],[Date]])</f>
        <v>7</v>
      </c>
    </row>
    <row r="1800" spans="1:16" x14ac:dyDescent="0.25">
      <c r="A1800" t="s">
        <v>1819</v>
      </c>
      <c r="B1800" t="s">
        <v>16</v>
      </c>
      <c r="C1800" t="s">
        <v>19</v>
      </c>
      <c r="D1800" s="1">
        <v>45668</v>
      </c>
      <c r="E1800">
        <v>95908</v>
      </c>
      <c r="F1800">
        <v>3691</v>
      </c>
      <c r="G1800">
        <v>352</v>
      </c>
      <c r="H1800" s="4">
        <v>1986.13</v>
      </c>
      <c r="I1800" s="4">
        <v>41659.65</v>
      </c>
      <c r="J1800" s="7">
        <f>Table1[[#This Row],[Clicks]]/Table1[[#This Row],[Impressions]]</f>
        <v>3.848479793135088E-2</v>
      </c>
      <c r="K1800" s="7">
        <f>IFERROR(Table1[[#This Row],[Conversions]]/Table1[[#This Row],[Clicks]],0)</f>
        <v>9.5367109184502849E-2</v>
      </c>
      <c r="L1800" s="6">
        <f>IF(Table1[[#This Row],[Conversions]]=0,0,Table1[[#This Row],[Ad Spend]]/Table1[[#This Row],[Conversions]])</f>
        <v>5.6424147727272729</v>
      </c>
      <c r="M1800" s="8">
        <f>IF(Table1[[#This Row],[Ad Spend]]=0,0,Table1[[#This Row],[Revenue]]/Table1[[#This Row],[Ad Spend]])</f>
        <v>20.975288626625648</v>
      </c>
      <c r="N1800">
        <f>YEAR(Table1[[#This Row],[Date]])</f>
        <v>2025</v>
      </c>
      <c r="O1800" t="str">
        <f>TEXT(Table1[[#This Row],[Date]],"mmm")</f>
        <v>Jan</v>
      </c>
      <c r="P1800">
        <f>MONTH(Table1[[#This Row],[Date]])</f>
        <v>1</v>
      </c>
    </row>
    <row r="1801" spans="1:16" x14ac:dyDescent="0.25">
      <c r="A1801" t="s">
        <v>1820</v>
      </c>
      <c r="B1801" t="s">
        <v>34</v>
      </c>
      <c r="C1801" t="s">
        <v>37</v>
      </c>
      <c r="D1801" s="1">
        <v>45708</v>
      </c>
      <c r="E1801">
        <v>134633</v>
      </c>
      <c r="F1801">
        <v>7714</v>
      </c>
      <c r="G1801">
        <v>563</v>
      </c>
      <c r="H1801" s="4">
        <v>4814.6499999999996</v>
      </c>
      <c r="I1801" s="4">
        <v>16126.89</v>
      </c>
      <c r="J1801" s="7">
        <f>Table1[[#This Row],[Clicks]]/Table1[[#This Row],[Impressions]]</f>
        <v>5.7296502343407635E-2</v>
      </c>
      <c r="K1801" s="7">
        <f>IFERROR(Table1[[#This Row],[Conversions]]/Table1[[#This Row],[Clicks]],0)</f>
        <v>7.2984184599429611E-2</v>
      </c>
      <c r="L1801" s="6">
        <f>IF(Table1[[#This Row],[Conversions]]=0,0,Table1[[#This Row],[Ad Spend]]/Table1[[#This Row],[Conversions]])</f>
        <v>8.5517761989342809</v>
      </c>
      <c r="M1801" s="8">
        <f>IF(Table1[[#This Row],[Ad Spend]]=0,0,Table1[[#This Row],[Revenue]]/Table1[[#This Row],[Ad Spend]])</f>
        <v>3.3495456575244309</v>
      </c>
      <c r="N1801">
        <f>YEAR(Table1[[#This Row],[Date]])</f>
        <v>2025</v>
      </c>
      <c r="O1801" t="str">
        <f>TEXT(Table1[[#This Row],[Date]],"mmm")</f>
        <v>Feb</v>
      </c>
      <c r="P1801">
        <f>MONTH(Table1[[#This Row],[Date]])</f>
        <v>2</v>
      </c>
    </row>
    <row r="1802" spans="1:16" x14ac:dyDescent="0.25">
      <c r="A1802" t="s">
        <v>1821</v>
      </c>
      <c r="B1802" t="s">
        <v>34</v>
      </c>
      <c r="C1802" t="s">
        <v>37</v>
      </c>
      <c r="D1802" s="1">
        <v>45462</v>
      </c>
      <c r="E1802">
        <v>99022</v>
      </c>
      <c r="F1802">
        <v>5464</v>
      </c>
      <c r="G1802">
        <v>429</v>
      </c>
      <c r="H1802" s="4">
        <v>2788.22</v>
      </c>
      <c r="I1802" s="4">
        <v>37766.49</v>
      </c>
      <c r="J1802" s="7">
        <f>Table1[[#This Row],[Clicks]]/Table1[[#This Row],[Impressions]]</f>
        <v>5.5179657045908992E-2</v>
      </c>
      <c r="K1802" s="7">
        <f>IFERROR(Table1[[#This Row],[Conversions]]/Table1[[#This Row],[Clicks]],0)</f>
        <v>7.8513909224011719E-2</v>
      </c>
      <c r="L1802" s="6">
        <f>IF(Table1[[#This Row],[Conversions]]=0,0,Table1[[#This Row],[Ad Spend]]/Table1[[#This Row],[Conversions]])</f>
        <v>6.4993473193473186</v>
      </c>
      <c r="M1802" s="8">
        <f>IF(Table1[[#This Row],[Ad Spend]]=0,0,Table1[[#This Row],[Revenue]]/Table1[[#This Row],[Ad Spend]])</f>
        <v>13.545017968452992</v>
      </c>
      <c r="N1802">
        <f>YEAR(Table1[[#This Row],[Date]])</f>
        <v>2024</v>
      </c>
      <c r="O1802" t="str">
        <f>TEXT(Table1[[#This Row],[Date]],"mmm")</f>
        <v>Jun</v>
      </c>
      <c r="P1802">
        <f>MONTH(Table1[[#This Row],[Date]])</f>
        <v>6</v>
      </c>
    </row>
    <row r="1803" spans="1:16" x14ac:dyDescent="0.25">
      <c r="A1803" t="s">
        <v>1822</v>
      </c>
      <c r="B1803" t="s">
        <v>31</v>
      </c>
      <c r="C1803" t="s">
        <v>19</v>
      </c>
      <c r="D1803" s="1">
        <v>45551</v>
      </c>
      <c r="E1803">
        <v>43024</v>
      </c>
      <c r="F1803">
        <v>2233</v>
      </c>
      <c r="G1803">
        <v>201</v>
      </c>
      <c r="H1803" s="4">
        <v>4193.66</v>
      </c>
      <c r="I1803" s="4">
        <v>7224.5</v>
      </c>
      <c r="J1803" s="7">
        <f>Table1[[#This Row],[Clicks]]/Table1[[#This Row],[Impressions]]</f>
        <v>5.1901264410561546E-2</v>
      </c>
      <c r="K1803" s="7">
        <f>IFERROR(Table1[[#This Row],[Conversions]]/Table1[[#This Row],[Clicks]],0)</f>
        <v>9.0013434841021048E-2</v>
      </c>
      <c r="L1803" s="6">
        <f>IF(Table1[[#This Row],[Conversions]]=0,0,Table1[[#This Row],[Ad Spend]]/Table1[[#This Row],[Conversions]])</f>
        <v>20.863980099502488</v>
      </c>
      <c r="M1803" s="8">
        <f>IF(Table1[[#This Row],[Ad Spend]]=0,0,Table1[[#This Row],[Revenue]]/Table1[[#This Row],[Ad Spend]])</f>
        <v>1.7227195337724088</v>
      </c>
      <c r="N1803">
        <f>YEAR(Table1[[#This Row],[Date]])</f>
        <v>2024</v>
      </c>
      <c r="O1803" t="str">
        <f>TEXT(Table1[[#This Row],[Date]],"mmm")</f>
        <v>Sept</v>
      </c>
      <c r="P1803">
        <f>MONTH(Table1[[#This Row],[Date]])</f>
        <v>9</v>
      </c>
    </row>
    <row r="1804" spans="1:16" x14ac:dyDescent="0.25">
      <c r="A1804" t="s">
        <v>1823</v>
      </c>
      <c r="B1804" t="s">
        <v>16</v>
      </c>
      <c r="C1804" t="s">
        <v>37</v>
      </c>
      <c r="D1804" s="1">
        <v>45714</v>
      </c>
      <c r="E1804">
        <v>108900</v>
      </c>
      <c r="F1804">
        <v>1712</v>
      </c>
      <c r="G1804">
        <v>127</v>
      </c>
      <c r="H1804" s="4">
        <v>737.02</v>
      </c>
      <c r="I1804" s="4">
        <v>8907.57</v>
      </c>
      <c r="J1804" s="7">
        <f>Table1[[#This Row],[Clicks]]/Table1[[#This Row],[Impressions]]</f>
        <v>1.5720844811753901E-2</v>
      </c>
      <c r="K1804" s="7">
        <f>IFERROR(Table1[[#This Row],[Conversions]]/Table1[[#This Row],[Clicks]],0)</f>
        <v>7.4182242990654207E-2</v>
      </c>
      <c r="L1804" s="6">
        <f>IF(Table1[[#This Row],[Conversions]]=0,0,Table1[[#This Row],[Ad Spend]]/Table1[[#This Row],[Conversions]])</f>
        <v>5.8033070866141729</v>
      </c>
      <c r="M1804" s="8">
        <f>IF(Table1[[#This Row],[Ad Spend]]=0,0,Table1[[#This Row],[Revenue]]/Table1[[#This Row],[Ad Spend]])</f>
        <v>12.085927111882988</v>
      </c>
      <c r="N1804">
        <f>YEAR(Table1[[#This Row],[Date]])</f>
        <v>2025</v>
      </c>
      <c r="O1804" t="str">
        <f>TEXT(Table1[[#This Row],[Date]],"mmm")</f>
        <v>Feb</v>
      </c>
      <c r="P1804">
        <f>MONTH(Table1[[#This Row],[Date]])</f>
        <v>2</v>
      </c>
    </row>
    <row r="1805" spans="1:16" x14ac:dyDescent="0.25">
      <c r="A1805" t="s">
        <v>1824</v>
      </c>
      <c r="B1805" t="s">
        <v>31</v>
      </c>
      <c r="C1805" t="s">
        <v>12</v>
      </c>
      <c r="D1805" s="1">
        <v>45345</v>
      </c>
      <c r="E1805">
        <v>6059</v>
      </c>
      <c r="F1805">
        <v>168</v>
      </c>
      <c r="G1805">
        <v>15</v>
      </c>
      <c r="H1805" s="4">
        <v>4722.99</v>
      </c>
      <c r="I1805" s="4">
        <v>1409.57</v>
      </c>
      <c r="J1805" s="7">
        <f>Table1[[#This Row],[Clicks]]/Table1[[#This Row],[Impressions]]</f>
        <v>2.7727347747152995E-2</v>
      </c>
      <c r="K1805" s="7">
        <f>IFERROR(Table1[[#This Row],[Conversions]]/Table1[[#This Row],[Clicks]],0)</f>
        <v>8.9285714285714288E-2</v>
      </c>
      <c r="L1805" s="6">
        <f>IF(Table1[[#This Row],[Conversions]]=0,0,Table1[[#This Row],[Ad Spend]]/Table1[[#This Row],[Conversions]])</f>
        <v>314.86599999999999</v>
      </c>
      <c r="M1805" s="8">
        <f>IF(Table1[[#This Row],[Ad Spend]]=0,0,Table1[[#This Row],[Revenue]]/Table1[[#This Row],[Ad Spend]])</f>
        <v>0.29844865223089612</v>
      </c>
      <c r="N1805">
        <f>YEAR(Table1[[#This Row],[Date]])</f>
        <v>2024</v>
      </c>
      <c r="O1805" t="str">
        <f>TEXT(Table1[[#This Row],[Date]],"mmm")</f>
        <v>Feb</v>
      </c>
      <c r="P1805">
        <f>MONTH(Table1[[#This Row],[Date]])</f>
        <v>2</v>
      </c>
    </row>
    <row r="1806" spans="1:16" x14ac:dyDescent="0.25">
      <c r="A1806" t="s">
        <v>1825</v>
      </c>
      <c r="B1806" t="s">
        <v>47</v>
      </c>
      <c r="C1806" t="s">
        <v>17</v>
      </c>
      <c r="D1806" s="1">
        <v>45351</v>
      </c>
      <c r="E1806">
        <v>90324</v>
      </c>
      <c r="F1806">
        <v>5530</v>
      </c>
      <c r="G1806">
        <v>683</v>
      </c>
      <c r="H1806" s="4">
        <v>2832.56</v>
      </c>
      <c r="I1806" s="4">
        <v>40635.800000000003</v>
      </c>
      <c r="J1806" s="7">
        <f>Table1[[#This Row],[Clicks]]/Table1[[#This Row],[Impressions]]</f>
        <v>6.1224037907975731E-2</v>
      </c>
      <c r="K1806" s="7">
        <f>IFERROR(Table1[[#This Row],[Conversions]]/Table1[[#This Row],[Clicks]],0)</f>
        <v>0.12350813743218807</v>
      </c>
      <c r="L1806" s="6">
        <f>IF(Table1[[#This Row],[Conversions]]=0,0,Table1[[#This Row],[Ad Spend]]/Table1[[#This Row],[Conversions]])</f>
        <v>4.1472327964860911</v>
      </c>
      <c r="M1806" s="8">
        <f>IF(Table1[[#This Row],[Ad Spend]]=0,0,Table1[[#This Row],[Revenue]]/Table1[[#This Row],[Ad Spend]])</f>
        <v>14.345962662750305</v>
      </c>
      <c r="N1806">
        <f>YEAR(Table1[[#This Row],[Date]])</f>
        <v>2024</v>
      </c>
      <c r="O1806" t="str">
        <f>TEXT(Table1[[#This Row],[Date]],"mmm")</f>
        <v>Feb</v>
      </c>
      <c r="P1806">
        <f>MONTH(Table1[[#This Row],[Date]])</f>
        <v>2</v>
      </c>
    </row>
    <row r="1807" spans="1:16" x14ac:dyDescent="0.25">
      <c r="A1807" t="s">
        <v>1826</v>
      </c>
      <c r="B1807" t="s">
        <v>21</v>
      </c>
      <c r="C1807" t="s">
        <v>37</v>
      </c>
      <c r="D1807" s="1">
        <v>45587</v>
      </c>
      <c r="E1807">
        <v>97047</v>
      </c>
      <c r="F1807">
        <v>6064</v>
      </c>
      <c r="G1807">
        <v>663</v>
      </c>
      <c r="H1807" s="4">
        <v>4942.16</v>
      </c>
      <c r="I1807" s="4">
        <v>28231.52</v>
      </c>
      <c r="J1807" s="7">
        <f>Table1[[#This Row],[Clicks]]/Table1[[#This Row],[Impressions]]</f>
        <v>6.248518758951848E-2</v>
      </c>
      <c r="K1807" s="7">
        <f>IFERROR(Table1[[#This Row],[Conversions]]/Table1[[#This Row],[Clicks]],0)</f>
        <v>0.10933377308707123</v>
      </c>
      <c r="L1807" s="6">
        <f>IF(Table1[[#This Row],[Conversions]]=0,0,Table1[[#This Row],[Ad Spend]]/Table1[[#This Row],[Conversions]])</f>
        <v>7.4542383107088988</v>
      </c>
      <c r="M1807" s="8">
        <f>IF(Table1[[#This Row],[Ad Spend]]=0,0,Table1[[#This Row],[Revenue]]/Table1[[#This Row],[Ad Spend]])</f>
        <v>5.7123848681548148</v>
      </c>
      <c r="N1807">
        <f>YEAR(Table1[[#This Row],[Date]])</f>
        <v>2024</v>
      </c>
      <c r="O1807" t="str">
        <f>TEXT(Table1[[#This Row],[Date]],"mmm")</f>
        <v>Oct</v>
      </c>
      <c r="P1807">
        <f>MONTH(Table1[[#This Row],[Date]])</f>
        <v>10</v>
      </c>
    </row>
    <row r="1808" spans="1:16" x14ac:dyDescent="0.25">
      <c r="A1808" t="s">
        <v>1827</v>
      </c>
      <c r="B1808" t="s">
        <v>41</v>
      </c>
      <c r="C1808" t="s">
        <v>37</v>
      </c>
      <c r="D1808" s="1">
        <v>45647</v>
      </c>
      <c r="E1808">
        <v>54369</v>
      </c>
      <c r="F1808">
        <v>3269</v>
      </c>
      <c r="G1808">
        <v>444</v>
      </c>
      <c r="H1808" s="4">
        <v>4852.55</v>
      </c>
      <c r="I1808" s="4">
        <v>44397.120000000003</v>
      </c>
      <c r="J1808" s="7">
        <f>Table1[[#This Row],[Clicks]]/Table1[[#This Row],[Impressions]]</f>
        <v>6.012617484228145E-2</v>
      </c>
      <c r="K1808" s="7">
        <f>IFERROR(Table1[[#This Row],[Conversions]]/Table1[[#This Row],[Clicks]],0)</f>
        <v>0.13582135209544202</v>
      </c>
      <c r="L1808" s="6">
        <f>IF(Table1[[#This Row],[Conversions]]=0,0,Table1[[#This Row],[Ad Spend]]/Table1[[#This Row],[Conversions]])</f>
        <v>10.929166666666667</v>
      </c>
      <c r="M1808" s="8">
        <f>IF(Table1[[#This Row],[Ad Spend]]=0,0,Table1[[#This Row],[Revenue]]/Table1[[#This Row],[Ad Spend]])</f>
        <v>9.1492349383313929</v>
      </c>
      <c r="N1808">
        <f>YEAR(Table1[[#This Row],[Date]])</f>
        <v>2024</v>
      </c>
      <c r="O1808" t="str">
        <f>TEXT(Table1[[#This Row],[Date]],"mmm")</f>
        <v>Dec</v>
      </c>
      <c r="P1808">
        <f>MONTH(Table1[[#This Row],[Date]])</f>
        <v>12</v>
      </c>
    </row>
    <row r="1809" spans="1:16" x14ac:dyDescent="0.25">
      <c r="A1809" t="s">
        <v>1828</v>
      </c>
      <c r="B1809" t="s">
        <v>41</v>
      </c>
      <c r="C1809" t="s">
        <v>37</v>
      </c>
      <c r="D1809" s="1">
        <v>45328</v>
      </c>
      <c r="E1809">
        <v>85361</v>
      </c>
      <c r="F1809">
        <v>2298</v>
      </c>
      <c r="G1809">
        <v>167</v>
      </c>
      <c r="H1809" s="4">
        <v>4161.1099999999997</v>
      </c>
      <c r="I1809" s="4">
        <v>12390.85</v>
      </c>
      <c r="J1809" s="7">
        <f>Table1[[#This Row],[Clicks]]/Table1[[#This Row],[Impressions]]</f>
        <v>2.692095922025281E-2</v>
      </c>
      <c r="K1809" s="7">
        <f>IFERROR(Table1[[#This Row],[Conversions]]/Table1[[#This Row],[Clicks]],0)</f>
        <v>7.2671888598781556E-2</v>
      </c>
      <c r="L1809" s="6">
        <f>IF(Table1[[#This Row],[Conversions]]=0,0,Table1[[#This Row],[Ad Spend]]/Table1[[#This Row],[Conversions]])</f>
        <v>24.916826347305388</v>
      </c>
      <c r="M1809" s="8">
        <f>IF(Table1[[#This Row],[Ad Spend]]=0,0,Table1[[#This Row],[Revenue]]/Table1[[#This Row],[Ad Spend]])</f>
        <v>2.9777751609546494</v>
      </c>
      <c r="N1809">
        <f>YEAR(Table1[[#This Row],[Date]])</f>
        <v>2024</v>
      </c>
      <c r="O1809" t="str">
        <f>TEXT(Table1[[#This Row],[Date]],"mmm")</f>
        <v>Feb</v>
      </c>
      <c r="P1809">
        <f>MONTH(Table1[[#This Row],[Date]])</f>
        <v>2</v>
      </c>
    </row>
    <row r="1810" spans="1:16" x14ac:dyDescent="0.25">
      <c r="A1810" t="s">
        <v>1829</v>
      </c>
      <c r="B1810" t="s">
        <v>9</v>
      </c>
      <c r="C1810" t="s">
        <v>37</v>
      </c>
      <c r="D1810" s="1">
        <v>45304</v>
      </c>
      <c r="E1810">
        <v>9251</v>
      </c>
      <c r="F1810">
        <v>112</v>
      </c>
      <c r="G1810">
        <v>4</v>
      </c>
      <c r="H1810" s="4">
        <v>1091.43</v>
      </c>
      <c r="I1810" s="4">
        <v>390.43</v>
      </c>
      <c r="J1810" s="7">
        <f>Table1[[#This Row],[Clicks]]/Table1[[#This Row],[Impressions]]</f>
        <v>1.210679926494433E-2</v>
      </c>
      <c r="K1810" s="7">
        <f>IFERROR(Table1[[#This Row],[Conversions]]/Table1[[#This Row],[Clicks]],0)</f>
        <v>3.5714285714285712E-2</v>
      </c>
      <c r="L1810" s="6">
        <f>IF(Table1[[#This Row],[Conversions]]=0,0,Table1[[#This Row],[Ad Spend]]/Table1[[#This Row],[Conversions]])</f>
        <v>272.85750000000002</v>
      </c>
      <c r="M1810" s="8">
        <f>IF(Table1[[#This Row],[Ad Spend]]=0,0,Table1[[#This Row],[Revenue]]/Table1[[#This Row],[Ad Spend]])</f>
        <v>0.35772335376524372</v>
      </c>
      <c r="N1810">
        <f>YEAR(Table1[[#This Row],[Date]])</f>
        <v>2024</v>
      </c>
      <c r="O1810" t="str">
        <f>TEXT(Table1[[#This Row],[Date]],"mmm")</f>
        <v>Jan</v>
      </c>
      <c r="P1810">
        <f>MONTH(Table1[[#This Row],[Date]])</f>
        <v>1</v>
      </c>
    </row>
    <row r="1811" spans="1:16" x14ac:dyDescent="0.25">
      <c r="A1811" t="s">
        <v>1830</v>
      </c>
      <c r="B1811" t="s">
        <v>9</v>
      </c>
      <c r="C1811" t="s">
        <v>10</v>
      </c>
      <c r="D1811" s="1">
        <v>45421</v>
      </c>
      <c r="E1811">
        <v>123646</v>
      </c>
      <c r="F1811">
        <v>9467</v>
      </c>
      <c r="G1811">
        <v>708</v>
      </c>
      <c r="H1811" s="4">
        <v>1916.07</v>
      </c>
      <c r="I1811" s="4">
        <v>42692.46</v>
      </c>
      <c r="J1811" s="7">
        <f>Table1[[#This Row],[Clicks]]/Table1[[#This Row],[Impressions]]</f>
        <v>7.6565355935493268E-2</v>
      </c>
      <c r="K1811" s="7">
        <f>IFERROR(Table1[[#This Row],[Conversions]]/Table1[[#This Row],[Clicks]],0)</f>
        <v>7.478609908101827E-2</v>
      </c>
      <c r="L1811" s="6">
        <f>IF(Table1[[#This Row],[Conversions]]=0,0,Table1[[#This Row],[Ad Spend]]/Table1[[#This Row],[Conversions]])</f>
        <v>2.7063135593220338</v>
      </c>
      <c r="M1811" s="8">
        <f>IF(Table1[[#This Row],[Ad Spend]]=0,0,Table1[[#This Row],[Revenue]]/Table1[[#This Row],[Ad Spend]])</f>
        <v>22.281263210634268</v>
      </c>
      <c r="N1811">
        <f>YEAR(Table1[[#This Row],[Date]])</f>
        <v>2024</v>
      </c>
      <c r="O1811" t="str">
        <f>TEXT(Table1[[#This Row],[Date]],"mmm")</f>
        <v>May</v>
      </c>
      <c r="P1811">
        <f>MONTH(Table1[[#This Row],[Date]])</f>
        <v>5</v>
      </c>
    </row>
    <row r="1812" spans="1:16" x14ac:dyDescent="0.25">
      <c r="A1812" t="s">
        <v>1831</v>
      </c>
      <c r="B1812" t="s">
        <v>34</v>
      </c>
      <c r="C1812" t="s">
        <v>19</v>
      </c>
      <c r="D1812" s="1">
        <v>45490</v>
      </c>
      <c r="E1812">
        <v>103281</v>
      </c>
      <c r="F1812">
        <v>2539</v>
      </c>
      <c r="G1812">
        <v>192</v>
      </c>
      <c r="H1812" s="4">
        <v>3030.52</v>
      </c>
      <c r="I1812" s="4">
        <v>13026.04</v>
      </c>
      <c r="J1812" s="7">
        <f>Table1[[#This Row],[Clicks]]/Table1[[#This Row],[Impressions]]</f>
        <v>2.4583418053659434E-2</v>
      </c>
      <c r="K1812" s="7">
        <f>IFERROR(Table1[[#This Row],[Conversions]]/Table1[[#This Row],[Clicks]],0)</f>
        <v>7.562032296179598E-2</v>
      </c>
      <c r="L1812" s="6">
        <f>IF(Table1[[#This Row],[Conversions]]=0,0,Table1[[#This Row],[Ad Spend]]/Table1[[#This Row],[Conversions]])</f>
        <v>15.783958333333333</v>
      </c>
      <c r="M1812" s="8">
        <f>IF(Table1[[#This Row],[Ad Spend]]=0,0,Table1[[#This Row],[Revenue]]/Table1[[#This Row],[Ad Spend]])</f>
        <v>4.2982854427622987</v>
      </c>
      <c r="N1812">
        <f>YEAR(Table1[[#This Row],[Date]])</f>
        <v>2024</v>
      </c>
      <c r="O1812" t="str">
        <f>TEXT(Table1[[#This Row],[Date]],"mmm")</f>
        <v>Jul</v>
      </c>
      <c r="P1812">
        <f>MONTH(Table1[[#This Row],[Date]])</f>
        <v>7</v>
      </c>
    </row>
    <row r="1813" spans="1:16" x14ac:dyDescent="0.25">
      <c r="A1813" t="s">
        <v>1832</v>
      </c>
      <c r="B1813" t="s">
        <v>31</v>
      </c>
      <c r="C1813" t="s">
        <v>17</v>
      </c>
      <c r="D1813" s="1">
        <v>45308</v>
      </c>
      <c r="E1813">
        <v>136070</v>
      </c>
      <c r="F1813">
        <v>4405</v>
      </c>
      <c r="G1813">
        <v>105</v>
      </c>
      <c r="H1813" s="4">
        <v>3563.03</v>
      </c>
      <c r="I1813" s="4">
        <v>11142.34</v>
      </c>
      <c r="J1813" s="7">
        <f>Table1[[#This Row],[Clicks]]/Table1[[#This Row],[Impressions]]</f>
        <v>3.2373043286543689E-2</v>
      </c>
      <c r="K1813" s="7">
        <f>IFERROR(Table1[[#This Row],[Conversions]]/Table1[[#This Row],[Clicks]],0)</f>
        <v>2.383654937570942E-2</v>
      </c>
      <c r="L1813" s="6">
        <f>IF(Table1[[#This Row],[Conversions]]=0,0,Table1[[#This Row],[Ad Spend]]/Table1[[#This Row],[Conversions]])</f>
        <v>33.933619047619047</v>
      </c>
      <c r="M1813" s="8">
        <f>IF(Table1[[#This Row],[Ad Spend]]=0,0,Table1[[#This Row],[Revenue]]/Table1[[#This Row],[Ad Spend]])</f>
        <v>3.1272091450254416</v>
      </c>
      <c r="N1813">
        <f>YEAR(Table1[[#This Row],[Date]])</f>
        <v>2024</v>
      </c>
      <c r="O1813" t="str">
        <f>TEXT(Table1[[#This Row],[Date]],"mmm")</f>
        <v>Jan</v>
      </c>
      <c r="P1813">
        <f>MONTH(Table1[[#This Row],[Date]])</f>
        <v>1</v>
      </c>
    </row>
    <row r="1814" spans="1:16" x14ac:dyDescent="0.25">
      <c r="A1814" t="s">
        <v>1833</v>
      </c>
      <c r="B1814" t="s">
        <v>21</v>
      </c>
      <c r="C1814" t="s">
        <v>12</v>
      </c>
      <c r="D1814" s="1">
        <v>45686</v>
      </c>
      <c r="E1814">
        <v>30691</v>
      </c>
      <c r="F1814">
        <v>1215</v>
      </c>
      <c r="G1814">
        <v>117</v>
      </c>
      <c r="H1814" s="4">
        <v>4427.05</v>
      </c>
      <c r="I1814" s="4">
        <v>13444.73</v>
      </c>
      <c r="J1814" s="7">
        <f>Table1[[#This Row],[Clicks]]/Table1[[#This Row],[Impressions]]</f>
        <v>3.9588152878694077E-2</v>
      </c>
      <c r="K1814" s="7">
        <f>IFERROR(Table1[[#This Row],[Conversions]]/Table1[[#This Row],[Clicks]],0)</f>
        <v>9.6296296296296297E-2</v>
      </c>
      <c r="L1814" s="6">
        <f>IF(Table1[[#This Row],[Conversions]]=0,0,Table1[[#This Row],[Ad Spend]]/Table1[[#This Row],[Conversions]])</f>
        <v>37.838034188034193</v>
      </c>
      <c r="M1814" s="8">
        <f>IF(Table1[[#This Row],[Ad Spend]]=0,0,Table1[[#This Row],[Revenue]]/Table1[[#This Row],[Ad Spend]])</f>
        <v>3.0369501135067369</v>
      </c>
      <c r="N1814">
        <f>YEAR(Table1[[#This Row],[Date]])</f>
        <v>2025</v>
      </c>
      <c r="O1814" t="str">
        <f>TEXT(Table1[[#This Row],[Date]],"mmm")</f>
        <v>Jan</v>
      </c>
      <c r="P1814">
        <f>MONTH(Table1[[#This Row],[Date]])</f>
        <v>1</v>
      </c>
    </row>
    <row r="1815" spans="1:16" x14ac:dyDescent="0.25">
      <c r="A1815" t="s">
        <v>1834</v>
      </c>
      <c r="B1815" t="s">
        <v>41</v>
      </c>
      <c r="C1815" t="s">
        <v>10</v>
      </c>
      <c r="D1815" s="1">
        <v>45486</v>
      </c>
      <c r="E1815">
        <v>15137</v>
      </c>
      <c r="F1815">
        <v>1171</v>
      </c>
      <c r="G1815">
        <v>138</v>
      </c>
      <c r="H1815" s="4">
        <v>616.78</v>
      </c>
      <c r="I1815" s="4">
        <v>6239.76</v>
      </c>
      <c r="J1815" s="7">
        <f>Table1[[#This Row],[Clicks]]/Table1[[#This Row],[Impressions]]</f>
        <v>7.7360110986324893E-2</v>
      </c>
      <c r="K1815" s="7">
        <f>IFERROR(Table1[[#This Row],[Conversions]]/Table1[[#This Row],[Clicks]],0)</f>
        <v>0.11784799316823227</v>
      </c>
      <c r="L1815" s="6">
        <f>IF(Table1[[#This Row],[Conversions]]=0,0,Table1[[#This Row],[Ad Spend]]/Table1[[#This Row],[Conversions]])</f>
        <v>4.4694202898550719</v>
      </c>
      <c r="M1815" s="8">
        <f>IF(Table1[[#This Row],[Ad Spend]]=0,0,Table1[[#This Row],[Revenue]]/Table1[[#This Row],[Ad Spend]])</f>
        <v>10.116670449755182</v>
      </c>
      <c r="N1815">
        <f>YEAR(Table1[[#This Row],[Date]])</f>
        <v>2024</v>
      </c>
      <c r="O1815" t="str">
        <f>TEXT(Table1[[#This Row],[Date]],"mmm")</f>
        <v>Jul</v>
      </c>
      <c r="P1815">
        <f>MONTH(Table1[[#This Row],[Date]])</f>
        <v>7</v>
      </c>
    </row>
    <row r="1816" spans="1:16" x14ac:dyDescent="0.25">
      <c r="A1816" t="s">
        <v>1835</v>
      </c>
      <c r="B1816" t="s">
        <v>9</v>
      </c>
      <c r="C1816" t="s">
        <v>10</v>
      </c>
      <c r="D1816" s="1">
        <v>45417</v>
      </c>
      <c r="E1816">
        <v>29643</v>
      </c>
      <c r="F1816">
        <v>1239</v>
      </c>
      <c r="G1816">
        <v>145</v>
      </c>
      <c r="H1816" s="4">
        <v>1358.62</v>
      </c>
      <c r="I1816" s="4">
        <v>17168</v>
      </c>
      <c r="J1816" s="7">
        <f>Table1[[#This Row],[Clicks]]/Table1[[#This Row],[Impressions]]</f>
        <v>4.1797388928246131E-2</v>
      </c>
      <c r="K1816" s="7">
        <f>IFERROR(Table1[[#This Row],[Conversions]]/Table1[[#This Row],[Clicks]],0)</f>
        <v>0.11702986279257466</v>
      </c>
      <c r="L1816" s="6">
        <f>IF(Table1[[#This Row],[Conversions]]=0,0,Table1[[#This Row],[Ad Spend]]/Table1[[#This Row],[Conversions]])</f>
        <v>9.3697931034482753</v>
      </c>
      <c r="M1816" s="8">
        <f>IF(Table1[[#This Row],[Ad Spend]]=0,0,Table1[[#This Row],[Revenue]]/Table1[[#This Row],[Ad Spend]])</f>
        <v>12.636351592056647</v>
      </c>
      <c r="N1816">
        <f>YEAR(Table1[[#This Row],[Date]])</f>
        <v>2024</v>
      </c>
      <c r="O1816" t="str">
        <f>TEXT(Table1[[#This Row],[Date]],"mmm")</f>
        <v>May</v>
      </c>
      <c r="P1816">
        <f>MONTH(Table1[[#This Row],[Date]])</f>
        <v>5</v>
      </c>
    </row>
    <row r="1817" spans="1:16" x14ac:dyDescent="0.25">
      <c r="A1817" t="s">
        <v>1836</v>
      </c>
      <c r="B1817" t="s">
        <v>31</v>
      </c>
      <c r="C1817" t="s">
        <v>19</v>
      </c>
      <c r="D1817" s="1">
        <v>45450</v>
      </c>
      <c r="E1817">
        <v>149867</v>
      </c>
      <c r="F1817">
        <v>9651</v>
      </c>
      <c r="G1817">
        <v>1265</v>
      </c>
      <c r="H1817" s="4">
        <v>1239.47</v>
      </c>
      <c r="I1817" s="4">
        <v>77241.8</v>
      </c>
      <c r="J1817" s="7">
        <f>Table1[[#This Row],[Clicks]]/Table1[[#This Row],[Impressions]]</f>
        <v>6.4397098760901328E-2</v>
      </c>
      <c r="K1817" s="7">
        <f>IFERROR(Table1[[#This Row],[Conversions]]/Table1[[#This Row],[Clicks]],0)</f>
        <v>0.1310745000518081</v>
      </c>
      <c r="L1817" s="6">
        <f>IF(Table1[[#This Row],[Conversions]]=0,0,Table1[[#This Row],[Ad Spend]]/Table1[[#This Row],[Conversions]])</f>
        <v>0.97981818181818181</v>
      </c>
      <c r="M1817" s="8">
        <f>IF(Table1[[#This Row],[Ad Spend]]=0,0,Table1[[#This Row],[Revenue]]/Table1[[#This Row],[Ad Spend]])</f>
        <v>62.318410288268375</v>
      </c>
      <c r="N1817">
        <f>YEAR(Table1[[#This Row],[Date]])</f>
        <v>2024</v>
      </c>
      <c r="O1817" t="str">
        <f>TEXT(Table1[[#This Row],[Date]],"mmm")</f>
        <v>Jun</v>
      </c>
      <c r="P1817">
        <f>MONTH(Table1[[#This Row],[Date]])</f>
        <v>6</v>
      </c>
    </row>
    <row r="1818" spans="1:16" x14ac:dyDescent="0.25">
      <c r="A1818" t="s">
        <v>1837</v>
      </c>
      <c r="B1818" t="s">
        <v>31</v>
      </c>
      <c r="C1818" t="s">
        <v>37</v>
      </c>
      <c r="D1818" s="1">
        <v>45595</v>
      </c>
      <c r="E1818">
        <v>12401</v>
      </c>
      <c r="F1818">
        <v>936</v>
      </c>
      <c r="G1818">
        <v>72</v>
      </c>
      <c r="H1818" s="4">
        <v>2609.9499999999998</v>
      </c>
      <c r="I1818" s="4">
        <v>4774.8999999999996</v>
      </c>
      <c r="J1818" s="7">
        <f>Table1[[#This Row],[Clicks]]/Table1[[#This Row],[Impressions]]</f>
        <v>7.547778404967341E-2</v>
      </c>
      <c r="K1818" s="7">
        <f>IFERROR(Table1[[#This Row],[Conversions]]/Table1[[#This Row],[Clicks]],0)</f>
        <v>7.6923076923076927E-2</v>
      </c>
      <c r="L1818" s="6">
        <f>IF(Table1[[#This Row],[Conversions]]=0,0,Table1[[#This Row],[Ad Spend]]/Table1[[#This Row],[Conversions]])</f>
        <v>36.249305555555551</v>
      </c>
      <c r="M1818" s="8">
        <f>IF(Table1[[#This Row],[Ad Spend]]=0,0,Table1[[#This Row],[Revenue]]/Table1[[#This Row],[Ad Spend]])</f>
        <v>1.8294986493994139</v>
      </c>
      <c r="N1818">
        <f>YEAR(Table1[[#This Row],[Date]])</f>
        <v>2024</v>
      </c>
      <c r="O1818" t="str">
        <f>TEXT(Table1[[#This Row],[Date]],"mmm")</f>
        <v>Oct</v>
      </c>
      <c r="P1818">
        <f>MONTH(Table1[[#This Row],[Date]])</f>
        <v>10</v>
      </c>
    </row>
    <row r="1819" spans="1:16" x14ac:dyDescent="0.25">
      <c r="A1819" t="s">
        <v>1838</v>
      </c>
      <c r="B1819" t="s">
        <v>21</v>
      </c>
      <c r="C1819" t="s">
        <v>12</v>
      </c>
      <c r="D1819" s="1">
        <v>45626</v>
      </c>
      <c r="E1819">
        <v>17770</v>
      </c>
      <c r="F1819">
        <v>492</v>
      </c>
      <c r="G1819">
        <v>17</v>
      </c>
      <c r="H1819" s="4">
        <v>2680.33</v>
      </c>
      <c r="I1819" s="4">
        <v>635.66</v>
      </c>
      <c r="J1819" s="7">
        <f>Table1[[#This Row],[Clicks]]/Table1[[#This Row],[Impressions]]</f>
        <v>2.7687113111986496E-2</v>
      </c>
      <c r="K1819" s="7">
        <f>IFERROR(Table1[[#This Row],[Conversions]]/Table1[[#This Row],[Clicks]],0)</f>
        <v>3.4552845528455285E-2</v>
      </c>
      <c r="L1819" s="6">
        <f>IF(Table1[[#This Row],[Conversions]]=0,0,Table1[[#This Row],[Ad Spend]]/Table1[[#This Row],[Conversions]])</f>
        <v>157.66647058823528</v>
      </c>
      <c r="M1819" s="8">
        <f>IF(Table1[[#This Row],[Ad Spend]]=0,0,Table1[[#This Row],[Revenue]]/Table1[[#This Row],[Ad Spend]])</f>
        <v>0.23715736495133061</v>
      </c>
      <c r="N1819">
        <f>YEAR(Table1[[#This Row],[Date]])</f>
        <v>2024</v>
      </c>
      <c r="O1819" t="str">
        <f>TEXT(Table1[[#This Row],[Date]],"mmm")</f>
        <v>Nov</v>
      </c>
      <c r="P1819">
        <f>MONTH(Table1[[#This Row],[Date]])</f>
        <v>11</v>
      </c>
    </row>
    <row r="1820" spans="1:16" x14ac:dyDescent="0.25">
      <c r="A1820" t="s">
        <v>1839</v>
      </c>
      <c r="B1820" t="s">
        <v>41</v>
      </c>
      <c r="C1820" t="s">
        <v>19</v>
      </c>
      <c r="D1820" s="1">
        <v>45375</v>
      </c>
      <c r="E1820">
        <v>15437</v>
      </c>
      <c r="F1820">
        <v>468</v>
      </c>
      <c r="G1820">
        <v>29</v>
      </c>
      <c r="H1820" s="4">
        <v>726.44</v>
      </c>
      <c r="I1820" s="4">
        <v>1028.9100000000001</v>
      </c>
      <c r="J1820" s="7">
        <f>Table1[[#This Row],[Clicks]]/Table1[[#This Row],[Impressions]]</f>
        <v>3.0316771393405453E-2</v>
      </c>
      <c r="K1820" s="7">
        <f>IFERROR(Table1[[#This Row],[Conversions]]/Table1[[#This Row],[Clicks]],0)</f>
        <v>6.1965811965811968E-2</v>
      </c>
      <c r="L1820" s="6">
        <f>IF(Table1[[#This Row],[Conversions]]=0,0,Table1[[#This Row],[Ad Spend]]/Table1[[#This Row],[Conversions]])</f>
        <v>25.049655172413797</v>
      </c>
      <c r="M1820" s="8">
        <f>IF(Table1[[#This Row],[Ad Spend]]=0,0,Table1[[#This Row],[Revenue]]/Table1[[#This Row],[Ad Spend]])</f>
        <v>1.4163729970816585</v>
      </c>
      <c r="N1820">
        <f>YEAR(Table1[[#This Row],[Date]])</f>
        <v>2024</v>
      </c>
      <c r="O1820" t="str">
        <f>TEXT(Table1[[#This Row],[Date]],"mmm")</f>
        <v>Mar</v>
      </c>
      <c r="P1820">
        <f>MONTH(Table1[[#This Row],[Date]])</f>
        <v>3</v>
      </c>
    </row>
    <row r="1821" spans="1:16" x14ac:dyDescent="0.25">
      <c r="A1821" t="s">
        <v>1840</v>
      </c>
      <c r="B1821" t="s">
        <v>9</v>
      </c>
      <c r="C1821" t="s">
        <v>37</v>
      </c>
      <c r="D1821" s="1">
        <v>45538</v>
      </c>
      <c r="E1821">
        <v>132466</v>
      </c>
      <c r="F1821">
        <v>3633</v>
      </c>
      <c r="G1821">
        <v>255</v>
      </c>
      <c r="H1821" s="4">
        <v>3773.75</v>
      </c>
      <c r="I1821" s="4">
        <v>21773.72</v>
      </c>
      <c r="J1821" s="7">
        <f>Table1[[#This Row],[Clicks]]/Table1[[#This Row],[Impressions]]</f>
        <v>2.7425905515377529E-2</v>
      </c>
      <c r="K1821" s="7">
        <f>IFERROR(Table1[[#This Row],[Conversions]]/Table1[[#This Row],[Clicks]],0)</f>
        <v>7.0189925681255164E-2</v>
      </c>
      <c r="L1821" s="6">
        <f>IF(Table1[[#This Row],[Conversions]]=0,0,Table1[[#This Row],[Ad Spend]]/Table1[[#This Row],[Conversions]])</f>
        <v>14.799019607843137</v>
      </c>
      <c r="M1821" s="8">
        <f>IF(Table1[[#This Row],[Ad Spend]]=0,0,Table1[[#This Row],[Revenue]]/Table1[[#This Row],[Ad Spend]])</f>
        <v>5.7697833719774767</v>
      </c>
      <c r="N1821">
        <f>YEAR(Table1[[#This Row],[Date]])</f>
        <v>2024</v>
      </c>
      <c r="O1821" t="str">
        <f>TEXT(Table1[[#This Row],[Date]],"mmm")</f>
        <v>Sept</v>
      </c>
      <c r="P1821">
        <f>MONTH(Table1[[#This Row],[Date]])</f>
        <v>9</v>
      </c>
    </row>
    <row r="1822" spans="1:16" x14ac:dyDescent="0.25">
      <c r="A1822" t="s">
        <v>1841</v>
      </c>
      <c r="B1822" t="s">
        <v>16</v>
      </c>
      <c r="C1822" t="s">
        <v>17</v>
      </c>
      <c r="D1822" s="1">
        <v>45314</v>
      </c>
      <c r="E1822">
        <v>84240</v>
      </c>
      <c r="F1822">
        <v>1919</v>
      </c>
      <c r="G1822">
        <v>123</v>
      </c>
      <c r="H1822" s="4">
        <v>3478.56</v>
      </c>
      <c r="I1822" s="4">
        <v>12860.12</v>
      </c>
      <c r="J1822" s="7">
        <f>Table1[[#This Row],[Clicks]]/Table1[[#This Row],[Impressions]]</f>
        <v>2.2780151946818615E-2</v>
      </c>
      <c r="K1822" s="7">
        <f>IFERROR(Table1[[#This Row],[Conversions]]/Table1[[#This Row],[Clicks]],0)</f>
        <v>6.4095883272537776E-2</v>
      </c>
      <c r="L1822" s="6">
        <f>IF(Table1[[#This Row],[Conversions]]=0,0,Table1[[#This Row],[Ad Spend]]/Table1[[#This Row],[Conversions]])</f>
        <v>28.280975609756098</v>
      </c>
      <c r="M1822" s="8">
        <f>IF(Table1[[#This Row],[Ad Spend]]=0,0,Table1[[#This Row],[Revenue]]/Table1[[#This Row],[Ad Spend]])</f>
        <v>3.6969665608757651</v>
      </c>
      <c r="N1822">
        <f>YEAR(Table1[[#This Row],[Date]])</f>
        <v>2024</v>
      </c>
      <c r="O1822" t="str">
        <f>TEXT(Table1[[#This Row],[Date]],"mmm")</f>
        <v>Jan</v>
      </c>
      <c r="P1822">
        <f>MONTH(Table1[[#This Row],[Date]])</f>
        <v>1</v>
      </c>
    </row>
    <row r="1823" spans="1:16" x14ac:dyDescent="0.25">
      <c r="A1823" t="s">
        <v>1842</v>
      </c>
      <c r="B1823" t="s">
        <v>14</v>
      </c>
      <c r="C1823" t="s">
        <v>17</v>
      </c>
      <c r="D1823" s="1">
        <v>45705</v>
      </c>
      <c r="E1823">
        <v>35432</v>
      </c>
      <c r="F1823">
        <v>606</v>
      </c>
      <c r="G1823">
        <v>23</v>
      </c>
      <c r="H1823" s="4">
        <v>3753.71</v>
      </c>
      <c r="I1823" s="4">
        <v>2637.35</v>
      </c>
      <c r="J1823" s="7">
        <f>Table1[[#This Row],[Clicks]]/Table1[[#This Row],[Impressions]]</f>
        <v>1.710318356288101E-2</v>
      </c>
      <c r="K1823" s="7">
        <f>IFERROR(Table1[[#This Row],[Conversions]]/Table1[[#This Row],[Clicks]],0)</f>
        <v>3.7953795379537955E-2</v>
      </c>
      <c r="L1823" s="6">
        <f>IF(Table1[[#This Row],[Conversions]]=0,0,Table1[[#This Row],[Ad Spend]]/Table1[[#This Row],[Conversions]])</f>
        <v>163.20478260869567</v>
      </c>
      <c r="M1823" s="8">
        <f>IF(Table1[[#This Row],[Ad Spend]]=0,0,Table1[[#This Row],[Revenue]]/Table1[[#This Row],[Ad Spend]])</f>
        <v>0.70259822948496287</v>
      </c>
      <c r="N1823">
        <f>YEAR(Table1[[#This Row],[Date]])</f>
        <v>2025</v>
      </c>
      <c r="O1823" t="str">
        <f>TEXT(Table1[[#This Row],[Date]],"mmm")</f>
        <v>Feb</v>
      </c>
      <c r="P1823">
        <f>MONTH(Table1[[#This Row],[Date]])</f>
        <v>2</v>
      </c>
    </row>
    <row r="1824" spans="1:16" x14ac:dyDescent="0.25">
      <c r="A1824" t="s">
        <v>1843</v>
      </c>
      <c r="B1824" t="s">
        <v>31</v>
      </c>
      <c r="C1824" t="s">
        <v>17</v>
      </c>
      <c r="D1824" s="1">
        <v>45546</v>
      </c>
      <c r="E1824">
        <v>101121</v>
      </c>
      <c r="F1824">
        <v>6633</v>
      </c>
      <c r="G1824">
        <v>503</v>
      </c>
      <c r="H1824" s="4">
        <v>3600.36</v>
      </c>
      <c r="I1824" s="4">
        <v>55213.78</v>
      </c>
      <c r="J1824" s="7">
        <f>Table1[[#This Row],[Clicks]]/Table1[[#This Row],[Impressions]]</f>
        <v>6.5594683596878992E-2</v>
      </c>
      <c r="K1824" s="7">
        <f>IFERROR(Table1[[#This Row],[Conversions]]/Table1[[#This Row],[Clicks]],0)</f>
        <v>7.5832956429971357E-2</v>
      </c>
      <c r="L1824" s="6">
        <f>IF(Table1[[#This Row],[Conversions]]=0,0,Table1[[#This Row],[Ad Spend]]/Table1[[#This Row],[Conversions]])</f>
        <v>7.1577733598409541</v>
      </c>
      <c r="M1824" s="8">
        <f>IF(Table1[[#This Row],[Ad Spend]]=0,0,Table1[[#This Row],[Revenue]]/Table1[[#This Row],[Ad Spend]])</f>
        <v>15.335627548356275</v>
      </c>
      <c r="N1824">
        <f>YEAR(Table1[[#This Row],[Date]])</f>
        <v>2024</v>
      </c>
      <c r="O1824" t="str">
        <f>TEXT(Table1[[#This Row],[Date]],"mmm")</f>
        <v>Sept</v>
      </c>
      <c r="P1824">
        <f>MONTH(Table1[[#This Row],[Date]])</f>
        <v>9</v>
      </c>
    </row>
    <row r="1825" spans="1:16" x14ac:dyDescent="0.25">
      <c r="A1825" t="s">
        <v>1844</v>
      </c>
      <c r="B1825" t="s">
        <v>47</v>
      </c>
      <c r="C1825" t="s">
        <v>12</v>
      </c>
      <c r="D1825" s="1">
        <v>45346</v>
      </c>
      <c r="E1825">
        <v>114739</v>
      </c>
      <c r="F1825">
        <v>4951</v>
      </c>
      <c r="G1825">
        <v>278</v>
      </c>
      <c r="H1825" s="4">
        <v>2874.95</v>
      </c>
      <c r="I1825" s="4">
        <v>17298.7</v>
      </c>
      <c r="J1825" s="7">
        <f>Table1[[#This Row],[Clicks]]/Table1[[#This Row],[Impressions]]</f>
        <v>4.3150105892503857E-2</v>
      </c>
      <c r="K1825" s="7">
        <f>IFERROR(Table1[[#This Row],[Conversions]]/Table1[[#This Row],[Clicks]],0)</f>
        <v>5.6150272672187439E-2</v>
      </c>
      <c r="L1825" s="6">
        <f>IF(Table1[[#This Row],[Conversions]]=0,0,Table1[[#This Row],[Ad Spend]]/Table1[[#This Row],[Conversions]])</f>
        <v>10.341546762589928</v>
      </c>
      <c r="M1825" s="8">
        <f>IF(Table1[[#This Row],[Ad Spend]]=0,0,Table1[[#This Row],[Revenue]]/Table1[[#This Row],[Ad Spend]])</f>
        <v>6.0170437746743426</v>
      </c>
      <c r="N1825">
        <f>YEAR(Table1[[#This Row],[Date]])</f>
        <v>2024</v>
      </c>
      <c r="O1825" t="str">
        <f>TEXT(Table1[[#This Row],[Date]],"mmm")</f>
        <v>Feb</v>
      </c>
      <c r="P1825">
        <f>MONTH(Table1[[#This Row],[Date]])</f>
        <v>2</v>
      </c>
    </row>
    <row r="1826" spans="1:16" x14ac:dyDescent="0.25">
      <c r="A1826" t="s">
        <v>1845</v>
      </c>
      <c r="B1826" t="s">
        <v>9</v>
      </c>
      <c r="C1826" t="s">
        <v>10</v>
      </c>
      <c r="D1826" s="1">
        <v>45426</v>
      </c>
      <c r="E1826">
        <v>98753</v>
      </c>
      <c r="F1826">
        <v>4268</v>
      </c>
      <c r="G1826">
        <v>366</v>
      </c>
      <c r="H1826" s="4">
        <v>1367.51</v>
      </c>
      <c r="I1826" s="4">
        <v>41279.96</v>
      </c>
      <c r="J1826" s="7">
        <f>Table1[[#This Row],[Clicks]]/Table1[[#This Row],[Impressions]]</f>
        <v>4.3218940184095674E-2</v>
      </c>
      <c r="K1826" s="7">
        <f>IFERROR(Table1[[#This Row],[Conversions]]/Table1[[#This Row],[Clicks]],0)</f>
        <v>8.575445173383317E-2</v>
      </c>
      <c r="L1826" s="6">
        <f>IF(Table1[[#This Row],[Conversions]]=0,0,Table1[[#This Row],[Ad Spend]]/Table1[[#This Row],[Conversions]])</f>
        <v>3.7363661202185794</v>
      </c>
      <c r="M1826" s="8">
        <f>IF(Table1[[#This Row],[Ad Spend]]=0,0,Table1[[#This Row],[Revenue]]/Table1[[#This Row],[Ad Spend]])</f>
        <v>30.186221672967655</v>
      </c>
      <c r="N1826">
        <f>YEAR(Table1[[#This Row],[Date]])</f>
        <v>2024</v>
      </c>
      <c r="O1826" t="str">
        <f>TEXT(Table1[[#This Row],[Date]],"mmm")</f>
        <v>May</v>
      </c>
      <c r="P1826">
        <f>MONTH(Table1[[#This Row],[Date]])</f>
        <v>5</v>
      </c>
    </row>
    <row r="1827" spans="1:16" x14ac:dyDescent="0.25">
      <c r="A1827" t="s">
        <v>1846</v>
      </c>
      <c r="B1827" t="s">
        <v>16</v>
      </c>
      <c r="C1827" t="s">
        <v>10</v>
      </c>
      <c r="D1827" s="1">
        <v>45304</v>
      </c>
      <c r="E1827">
        <v>47466</v>
      </c>
      <c r="F1827">
        <v>761</v>
      </c>
      <c r="G1827">
        <v>33</v>
      </c>
      <c r="H1827" s="4">
        <v>1143.28</v>
      </c>
      <c r="I1827" s="4">
        <v>2837.54</v>
      </c>
      <c r="J1827" s="7">
        <f>Table1[[#This Row],[Clicks]]/Table1[[#This Row],[Impressions]]</f>
        <v>1.6032528546749251E-2</v>
      </c>
      <c r="K1827" s="7">
        <f>IFERROR(Table1[[#This Row],[Conversions]]/Table1[[#This Row],[Clicks]],0)</f>
        <v>4.3363994743758211E-2</v>
      </c>
      <c r="L1827" s="6">
        <f>IF(Table1[[#This Row],[Conversions]]=0,0,Table1[[#This Row],[Ad Spend]]/Table1[[#This Row],[Conversions]])</f>
        <v>34.644848484848481</v>
      </c>
      <c r="M1827" s="8">
        <f>IF(Table1[[#This Row],[Ad Spend]]=0,0,Table1[[#This Row],[Revenue]]/Table1[[#This Row],[Ad Spend]])</f>
        <v>2.4819291862011057</v>
      </c>
      <c r="N1827">
        <f>YEAR(Table1[[#This Row],[Date]])</f>
        <v>2024</v>
      </c>
      <c r="O1827" t="str">
        <f>TEXT(Table1[[#This Row],[Date]],"mmm")</f>
        <v>Jan</v>
      </c>
      <c r="P1827">
        <f>MONTH(Table1[[#This Row],[Date]])</f>
        <v>1</v>
      </c>
    </row>
    <row r="1828" spans="1:16" x14ac:dyDescent="0.25">
      <c r="A1828" t="s">
        <v>1847</v>
      </c>
      <c r="B1828" t="s">
        <v>47</v>
      </c>
      <c r="C1828" t="s">
        <v>12</v>
      </c>
      <c r="D1828" s="1">
        <v>45426</v>
      </c>
      <c r="E1828">
        <v>130273</v>
      </c>
      <c r="F1828">
        <v>1912</v>
      </c>
      <c r="G1828">
        <v>234</v>
      </c>
      <c r="H1828" s="4">
        <v>1090.45</v>
      </c>
      <c r="I1828" s="4">
        <v>14350.18</v>
      </c>
      <c r="J1828" s="7">
        <f>Table1[[#This Row],[Clicks]]/Table1[[#This Row],[Impressions]]</f>
        <v>1.467687087884673E-2</v>
      </c>
      <c r="K1828" s="7">
        <f>IFERROR(Table1[[#This Row],[Conversions]]/Table1[[#This Row],[Clicks]],0)</f>
        <v>0.12238493723849372</v>
      </c>
      <c r="L1828" s="6">
        <f>IF(Table1[[#This Row],[Conversions]]=0,0,Table1[[#This Row],[Ad Spend]]/Table1[[#This Row],[Conversions]])</f>
        <v>4.6600427350427349</v>
      </c>
      <c r="M1828" s="8">
        <f>IF(Table1[[#This Row],[Ad Spend]]=0,0,Table1[[#This Row],[Revenue]]/Table1[[#This Row],[Ad Spend]])</f>
        <v>13.159869778531798</v>
      </c>
      <c r="N1828">
        <f>YEAR(Table1[[#This Row],[Date]])</f>
        <v>2024</v>
      </c>
      <c r="O1828" t="str">
        <f>TEXT(Table1[[#This Row],[Date]],"mmm")</f>
        <v>May</v>
      </c>
      <c r="P1828">
        <f>MONTH(Table1[[#This Row],[Date]])</f>
        <v>5</v>
      </c>
    </row>
    <row r="1829" spans="1:16" x14ac:dyDescent="0.25">
      <c r="A1829" t="s">
        <v>1848</v>
      </c>
      <c r="B1829" t="s">
        <v>31</v>
      </c>
      <c r="C1829" t="s">
        <v>37</v>
      </c>
      <c r="D1829" s="1">
        <v>45395</v>
      </c>
      <c r="E1829">
        <v>43636</v>
      </c>
      <c r="F1829">
        <v>1353</v>
      </c>
      <c r="G1829">
        <v>158</v>
      </c>
      <c r="H1829" s="4">
        <v>2075.41</v>
      </c>
      <c r="I1829" s="4">
        <v>9035.3700000000008</v>
      </c>
      <c r="J1829" s="7">
        <f>Table1[[#This Row],[Clicks]]/Table1[[#This Row],[Impressions]]</f>
        <v>3.1006508387569895E-2</v>
      </c>
      <c r="K1829" s="7">
        <f>IFERROR(Table1[[#This Row],[Conversions]]/Table1[[#This Row],[Clicks]],0)</f>
        <v>0.11677753141167775</v>
      </c>
      <c r="L1829" s="6">
        <f>IF(Table1[[#This Row],[Conversions]]=0,0,Table1[[#This Row],[Ad Spend]]/Table1[[#This Row],[Conversions]])</f>
        <v>13.135506329113923</v>
      </c>
      <c r="M1829" s="8">
        <f>IF(Table1[[#This Row],[Ad Spend]]=0,0,Table1[[#This Row],[Revenue]]/Table1[[#This Row],[Ad Spend]])</f>
        <v>4.3535349641757541</v>
      </c>
      <c r="N1829">
        <f>YEAR(Table1[[#This Row],[Date]])</f>
        <v>2024</v>
      </c>
      <c r="O1829" t="str">
        <f>TEXT(Table1[[#This Row],[Date]],"mmm")</f>
        <v>Apr</v>
      </c>
      <c r="P1829">
        <f>MONTH(Table1[[#This Row],[Date]])</f>
        <v>4</v>
      </c>
    </row>
    <row r="1830" spans="1:16" x14ac:dyDescent="0.25">
      <c r="A1830" t="s">
        <v>1849</v>
      </c>
      <c r="B1830" t="s">
        <v>31</v>
      </c>
      <c r="C1830" t="s">
        <v>10</v>
      </c>
      <c r="D1830" s="1">
        <v>45560</v>
      </c>
      <c r="E1830">
        <v>74700</v>
      </c>
      <c r="F1830">
        <v>3808</v>
      </c>
      <c r="G1830">
        <v>80</v>
      </c>
      <c r="H1830" s="4">
        <v>4425.8500000000004</v>
      </c>
      <c r="I1830" s="4">
        <v>2696.49</v>
      </c>
      <c r="J1830" s="7">
        <f>Table1[[#This Row],[Clicks]]/Table1[[#This Row],[Impressions]]</f>
        <v>5.097724230254351E-2</v>
      </c>
      <c r="K1830" s="7">
        <f>IFERROR(Table1[[#This Row],[Conversions]]/Table1[[#This Row],[Clicks]],0)</f>
        <v>2.100840336134454E-2</v>
      </c>
      <c r="L1830" s="6">
        <f>IF(Table1[[#This Row],[Conversions]]=0,0,Table1[[#This Row],[Ad Spend]]/Table1[[#This Row],[Conversions]])</f>
        <v>55.323125000000005</v>
      </c>
      <c r="M1830" s="8">
        <f>IF(Table1[[#This Row],[Ad Spend]]=0,0,Table1[[#This Row],[Revenue]]/Table1[[#This Row],[Ad Spend]])</f>
        <v>0.60925923833839812</v>
      </c>
      <c r="N1830">
        <f>YEAR(Table1[[#This Row],[Date]])</f>
        <v>2024</v>
      </c>
      <c r="O1830" t="str">
        <f>TEXT(Table1[[#This Row],[Date]],"mmm")</f>
        <v>Sept</v>
      </c>
      <c r="P1830">
        <f>MONTH(Table1[[#This Row],[Date]])</f>
        <v>9</v>
      </c>
    </row>
    <row r="1831" spans="1:16" x14ac:dyDescent="0.25">
      <c r="A1831" t="s">
        <v>1850</v>
      </c>
      <c r="B1831" t="s">
        <v>14</v>
      </c>
      <c r="C1831" t="s">
        <v>17</v>
      </c>
      <c r="D1831" s="1">
        <v>45702</v>
      </c>
      <c r="E1831">
        <v>60983</v>
      </c>
      <c r="F1831">
        <v>1415</v>
      </c>
      <c r="G1831">
        <v>115</v>
      </c>
      <c r="H1831" s="4">
        <v>2497.92</v>
      </c>
      <c r="I1831" s="4">
        <v>3439.04</v>
      </c>
      <c r="J1831" s="7">
        <f>Table1[[#This Row],[Clicks]]/Table1[[#This Row],[Impressions]]</f>
        <v>2.3203187773641835E-2</v>
      </c>
      <c r="K1831" s="7">
        <f>IFERROR(Table1[[#This Row],[Conversions]]/Table1[[#This Row],[Clicks]],0)</f>
        <v>8.1272084805653705E-2</v>
      </c>
      <c r="L1831" s="6">
        <f>IF(Table1[[#This Row],[Conversions]]=0,0,Table1[[#This Row],[Ad Spend]]/Table1[[#This Row],[Conversions]])</f>
        <v>21.721043478260871</v>
      </c>
      <c r="M1831" s="8">
        <f>IF(Table1[[#This Row],[Ad Spend]]=0,0,Table1[[#This Row],[Revenue]]/Table1[[#This Row],[Ad Spend]])</f>
        <v>1.3767614655393288</v>
      </c>
      <c r="N1831">
        <f>YEAR(Table1[[#This Row],[Date]])</f>
        <v>2025</v>
      </c>
      <c r="O1831" t="str">
        <f>TEXT(Table1[[#This Row],[Date]],"mmm")</f>
        <v>Feb</v>
      </c>
      <c r="P1831">
        <f>MONTH(Table1[[#This Row],[Date]])</f>
        <v>2</v>
      </c>
    </row>
    <row r="1832" spans="1:16" x14ac:dyDescent="0.25">
      <c r="A1832" t="s">
        <v>1851</v>
      </c>
      <c r="B1832" t="s">
        <v>21</v>
      </c>
      <c r="C1832" t="s">
        <v>12</v>
      </c>
      <c r="D1832" s="1">
        <v>45616</v>
      </c>
      <c r="E1832">
        <v>146925</v>
      </c>
      <c r="F1832">
        <v>10300</v>
      </c>
      <c r="G1832">
        <v>300</v>
      </c>
      <c r="H1832" s="4">
        <v>3402</v>
      </c>
      <c r="I1832" s="4">
        <v>31735.37</v>
      </c>
      <c r="J1832" s="7">
        <f>Table1[[#This Row],[Clicks]]/Table1[[#This Row],[Impressions]]</f>
        <v>7.0103794452952187E-2</v>
      </c>
      <c r="K1832" s="7">
        <f>IFERROR(Table1[[#This Row],[Conversions]]/Table1[[#This Row],[Clicks]],0)</f>
        <v>2.9126213592233011E-2</v>
      </c>
      <c r="L1832" s="6">
        <f>IF(Table1[[#This Row],[Conversions]]=0,0,Table1[[#This Row],[Ad Spend]]/Table1[[#This Row],[Conversions]])</f>
        <v>11.34</v>
      </c>
      <c r="M1832" s="8">
        <f>IF(Table1[[#This Row],[Ad Spend]]=0,0,Table1[[#This Row],[Revenue]]/Table1[[#This Row],[Ad Spend]])</f>
        <v>9.3284450323339208</v>
      </c>
      <c r="N1832">
        <f>YEAR(Table1[[#This Row],[Date]])</f>
        <v>2024</v>
      </c>
      <c r="O1832" t="str">
        <f>TEXT(Table1[[#This Row],[Date]],"mmm")</f>
        <v>Nov</v>
      </c>
      <c r="P1832">
        <f>MONTH(Table1[[#This Row],[Date]])</f>
        <v>11</v>
      </c>
    </row>
    <row r="1833" spans="1:16" x14ac:dyDescent="0.25">
      <c r="A1833" t="s">
        <v>1852</v>
      </c>
      <c r="B1833" t="s">
        <v>16</v>
      </c>
      <c r="C1833" t="s">
        <v>10</v>
      </c>
      <c r="D1833" s="1">
        <v>45536</v>
      </c>
      <c r="E1833">
        <v>139580</v>
      </c>
      <c r="F1833">
        <v>11067</v>
      </c>
      <c r="G1833">
        <v>325</v>
      </c>
      <c r="H1833" s="4">
        <v>990.72</v>
      </c>
      <c r="I1833" s="4">
        <v>26875.58</v>
      </c>
      <c r="J1833" s="7">
        <f>Table1[[#This Row],[Clicks]]/Table1[[#This Row],[Impressions]]</f>
        <v>7.928786359077232E-2</v>
      </c>
      <c r="K1833" s="7">
        <f>IFERROR(Table1[[#This Row],[Conversions]]/Table1[[#This Row],[Clicks]],0)</f>
        <v>2.9366585343814946E-2</v>
      </c>
      <c r="L1833" s="6">
        <f>IF(Table1[[#This Row],[Conversions]]=0,0,Table1[[#This Row],[Ad Spend]]/Table1[[#This Row],[Conversions]])</f>
        <v>3.0483692307692309</v>
      </c>
      <c r="M1833" s="8">
        <f>IF(Table1[[#This Row],[Ad Spend]]=0,0,Table1[[#This Row],[Revenue]]/Table1[[#This Row],[Ad Spend]])</f>
        <v>27.12732154392765</v>
      </c>
      <c r="N1833">
        <f>YEAR(Table1[[#This Row],[Date]])</f>
        <v>2024</v>
      </c>
      <c r="O1833" t="str">
        <f>TEXT(Table1[[#This Row],[Date]],"mmm")</f>
        <v>Sept</v>
      </c>
      <c r="P1833">
        <f>MONTH(Table1[[#This Row],[Date]])</f>
        <v>9</v>
      </c>
    </row>
    <row r="1834" spans="1:16" x14ac:dyDescent="0.25">
      <c r="A1834" t="s">
        <v>1853</v>
      </c>
      <c r="B1834" t="s">
        <v>21</v>
      </c>
      <c r="C1834" t="s">
        <v>19</v>
      </c>
      <c r="D1834" s="1">
        <v>45407</v>
      </c>
      <c r="E1834">
        <v>73804</v>
      </c>
      <c r="F1834">
        <v>2837</v>
      </c>
      <c r="G1834">
        <v>334</v>
      </c>
      <c r="H1834" s="4">
        <v>405.96</v>
      </c>
      <c r="I1834" s="4">
        <v>17384.29</v>
      </c>
      <c r="J1834" s="7">
        <f>Table1[[#This Row],[Clicks]]/Table1[[#This Row],[Impressions]]</f>
        <v>3.8439650967427241E-2</v>
      </c>
      <c r="K1834" s="7">
        <f>IFERROR(Table1[[#This Row],[Conversions]]/Table1[[#This Row],[Clicks]],0)</f>
        <v>0.11772999647514981</v>
      </c>
      <c r="L1834" s="6">
        <f>IF(Table1[[#This Row],[Conversions]]=0,0,Table1[[#This Row],[Ad Spend]]/Table1[[#This Row],[Conversions]])</f>
        <v>1.2154491017964071</v>
      </c>
      <c r="M1834" s="8">
        <f>IF(Table1[[#This Row],[Ad Spend]]=0,0,Table1[[#This Row],[Revenue]]/Table1[[#This Row],[Ad Spend]])</f>
        <v>42.822667257857923</v>
      </c>
      <c r="N1834">
        <f>YEAR(Table1[[#This Row],[Date]])</f>
        <v>2024</v>
      </c>
      <c r="O1834" t="str">
        <f>TEXT(Table1[[#This Row],[Date]],"mmm")</f>
        <v>Apr</v>
      </c>
      <c r="P1834">
        <f>MONTH(Table1[[#This Row],[Date]])</f>
        <v>4</v>
      </c>
    </row>
    <row r="1835" spans="1:16" x14ac:dyDescent="0.25">
      <c r="A1835" t="s">
        <v>1854</v>
      </c>
      <c r="B1835" t="s">
        <v>21</v>
      </c>
      <c r="C1835" t="s">
        <v>10</v>
      </c>
      <c r="D1835" s="1">
        <v>45390</v>
      </c>
      <c r="E1835">
        <v>102958</v>
      </c>
      <c r="F1835">
        <v>3845</v>
      </c>
      <c r="G1835">
        <v>380</v>
      </c>
      <c r="H1835" s="4">
        <v>4361.29</v>
      </c>
      <c r="I1835" s="4">
        <v>36047.120000000003</v>
      </c>
      <c r="J1835" s="7">
        <f>Table1[[#This Row],[Clicks]]/Table1[[#This Row],[Impressions]]</f>
        <v>3.7345325278268809E-2</v>
      </c>
      <c r="K1835" s="7">
        <f>IFERROR(Table1[[#This Row],[Conversions]]/Table1[[#This Row],[Clicks]],0)</f>
        <v>9.8829648894668401E-2</v>
      </c>
      <c r="L1835" s="6">
        <f>IF(Table1[[#This Row],[Conversions]]=0,0,Table1[[#This Row],[Ad Spend]]/Table1[[#This Row],[Conversions]])</f>
        <v>11.477078947368421</v>
      </c>
      <c r="M1835" s="8">
        <f>IF(Table1[[#This Row],[Ad Spend]]=0,0,Table1[[#This Row],[Revenue]]/Table1[[#This Row],[Ad Spend]])</f>
        <v>8.2652426231688345</v>
      </c>
      <c r="N1835">
        <f>YEAR(Table1[[#This Row],[Date]])</f>
        <v>2024</v>
      </c>
      <c r="O1835" t="str">
        <f>TEXT(Table1[[#This Row],[Date]],"mmm")</f>
        <v>Apr</v>
      </c>
      <c r="P1835">
        <f>MONTH(Table1[[#This Row],[Date]])</f>
        <v>4</v>
      </c>
    </row>
    <row r="1836" spans="1:16" x14ac:dyDescent="0.25">
      <c r="A1836" t="s">
        <v>1855</v>
      </c>
      <c r="B1836" t="s">
        <v>16</v>
      </c>
      <c r="C1836" t="s">
        <v>17</v>
      </c>
      <c r="D1836" s="1">
        <v>45606</v>
      </c>
      <c r="E1836">
        <v>138574</v>
      </c>
      <c r="F1836">
        <v>10006</v>
      </c>
      <c r="G1836">
        <v>1040</v>
      </c>
      <c r="H1836" s="4">
        <v>3826.06</v>
      </c>
      <c r="I1836" s="4">
        <v>37157.65</v>
      </c>
      <c r="J1836" s="7">
        <f>Table1[[#This Row],[Clicks]]/Table1[[#This Row],[Impressions]]</f>
        <v>7.2206907500685549E-2</v>
      </c>
      <c r="K1836" s="7">
        <f>IFERROR(Table1[[#This Row],[Conversions]]/Table1[[#This Row],[Clicks]],0)</f>
        <v>0.10393763741754947</v>
      </c>
      <c r="L1836" s="6">
        <f>IF(Table1[[#This Row],[Conversions]]=0,0,Table1[[#This Row],[Ad Spend]]/Table1[[#This Row],[Conversions]])</f>
        <v>3.6789038461538461</v>
      </c>
      <c r="M1836" s="8">
        <f>IF(Table1[[#This Row],[Ad Spend]]=0,0,Table1[[#This Row],[Revenue]]/Table1[[#This Row],[Ad Spend]])</f>
        <v>9.7117269462580307</v>
      </c>
      <c r="N1836">
        <f>YEAR(Table1[[#This Row],[Date]])</f>
        <v>2024</v>
      </c>
      <c r="O1836" t="str">
        <f>TEXT(Table1[[#This Row],[Date]],"mmm")</f>
        <v>Nov</v>
      </c>
      <c r="P1836">
        <f>MONTH(Table1[[#This Row],[Date]])</f>
        <v>11</v>
      </c>
    </row>
    <row r="1837" spans="1:16" x14ac:dyDescent="0.25">
      <c r="A1837" t="s">
        <v>1856</v>
      </c>
      <c r="B1837" t="s">
        <v>34</v>
      </c>
      <c r="C1837" t="s">
        <v>17</v>
      </c>
      <c r="D1837" s="1">
        <v>45687</v>
      </c>
      <c r="E1837">
        <v>24675</v>
      </c>
      <c r="F1837">
        <v>994</v>
      </c>
      <c r="G1837">
        <v>23</v>
      </c>
      <c r="H1837" s="4">
        <v>518.4</v>
      </c>
      <c r="I1837" s="4">
        <v>655.14</v>
      </c>
      <c r="J1837" s="7">
        <f>Table1[[#This Row],[Clicks]]/Table1[[#This Row],[Impressions]]</f>
        <v>4.0283687943262411E-2</v>
      </c>
      <c r="K1837" s="7">
        <f>IFERROR(Table1[[#This Row],[Conversions]]/Table1[[#This Row],[Clicks]],0)</f>
        <v>2.3138832997987926E-2</v>
      </c>
      <c r="L1837" s="6">
        <f>IF(Table1[[#This Row],[Conversions]]=0,0,Table1[[#This Row],[Ad Spend]]/Table1[[#This Row],[Conversions]])</f>
        <v>22.539130434782606</v>
      </c>
      <c r="M1837" s="8">
        <f>IF(Table1[[#This Row],[Ad Spend]]=0,0,Table1[[#This Row],[Revenue]]/Table1[[#This Row],[Ad Spend]])</f>
        <v>1.2637731481481482</v>
      </c>
      <c r="N1837">
        <f>YEAR(Table1[[#This Row],[Date]])</f>
        <v>2025</v>
      </c>
      <c r="O1837" t="str">
        <f>TEXT(Table1[[#This Row],[Date]],"mmm")</f>
        <v>Jan</v>
      </c>
      <c r="P1837">
        <f>MONTH(Table1[[#This Row],[Date]])</f>
        <v>1</v>
      </c>
    </row>
    <row r="1838" spans="1:16" x14ac:dyDescent="0.25">
      <c r="A1838" t="s">
        <v>1857</v>
      </c>
      <c r="B1838" t="s">
        <v>16</v>
      </c>
      <c r="C1838" t="s">
        <v>10</v>
      </c>
      <c r="D1838" s="1">
        <v>45481</v>
      </c>
      <c r="E1838">
        <v>77715</v>
      </c>
      <c r="F1838">
        <v>2916</v>
      </c>
      <c r="G1838">
        <v>234</v>
      </c>
      <c r="H1838" s="4">
        <v>4072.69</v>
      </c>
      <c r="I1838" s="4">
        <v>26140.39</v>
      </c>
      <c r="J1838" s="7">
        <f>Table1[[#This Row],[Clicks]]/Table1[[#This Row],[Impressions]]</f>
        <v>3.7521713954834973E-2</v>
      </c>
      <c r="K1838" s="7">
        <f>IFERROR(Table1[[#This Row],[Conversions]]/Table1[[#This Row],[Clicks]],0)</f>
        <v>8.0246913580246909E-2</v>
      </c>
      <c r="L1838" s="6">
        <f>IF(Table1[[#This Row],[Conversions]]=0,0,Table1[[#This Row],[Ad Spend]]/Table1[[#This Row],[Conversions]])</f>
        <v>17.404658119658119</v>
      </c>
      <c r="M1838" s="8">
        <f>IF(Table1[[#This Row],[Ad Spend]]=0,0,Table1[[#This Row],[Revenue]]/Table1[[#This Row],[Ad Spend]])</f>
        <v>6.4184580707100221</v>
      </c>
      <c r="N1838">
        <f>YEAR(Table1[[#This Row],[Date]])</f>
        <v>2024</v>
      </c>
      <c r="O1838" t="str">
        <f>TEXT(Table1[[#This Row],[Date]],"mmm")</f>
        <v>Jul</v>
      </c>
      <c r="P1838">
        <f>MONTH(Table1[[#This Row],[Date]])</f>
        <v>7</v>
      </c>
    </row>
    <row r="1839" spans="1:16" x14ac:dyDescent="0.25">
      <c r="A1839" t="s">
        <v>1858</v>
      </c>
      <c r="B1839" t="s">
        <v>34</v>
      </c>
      <c r="C1839" t="s">
        <v>12</v>
      </c>
      <c r="D1839" s="1">
        <v>45601</v>
      </c>
      <c r="E1839">
        <v>90744</v>
      </c>
      <c r="F1839">
        <v>6747</v>
      </c>
      <c r="G1839">
        <v>885</v>
      </c>
      <c r="H1839" s="4">
        <v>2455.58</v>
      </c>
      <c r="I1839" s="4">
        <v>60869.19</v>
      </c>
      <c r="J1839" s="7">
        <f>Table1[[#This Row],[Clicks]]/Table1[[#This Row],[Impressions]]</f>
        <v>7.4352023274266071E-2</v>
      </c>
      <c r="K1839" s="7">
        <f>IFERROR(Table1[[#This Row],[Conversions]]/Table1[[#This Row],[Clicks]],0)</f>
        <v>0.13116940862605603</v>
      </c>
      <c r="L1839" s="6">
        <f>IF(Table1[[#This Row],[Conversions]]=0,0,Table1[[#This Row],[Ad Spend]]/Table1[[#This Row],[Conversions]])</f>
        <v>2.7746666666666666</v>
      </c>
      <c r="M1839" s="8">
        <f>IF(Table1[[#This Row],[Ad Spend]]=0,0,Table1[[#This Row],[Revenue]]/Table1[[#This Row],[Ad Spend]])</f>
        <v>24.788111159074436</v>
      </c>
      <c r="N1839">
        <f>YEAR(Table1[[#This Row],[Date]])</f>
        <v>2024</v>
      </c>
      <c r="O1839" t="str">
        <f>TEXT(Table1[[#This Row],[Date]],"mmm")</f>
        <v>Nov</v>
      </c>
      <c r="P1839">
        <f>MONTH(Table1[[#This Row],[Date]])</f>
        <v>11</v>
      </c>
    </row>
    <row r="1840" spans="1:16" x14ac:dyDescent="0.25">
      <c r="A1840" t="s">
        <v>1859</v>
      </c>
      <c r="B1840" t="s">
        <v>16</v>
      </c>
      <c r="C1840" t="s">
        <v>17</v>
      </c>
      <c r="D1840" s="1">
        <v>45464</v>
      </c>
      <c r="E1840">
        <v>28851</v>
      </c>
      <c r="F1840">
        <v>1684</v>
      </c>
      <c r="G1840">
        <v>247</v>
      </c>
      <c r="H1840" s="4">
        <v>2757.15</v>
      </c>
      <c r="I1840" s="4">
        <v>20164.259999999998</v>
      </c>
      <c r="J1840" s="7">
        <f>Table1[[#This Row],[Clicks]]/Table1[[#This Row],[Impressions]]</f>
        <v>5.8368860698069389E-2</v>
      </c>
      <c r="K1840" s="7">
        <f>IFERROR(Table1[[#This Row],[Conversions]]/Table1[[#This Row],[Clicks]],0)</f>
        <v>0.14667458432304037</v>
      </c>
      <c r="L1840" s="6">
        <f>IF(Table1[[#This Row],[Conversions]]=0,0,Table1[[#This Row],[Ad Spend]]/Table1[[#This Row],[Conversions]])</f>
        <v>11.16255060728745</v>
      </c>
      <c r="M1840" s="8">
        <f>IF(Table1[[#This Row],[Ad Spend]]=0,0,Table1[[#This Row],[Revenue]]/Table1[[#This Row],[Ad Spend]])</f>
        <v>7.3134432294216847</v>
      </c>
      <c r="N1840">
        <f>YEAR(Table1[[#This Row],[Date]])</f>
        <v>2024</v>
      </c>
      <c r="O1840" t="str">
        <f>TEXT(Table1[[#This Row],[Date]],"mmm")</f>
        <v>Jun</v>
      </c>
      <c r="P1840">
        <f>MONTH(Table1[[#This Row],[Date]])</f>
        <v>6</v>
      </c>
    </row>
    <row r="1841" spans="1:16" x14ac:dyDescent="0.25">
      <c r="A1841" t="s">
        <v>1860</v>
      </c>
      <c r="B1841" t="s">
        <v>9</v>
      </c>
      <c r="C1841" t="s">
        <v>19</v>
      </c>
      <c r="D1841" s="1">
        <v>45614</v>
      </c>
      <c r="E1841">
        <v>75310</v>
      </c>
      <c r="F1841">
        <v>5677</v>
      </c>
      <c r="G1841">
        <v>759</v>
      </c>
      <c r="H1841" s="4">
        <v>3053.28</v>
      </c>
      <c r="I1841" s="4">
        <v>32473.23</v>
      </c>
      <c r="J1841" s="7">
        <f>Table1[[#This Row],[Clicks]]/Table1[[#This Row],[Impressions]]</f>
        <v>7.5381755410968004E-2</v>
      </c>
      <c r="K1841" s="7">
        <f>IFERROR(Table1[[#This Row],[Conversions]]/Table1[[#This Row],[Clicks]],0)</f>
        <v>0.13369737537431742</v>
      </c>
      <c r="L1841" s="6">
        <f>IF(Table1[[#This Row],[Conversions]]=0,0,Table1[[#This Row],[Ad Spend]]/Table1[[#This Row],[Conversions]])</f>
        <v>4.0227667984189726</v>
      </c>
      <c r="M1841" s="8">
        <f>IF(Table1[[#This Row],[Ad Spend]]=0,0,Table1[[#This Row],[Revenue]]/Table1[[#This Row],[Ad Spend]])</f>
        <v>10.635523109573965</v>
      </c>
      <c r="N1841">
        <f>YEAR(Table1[[#This Row],[Date]])</f>
        <v>2024</v>
      </c>
      <c r="O1841" t="str">
        <f>TEXT(Table1[[#This Row],[Date]],"mmm")</f>
        <v>Nov</v>
      </c>
      <c r="P1841">
        <f>MONTH(Table1[[#This Row],[Date]])</f>
        <v>11</v>
      </c>
    </row>
    <row r="1842" spans="1:16" x14ac:dyDescent="0.25">
      <c r="A1842" t="s">
        <v>1861</v>
      </c>
      <c r="B1842" t="s">
        <v>47</v>
      </c>
      <c r="C1842" t="s">
        <v>37</v>
      </c>
      <c r="D1842" s="1">
        <v>45581</v>
      </c>
      <c r="E1842">
        <v>55139</v>
      </c>
      <c r="F1842">
        <v>1896</v>
      </c>
      <c r="G1842">
        <v>113</v>
      </c>
      <c r="H1842" s="4">
        <v>4163.53</v>
      </c>
      <c r="I1842" s="4">
        <v>8109.69</v>
      </c>
      <c r="J1842" s="7">
        <f>Table1[[#This Row],[Clicks]]/Table1[[#This Row],[Impressions]]</f>
        <v>3.4385824915214275E-2</v>
      </c>
      <c r="K1842" s="7">
        <f>IFERROR(Table1[[#This Row],[Conversions]]/Table1[[#This Row],[Clicks]],0)</f>
        <v>5.9599156118143461E-2</v>
      </c>
      <c r="L1842" s="6">
        <f>IF(Table1[[#This Row],[Conversions]]=0,0,Table1[[#This Row],[Ad Spend]]/Table1[[#This Row],[Conversions]])</f>
        <v>36.845398230088492</v>
      </c>
      <c r="M1842" s="8">
        <f>IF(Table1[[#This Row],[Ad Spend]]=0,0,Table1[[#This Row],[Revenue]]/Table1[[#This Row],[Ad Spend]])</f>
        <v>1.9477918977406192</v>
      </c>
      <c r="N1842">
        <f>YEAR(Table1[[#This Row],[Date]])</f>
        <v>2024</v>
      </c>
      <c r="O1842" t="str">
        <f>TEXT(Table1[[#This Row],[Date]],"mmm")</f>
        <v>Oct</v>
      </c>
      <c r="P1842">
        <f>MONTH(Table1[[#This Row],[Date]])</f>
        <v>10</v>
      </c>
    </row>
    <row r="1843" spans="1:16" x14ac:dyDescent="0.25">
      <c r="A1843" t="s">
        <v>1862</v>
      </c>
      <c r="B1843" t="s">
        <v>21</v>
      </c>
      <c r="C1843" t="s">
        <v>19</v>
      </c>
      <c r="D1843" s="1">
        <v>45427</v>
      </c>
      <c r="E1843">
        <v>116109</v>
      </c>
      <c r="F1843">
        <v>6604</v>
      </c>
      <c r="G1843">
        <v>293</v>
      </c>
      <c r="H1843" s="4">
        <v>3142.66</v>
      </c>
      <c r="I1843" s="4">
        <v>28915.98</v>
      </c>
      <c r="J1843" s="7">
        <f>Table1[[#This Row],[Clicks]]/Table1[[#This Row],[Impressions]]</f>
        <v>5.6877589161908208E-2</v>
      </c>
      <c r="K1843" s="7">
        <f>IFERROR(Table1[[#This Row],[Conversions]]/Table1[[#This Row],[Clicks]],0)</f>
        <v>4.4367050272562082E-2</v>
      </c>
      <c r="L1843" s="6">
        <f>IF(Table1[[#This Row],[Conversions]]=0,0,Table1[[#This Row],[Ad Spend]]/Table1[[#This Row],[Conversions]])</f>
        <v>10.725802047781569</v>
      </c>
      <c r="M1843" s="8">
        <f>IF(Table1[[#This Row],[Ad Spend]]=0,0,Table1[[#This Row],[Revenue]]/Table1[[#This Row],[Ad Spend]])</f>
        <v>9.2011162518376164</v>
      </c>
      <c r="N1843">
        <f>YEAR(Table1[[#This Row],[Date]])</f>
        <v>2024</v>
      </c>
      <c r="O1843" t="str">
        <f>TEXT(Table1[[#This Row],[Date]],"mmm")</f>
        <v>May</v>
      </c>
      <c r="P1843">
        <f>MONTH(Table1[[#This Row],[Date]])</f>
        <v>5</v>
      </c>
    </row>
    <row r="1844" spans="1:16" x14ac:dyDescent="0.25">
      <c r="A1844" t="s">
        <v>1863</v>
      </c>
      <c r="B1844" t="s">
        <v>34</v>
      </c>
      <c r="C1844" t="s">
        <v>37</v>
      </c>
      <c r="D1844" s="1">
        <v>45643</v>
      </c>
      <c r="E1844">
        <v>99761</v>
      </c>
      <c r="F1844">
        <v>5974</v>
      </c>
      <c r="G1844">
        <v>548</v>
      </c>
      <c r="H1844" s="4">
        <v>1181.43</v>
      </c>
      <c r="I1844" s="4">
        <v>36315.440000000002</v>
      </c>
      <c r="J1844" s="7">
        <f>Table1[[#This Row],[Clicks]]/Table1[[#This Row],[Impressions]]</f>
        <v>5.9883120658373513E-2</v>
      </c>
      <c r="K1844" s="7">
        <f>IFERROR(Table1[[#This Row],[Conversions]]/Table1[[#This Row],[Clicks]],0)</f>
        <v>9.1730833612320054E-2</v>
      </c>
      <c r="L1844" s="6">
        <f>IF(Table1[[#This Row],[Conversions]]=0,0,Table1[[#This Row],[Ad Spend]]/Table1[[#This Row],[Conversions]])</f>
        <v>2.1558941605839417</v>
      </c>
      <c r="M1844" s="8">
        <f>IF(Table1[[#This Row],[Ad Spend]]=0,0,Table1[[#This Row],[Revenue]]/Table1[[#This Row],[Ad Spend]])</f>
        <v>30.738545660767038</v>
      </c>
      <c r="N1844">
        <f>YEAR(Table1[[#This Row],[Date]])</f>
        <v>2024</v>
      </c>
      <c r="O1844" t="str">
        <f>TEXT(Table1[[#This Row],[Date]],"mmm")</f>
        <v>Dec</v>
      </c>
      <c r="P1844">
        <f>MONTH(Table1[[#This Row],[Date]])</f>
        <v>12</v>
      </c>
    </row>
    <row r="1845" spans="1:16" x14ac:dyDescent="0.25">
      <c r="A1845" t="s">
        <v>1864</v>
      </c>
      <c r="B1845" t="s">
        <v>16</v>
      </c>
      <c r="C1845" t="s">
        <v>10</v>
      </c>
      <c r="D1845" s="1">
        <v>45662</v>
      </c>
      <c r="E1845">
        <v>81404</v>
      </c>
      <c r="F1845">
        <v>4452</v>
      </c>
      <c r="G1845">
        <v>208</v>
      </c>
      <c r="H1845" s="4">
        <v>3991.74</v>
      </c>
      <c r="I1845" s="4">
        <v>21432.1</v>
      </c>
      <c r="J1845" s="7">
        <f>Table1[[#This Row],[Clicks]]/Table1[[#This Row],[Impressions]]</f>
        <v>5.4690187214387502E-2</v>
      </c>
      <c r="K1845" s="7">
        <f>IFERROR(Table1[[#This Row],[Conversions]]/Table1[[#This Row],[Clicks]],0)</f>
        <v>4.6720575022461817E-2</v>
      </c>
      <c r="L1845" s="6">
        <f>IF(Table1[[#This Row],[Conversions]]=0,0,Table1[[#This Row],[Ad Spend]]/Table1[[#This Row],[Conversions]])</f>
        <v>19.191057692307691</v>
      </c>
      <c r="M1845" s="8">
        <f>IF(Table1[[#This Row],[Ad Spend]]=0,0,Table1[[#This Row],[Revenue]]/Table1[[#This Row],[Ad Spend]])</f>
        <v>5.369112216727542</v>
      </c>
      <c r="N1845">
        <f>YEAR(Table1[[#This Row],[Date]])</f>
        <v>2025</v>
      </c>
      <c r="O1845" t="str">
        <f>TEXT(Table1[[#This Row],[Date]],"mmm")</f>
        <v>Jan</v>
      </c>
      <c r="P1845">
        <f>MONTH(Table1[[#This Row],[Date]])</f>
        <v>1</v>
      </c>
    </row>
    <row r="1846" spans="1:16" x14ac:dyDescent="0.25">
      <c r="A1846" t="s">
        <v>1865</v>
      </c>
      <c r="B1846" t="s">
        <v>16</v>
      </c>
      <c r="C1846" t="s">
        <v>17</v>
      </c>
      <c r="D1846" s="1">
        <v>45483</v>
      </c>
      <c r="E1846">
        <v>69391</v>
      </c>
      <c r="F1846">
        <v>2596</v>
      </c>
      <c r="G1846">
        <v>293</v>
      </c>
      <c r="H1846" s="4">
        <v>4675.92</v>
      </c>
      <c r="I1846" s="4">
        <v>19311.02</v>
      </c>
      <c r="J1846" s="7">
        <f>Table1[[#This Row],[Clicks]]/Table1[[#This Row],[Impressions]]</f>
        <v>3.7411191653096226E-2</v>
      </c>
      <c r="K1846" s="7">
        <f>IFERROR(Table1[[#This Row],[Conversions]]/Table1[[#This Row],[Clicks]],0)</f>
        <v>0.11286594761171033</v>
      </c>
      <c r="L1846" s="6">
        <f>IF(Table1[[#This Row],[Conversions]]=0,0,Table1[[#This Row],[Ad Spend]]/Table1[[#This Row],[Conversions]])</f>
        <v>15.958771331058021</v>
      </c>
      <c r="M1846" s="8">
        <f>IF(Table1[[#This Row],[Ad Spend]]=0,0,Table1[[#This Row],[Revenue]]/Table1[[#This Row],[Ad Spend]])</f>
        <v>4.1298867388663618</v>
      </c>
      <c r="N1846">
        <f>YEAR(Table1[[#This Row],[Date]])</f>
        <v>2024</v>
      </c>
      <c r="O1846" t="str">
        <f>TEXT(Table1[[#This Row],[Date]],"mmm")</f>
        <v>Jul</v>
      </c>
      <c r="P1846">
        <f>MONTH(Table1[[#This Row],[Date]])</f>
        <v>7</v>
      </c>
    </row>
    <row r="1847" spans="1:16" x14ac:dyDescent="0.25">
      <c r="A1847" t="s">
        <v>1866</v>
      </c>
      <c r="B1847" t="s">
        <v>47</v>
      </c>
      <c r="C1847" t="s">
        <v>37</v>
      </c>
      <c r="D1847" s="1">
        <v>45422</v>
      </c>
      <c r="E1847">
        <v>23887</v>
      </c>
      <c r="F1847">
        <v>661</v>
      </c>
      <c r="G1847">
        <v>96</v>
      </c>
      <c r="H1847" s="4">
        <v>4102.95</v>
      </c>
      <c r="I1847" s="4">
        <v>11365.13</v>
      </c>
      <c r="J1847" s="7">
        <f>Table1[[#This Row],[Clicks]]/Table1[[#This Row],[Impressions]]</f>
        <v>2.7671955456943106E-2</v>
      </c>
      <c r="K1847" s="7">
        <f>IFERROR(Table1[[#This Row],[Conversions]]/Table1[[#This Row],[Clicks]],0)</f>
        <v>0.14523449319213314</v>
      </c>
      <c r="L1847" s="6">
        <f>IF(Table1[[#This Row],[Conversions]]=0,0,Table1[[#This Row],[Ad Spend]]/Table1[[#This Row],[Conversions]])</f>
        <v>42.739062499999996</v>
      </c>
      <c r="M1847" s="8">
        <f>IF(Table1[[#This Row],[Ad Spend]]=0,0,Table1[[#This Row],[Revenue]]/Table1[[#This Row],[Ad Spend]])</f>
        <v>2.7699898853264115</v>
      </c>
      <c r="N1847">
        <f>YEAR(Table1[[#This Row],[Date]])</f>
        <v>2024</v>
      </c>
      <c r="O1847" t="str">
        <f>TEXT(Table1[[#This Row],[Date]],"mmm")</f>
        <v>May</v>
      </c>
      <c r="P1847">
        <f>MONTH(Table1[[#This Row],[Date]])</f>
        <v>5</v>
      </c>
    </row>
    <row r="1848" spans="1:16" x14ac:dyDescent="0.25">
      <c r="A1848" t="s">
        <v>1867</v>
      </c>
      <c r="B1848" t="s">
        <v>31</v>
      </c>
      <c r="C1848" t="s">
        <v>10</v>
      </c>
      <c r="D1848" s="1">
        <v>45388</v>
      </c>
      <c r="E1848">
        <v>71797</v>
      </c>
      <c r="F1848">
        <v>5380</v>
      </c>
      <c r="G1848">
        <v>425</v>
      </c>
      <c r="H1848" s="4">
        <v>4956.1000000000004</v>
      </c>
      <c r="I1848" s="4">
        <v>33302.300000000003</v>
      </c>
      <c r="J1848" s="7">
        <f>Table1[[#This Row],[Clicks]]/Table1[[#This Row],[Impressions]]</f>
        <v>7.4933493042884797E-2</v>
      </c>
      <c r="K1848" s="7">
        <f>IFERROR(Table1[[#This Row],[Conversions]]/Table1[[#This Row],[Clicks]],0)</f>
        <v>7.8996282527881045E-2</v>
      </c>
      <c r="L1848" s="6">
        <f>IF(Table1[[#This Row],[Conversions]]=0,0,Table1[[#This Row],[Ad Spend]]/Table1[[#This Row],[Conversions]])</f>
        <v>11.661411764705884</v>
      </c>
      <c r="M1848" s="8">
        <f>IF(Table1[[#This Row],[Ad Spend]]=0,0,Table1[[#This Row],[Revenue]]/Table1[[#This Row],[Ad Spend]])</f>
        <v>6.719456830975969</v>
      </c>
      <c r="N1848">
        <f>YEAR(Table1[[#This Row],[Date]])</f>
        <v>2024</v>
      </c>
      <c r="O1848" t="str">
        <f>TEXT(Table1[[#This Row],[Date]],"mmm")</f>
        <v>Apr</v>
      </c>
      <c r="P1848">
        <f>MONTH(Table1[[#This Row],[Date]])</f>
        <v>4</v>
      </c>
    </row>
    <row r="1849" spans="1:16" x14ac:dyDescent="0.25">
      <c r="A1849" t="s">
        <v>1868</v>
      </c>
      <c r="B1849" t="s">
        <v>34</v>
      </c>
      <c r="C1849" t="s">
        <v>12</v>
      </c>
      <c r="D1849" s="1">
        <v>45582</v>
      </c>
      <c r="E1849">
        <v>115229</v>
      </c>
      <c r="F1849">
        <v>2758</v>
      </c>
      <c r="G1849">
        <v>73</v>
      </c>
      <c r="H1849" s="4">
        <v>2253</v>
      </c>
      <c r="I1849" s="4">
        <v>8626.39</v>
      </c>
      <c r="J1849" s="7">
        <f>Table1[[#This Row],[Clicks]]/Table1[[#This Row],[Impressions]]</f>
        <v>2.3934946931761968E-2</v>
      </c>
      <c r="K1849" s="7">
        <f>IFERROR(Table1[[#This Row],[Conversions]]/Table1[[#This Row],[Clicks]],0)</f>
        <v>2.6468455402465556E-2</v>
      </c>
      <c r="L1849" s="6">
        <f>IF(Table1[[#This Row],[Conversions]]=0,0,Table1[[#This Row],[Ad Spend]]/Table1[[#This Row],[Conversions]])</f>
        <v>30.863013698630137</v>
      </c>
      <c r="M1849" s="8">
        <f>IF(Table1[[#This Row],[Ad Spend]]=0,0,Table1[[#This Row],[Revenue]]/Table1[[#This Row],[Ad Spend]])</f>
        <v>3.8288459831335993</v>
      </c>
      <c r="N1849">
        <f>YEAR(Table1[[#This Row],[Date]])</f>
        <v>2024</v>
      </c>
      <c r="O1849" t="str">
        <f>TEXT(Table1[[#This Row],[Date]],"mmm")</f>
        <v>Oct</v>
      </c>
      <c r="P1849">
        <f>MONTH(Table1[[#This Row],[Date]])</f>
        <v>10</v>
      </c>
    </row>
    <row r="1850" spans="1:16" x14ac:dyDescent="0.25">
      <c r="A1850" t="s">
        <v>1869</v>
      </c>
      <c r="B1850" t="s">
        <v>9</v>
      </c>
      <c r="C1850" t="s">
        <v>17</v>
      </c>
      <c r="D1850" s="1">
        <v>45515</v>
      </c>
      <c r="E1850">
        <v>106419</v>
      </c>
      <c r="F1850">
        <v>3396</v>
      </c>
      <c r="G1850">
        <v>129</v>
      </c>
      <c r="H1850" s="4">
        <v>790</v>
      </c>
      <c r="I1850" s="4">
        <v>12385.61</v>
      </c>
      <c r="J1850" s="7">
        <f>Table1[[#This Row],[Clicks]]/Table1[[#This Row],[Impressions]]</f>
        <v>3.1911594734023059E-2</v>
      </c>
      <c r="K1850" s="7">
        <f>IFERROR(Table1[[#This Row],[Conversions]]/Table1[[#This Row],[Clicks]],0)</f>
        <v>3.7985865724381625E-2</v>
      </c>
      <c r="L1850" s="6">
        <f>IF(Table1[[#This Row],[Conversions]]=0,0,Table1[[#This Row],[Ad Spend]]/Table1[[#This Row],[Conversions]])</f>
        <v>6.1240310077519382</v>
      </c>
      <c r="M1850" s="8">
        <f>IF(Table1[[#This Row],[Ad Spend]]=0,0,Table1[[#This Row],[Revenue]]/Table1[[#This Row],[Ad Spend]])</f>
        <v>15.677987341772152</v>
      </c>
      <c r="N1850">
        <f>YEAR(Table1[[#This Row],[Date]])</f>
        <v>2024</v>
      </c>
      <c r="O1850" t="str">
        <f>TEXT(Table1[[#This Row],[Date]],"mmm")</f>
        <v>Aug</v>
      </c>
      <c r="P1850">
        <f>MONTH(Table1[[#This Row],[Date]])</f>
        <v>8</v>
      </c>
    </row>
    <row r="1851" spans="1:16" x14ac:dyDescent="0.25">
      <c r="A1851" t="s">
        <v>1870</v>
      </c>
      <c r="B1851" t="s">
        <v>31</v>
      </c>
      <c r="C1851" t="s">
        <v>10</v>
      </c>
      <c r="D1851" s="1">
        <v>45327</v>
      </c>
      <c r="E1851">
        <v>77707</v>
      </c>
      <c r="F1851">
        <v>1361</v>
      </c>
      <c r="G1851">
        <v>121</v>
      </c>
      <c r="H1851" s="4">
        <v>811.63</v>
      </c>
      <c r="I1851" s="4">
        <v>3580.28</v>
      </c>
      <c r="J1851" s="7">
        <f>Table1[[#This Row],[Clicks]]/Table1[[#This Row],[Impressions]]</f>
        <v>1.7514509632336854E-2</v>
      </c>
      <c r="K1851" s="7">
        <f>IFERROR(Table1[[#This Row],[Conversions]]/Table1[[#This Row],[Clicks]],0)</f>
        <v>8.8905216752387953E-2</v>
      </c>
      <c r="L1851" s="6">
        <f>IF(Table1[[#This Row],[Conversions]]=0,0,Table1[[#This Row],[Ad Spend]]/Table1[[#This Row],[Conversions]])</f>
        <v>6.7076859504132234</v>
      </c>
      <c r="M1851" s="8">
        <f>IF(Table1[[#This Row],[Ad Spend]]=0,0,Table1[[#This Row],[Revenue]]/Table1[[#This Row],[Ad Spend]])</f>
        <v>4.4112218621785795</v>
      </c>
      <c r="N1851">
        <f>YEAR(Table1[[#This Row],[Date]])</f>
        <v>2024</v>
      </c>
      <c r="O1851" t="str">
        <f>TEXT(Table1[[#This Row],[Date]],"mmm")</f>
        <v>Feb</v>
      </c>
      <c r="P1851">
        <f>MONTH(Table1[[#This Row],[Date]])</f>
        <v>2</v>
      </c>
    </row>
    <row r="1852" spans="1:16" x14ac:dyDescent="0.25">
      <c r="A1852" t="s">
        <v>1871</v>
      </c>
      <c r="B1852" t="s">
        <v>21</v>
      </c>
      <c r="C1852" t="s">
        <v>37</v>
      </c>
      <c r="D1852" s="1">
        <v>45312</v>
      </c>
      <c r="E1852">
        <v>20697</v>
      </c>
      <c r="F1852">
        <v>221</v>
      </c>
      <c r="G1852">
        <v>14</v>
      </c>
      <c r="H1852" s="4">
        <v>3196.93</v>
      </c>
      <c r="I1852" s="4">
        <v>668.04</v>
      </c>
      <c r="J1852" s="7">
        <f>Table1[[#This Row],[Clicks]]/Table1[[#This Row],[Impressions]]</f>
        <v>1.0677876020679326E-2</v>
      </c>
      <c r="K1852" s="7">
        <f>IFERROR(Table1[[#This Row],[Conversions]]/Table1[[#This Row],[Clicks]],0)</f>
        <v>6.3348416289592757E-2</v>
      </c>
      <c r="L1852" s="6">
        <f>IF(Table1[[#This Row],[Conversions]]=0,0,Table1[[#This Row],[Ad Spend]]/Table1[[#This Row],[Conversions]])</f>
        <v>228.35214285714284</v>
      </c>
      <c r="M1852" s="8">
        <f>IF(Table1[[#This Row],[Ad Spend]]=0,0,Table1[[#This Row],[Revenue]]/Table1[[#This Row],[Ad Spend]])</f>
        <v>0.20896297385304027</v>
      </c>
      <c r="N1852">
        <f>YEAR(Table1[[#This Row],[Date]])</f>
        <v>2024</v>
      </c>
      <c r="O1852" t="str">
        <f>TEXT(Table1[[#This Row],[Date]],"mmm")</f>
        <v>Jan</v>
      </c>
      <c r="P1852">
        <f>MONTH(Table1[[#This Row],[Date]])</f>
        <v>1</v>
      </c>
    </row>
    <row r="1853" spans="1:16" x14ac:dyDescent="0.25">
      <c r="A1853" t="s">
        <v>1872</v>
      </c>
      <c r="B1853" t="s">
        <v>21</v>
      </c>
      <c r="C1853" t="s">
        <v>37</v>
      </c>
      <c r="D1853" s="1">
        <v>45410</v>
      </c>
      <c r="E1853">
        <v>62786</v>
      </c>
      <c r="F1853">
        <v>3345</v>
      </c>
      <c r="G1853">
        <v>315</v>
      </c>
      <c r="H1853" s="4">
        <v>1480.33</v>
      </c>
      <c r="I1853" s="4">
        <v>23707.4</v>
      </c>
      <c r="J1853" s="7">
        <f>Table1[[#This Row],[Clicks]]/Table1[[#This Row],[Impressions]]</f>
        <v>5.3276208071863153E-2</v>
      </c>
      <c r="K1853" s="7">
        <f>IFERROR(Table1[[#This Row],[Conversions]]/Table1[[#This Row],[Clicks]],0)</f>
        <v>9.417040358744394E-2</v>
      </c>
      <c r="L1853" s="6">
        <f>IF(Table1[[#This Row],[Conversions]]=0,0,Table1[[#This Row],[Ad Spend]]/Table1[[#This Row],[Conversions]])</f>
        <v>4.6994603174603169</v>
      </c>
      <c r="M1853" s="8">
        <f>IF(Table1[[#This Row],[Ad Spend]]=0,0,Table1[[#This Row],[Revenue]]/Table1[[#This Row],[Ad Spend]])</f>
        <v>16.014942614146847</v>
      </c>
      <c r="N1853">
        <f>YEAR(Table1[[#This Row],[Date]])</f>
        <v>2024</v>
      </c>
      <c r="O1853" t="str">
        <f>TEXT(Table1[[#This Row],[Date]],"mmm")</f>
        <v>Apr</v>
      </c>
      <c r="P1853">
        <f>MONTH(Table1[[#This Row],[Date]])</f>
        <v>4</v>
      </c>
    </row>
    <row r="1854" spans="1:16" x14ac:dyDescent="0.25">
      <c r="A1854" t="s">
        <v>1873</v>
      </c>
      <c r="B1854" t="s">
        <v>14</v>
      </c>
      <c r="C1854" t="s">
        <v>37</v>
      </c>
      <c r="D1854" s="1">
        <v>45303</v>
      </c>
      <c r="E1854">
        <v>88025</v>
      </c>
      <c r="F1854">
        <v>5577</v>
      </c>
      <c r="G1854">
        <v>236</v>
      </c>
      <c r="H1854" s="4">
        <v>4838.72</v>
      </c>
      <c r="I1854" s="4">
        <v>13765.22</v>
      </c>
      <c r="J1854" s="7">
        <f>Table1[[#This Row],[Clicks]]/Table1[[#This Row],[Impressions]]</f>
        <v>6.3357000852030679E-2</v>
      </c>
      <c r="K1854" s="7">
        <f>IFERROR(Table1[[#This Row],[Conversions]]/Table1[[#This Row],[Clicks]],0)</f>
        <v>4.2316657701273089E-2</v>
      </c>
      <c r="L1854" s="6">
        <f>IF(Table1[[#This Row],[Conversions]]=0,0,Table1[[#This Row],[Ad Spend]]/Table1[[#This Row],[Conversions]])</f>
        <v>20.503050847457629</v>
      </c>
      <c r="M1854" s="8">
        <f>IF(Table1[[#This Row],[Ad Spend]]=0,0,Table1[[#This Row],[Revenue]]/Table1[[#This Row],[Ad Spend]])</f>
        <v>2.8448060644137292</v>
      </c>
      <c r="N1854">
        <f>YEAR(Table1[[#This Row],[Date]])</f>
        <v>2024</v>
      </c>
      <c r="O1854" t="str">
        <f>TEXT(Table1[[#This Row],[Date]],"mmm")</f>
        <v>Jan</v>
      </c>
      <c r="P1854">
        <f>MONTH(Table1[[#This Row],[Date]])</f>
        <v>1</v>
      </c>
    </row>
    <row r="1855" spans="1:16" x14ac:dyDescent="0.25">
      <c r="A1855" t="s">
        <v>1874</v>
      </c>
      <c r="B1855" t="s">
        <v>31</v>
      </c>
      <c r="C1855" t="s">
        <v>37</v>
      </c>
      <c r="D1855" s="1">
        <v>45338</v>
      </c>
      <c r="E1855">
        <v>75707</v>
      </c>
      <c r="F1855">
        <v>5047</v>
      </c>
      <c r="G1855">
        <v>182</v>
      </c>
      <c r="H1855" s="4">
        <v>1381.73</v>
      </c>
      <c r="I1855" s="4">
        <v>11036.52</v>
      </c>
      <c r="J1855" s="7">
        <f>Table1[[#This Row],[Clicks]]/Table1[[#This Row],[Impressions]]</f>
        <v>6.6664905490905729E-2</v>
      </c>
      <c r="K1855" s="7">
        <f>IFERROR(Table1[[#This Row],[Conversions]]/Table1[[#This Row],[Clicks]],0)</f>
        <v>3.6061026352288486E-2</v>
      </c>
      <c r="L1855" s="6">
        <f>IF(Table1[[#This Row],[Conversions]]=0,0,Table1[[#This Row],[Ad Spend]]/Table1[[#This Row],[Conversions]])</f>
        <v>7.5919230769230772</v>
      </c>
      <c r="M1855" s="8">
        <f>IF(Table1[[#This Row],[Ad Spend]]=0,0,Table1[[#This Row],[Revenue]]/Table1[[#This Row],[Ad Spend]])</f>
        <v>7.9874649895420964</v>
      </c>
      <c r="N1855">
        <f>YEAR(Table1[[#This Row],[Date]])</f>
        <v>2024</v>
      </c>
      <c r="O1855" t="str">
        <f>TEXT(Table1[[#This Row],[Date]],"mmm")</f>
        <v>Feb</v>
      </c>
      <c r="P1855">
        <f>MONTH(Table1[[#This Row],[Date]])</f>
        <v>2</v>
      </c>
    </row>
    <row r="1856" spans="1:16" x14ac:dyDescent="0.25">
      <c r="A1856" t="s">
        <v>1875</v>
      </c>
      <c r="B1856" t="s">
        <v>14</v>
      </c>
      <c r="C1856" t="s">
        <v>17</v>
      </c>
      <c r="D1856" s="1">
        <v>45604</v>
      </c>
      <c r="E1856">
        <v>48422</v>
      </c>
      <c r="F1856">
        <v>3507</v>
      </c>
      <c r="G1856">
        <v>488</v>
      </c>
      <c r="H1856" s="4">
        <v>1541.46</v>
      </c>
      <c r="I1856" s="4">
        <v>9914.6200000000008</v>
      </c>
      <c r="J1856" s="7">
        <f>Table1[[#This Row],[Clicks]]/Table1[[#This Row],[Impressions]]</f>
        <v>7.2425756887365245E-2</v>
      </c>
      <c r="K1856" s="7">
        <f>IFERROR(Table1[[#This Row],[Conversions]]/Table1[[#This Row],[Clicks]],0)</f>
        <v>0.13915027088679782</v>
      </c>
      <c r="L1856" s="6">
        <f>IF(Table1[[#This Row],[Conversions]]=0,0,Table1[[#This Row],[Ad Spend]]/Table1[[#This Row],[Conversions]])</f>
        <v>3.1587295081967213</v>
      </c>
      <c r="M1856" s="8">
        <f>IF(Table1[[#This Row],[Ad Spend]]=0,0,Table1[[#This Row],[Revenue]]/Table1[[#This Row],[Ad Spend]])</f>
        <v>6.431967096129644</v>
      </c>
      <c r="N1856">
        <f>YEAR(Table1[[#This Row],[Date]])</f>
        <v>2024</v>
      </c>
      <c r="O1856" t="str">
        <f>TEXT(Table1[[#This Row],[Date]],"mmm")</f>
        <v>Nov</v>
      </c>
      <c r="P1856">
        <f>MONTH(Table1[[#This Row],[Date]])</f>
        <v>11</v>
      </c>
    </row>
    <row r="1857" spans="1:16" x14ac:dyDescent="0.25">
      <c r="A1857" t="s">
        <v>1876</v>
      </c>
      <c r="B1857" t="s">
        <v>34</v>
      </c>
      <c r="C1857" t="s">
        <v>17</v>
      </c>
      <c r="D1857" s="1">
        <v>45588</v>
      </c>
      <c r="E1857">
        <v>106371</v>
      </c>
      <c r="F1857">
        <v>4385</v>
      </c>
      <c r="G1857">
        <v>220</v>
      </c>
      <c r="H1857" s="4">
        <v>4266.95</v>
      </c>
      <c r="I1857" s="4">
        <v>13387.76</v>
      </c>
      <c r="J1857" s="7">
        <f>Table1[[#This Row],[Clicks]]/Table1[[#This Row],[Impressions]]</f>
        <v>4.1223641782064661E-2</v>
      </c>
      <c r="K1857" s="7">
        <f>IFERROR(Table1[[#This Row],[Conversions]]/Table1[[#This Row],[Clicks]],0)</f>
        <v>5.0171037628278223E-2</v>
      </c>
      <c r="L1857" s="6">
        <f>IF(Table1[[#This Row],[Conversions]]=0,0,Table1[[#This Row],[Ad Spend]]/Table1[[#This Row],[Conversions]])</f>
        <v>19.395227272727272</v>
      </c>
      <c r="M1857" s="8">
        <f>IF(Table1[[#This Row],[Ad Spend]]=0,0,Table1[[#This Row],[Revenue]]/Table1[[#This Row],[Ad Spend]])</f>
        <v>3.1375478972099513</v>
      </c>
      <c r="N1857">
        <f>YEAR(Table1[[#This Row],[Date]])</f>
        <v>2024</v>
      </c>
      <c r="O1857" t="str">
        <f>TEXT(Table1[[#This Row],[Date]],"mmm")</f>
        <v>Oct</v>
      </c>
      <c r="P1857">
        <f>MONTH(Table1[[#This Row],[Date]])</f>
        <v>10</v>
      </c>
    </row>
    <row r="1858" spans="1:16" x14ac:dyDescent="0.25">
      <c r="A1858" t="s">
        <v>1877</v>
      </c>
      <c r="B1858" t="s">
        <v>41</v>
      </c>
      <c r="C1858" t="s">
        <v>17</v>
      </c>
      <c r="D1858" s="1">
        <v>45368</v>
      </c>
      <c r="E1858">
        <v>105787</v>
      </c>
      <c r="F1858">
        <v>7356</v>
      </c>
      <c r="G1858">
        <v>864</v>
      </c>
      <c r="H1858" s="4">
        <v>310.52999999999997</v>
      </c>
      <c r="I1858" s="4">
        <v>83380.820000000007</v>
      </c>
      <c r="J1858" s="7">
        <f>Table1[[#This Row],[Clicks]]/Table1[[#This Row],[Impressions]]</f>
        <v>6.9535954323310042E-2</v>
      </c>
      <c r="K1858" s="7">
        <f>IFERROR(Table1[[#This Row],[Conversions]]/Table1[[#This Row],[Clicks]],0)</f>
        <v>0.11745513866231648</v>
      </c>
      <c r="L1858" s="6">
        <f>IF(Table1[[#This Row],[Conversions]]=0,0,Table1[[#This Row],[Ad Spend]]/Table1[[#This Row],[Conversions]])</f>
        <v>0.35940972222222217</v>
      </c>
      <c r="M1858" s="8">
        <f>IF(Table1[[#This Row],[Ad Spend]]=0,0,Table1[[#This Row],[Revenue]]/Table1[[#This Row],[Ad Spend]])</f>
        <v>268.51131935722799</v>
      </c>
      <c r="N1858">
        <f>YEAR(Table1[[#This Row],[Date]])</f>
        <v>2024</v>
      </c>
      <c r="O1858" t="str">
        <f>TEXT(Table1[[#This Row],[Date]],"mmm")</f>
        <v>Mar</v>
      </c>
      <c r="P1858">
        <f>MONTH(Table1[[#This Row],[Date]])</f>
        <v>3</v>
      </c>
    </row>
    <row r="1859" spans="1:16" x14ac:dyDescent="0.25">
      <c r="A1859" t="s">
        <v>1878</v>
      </c>
      <c r="B1859" t="s">
        <v>14</v>
      </c>
      <c r="C1859" t="s">
        <v>17</v>
      </c>
      <c r="D1859" s="1">
        <v>45515</v>
      </c>
      <c r="E1859">
        <v>142346</v>
      </c>
      <c r="F1859">
        <v>4834</v>
      </c>
      <c r="G1859">
        <v>109</v>
      </c>
      <c r="H1859" s="4">
        <v>2636.28</v>
      </c>
      <c r="I1859" s="4">
        <v>6408.12</v>
      </c>
      <c r="J1859" s="7">
        <f>Table1[[#This Row],[Clicks]]/Table1[[#This Row],[Impressions]]</f>
        <v>3.39595071164627E-2</v>
      </c>
      <c r="K1859" s="7">
        <f>IFERROR(Table1[[#This Row],[Conversions]]/Table1[[#This Row],[Clicks]],0)</f>
        <v>2.2548613984278029E-2</v>
      </c>
      <c r="L1859" s="6">
        <f>IF(Table1[[#This Row],[Conversions]]=0,0,Table1[[#This Row],[Ad Spend]]/Table1[[#This Row],[Conversions]])</f>
        <v>24.186055045871562</v>
      </c>
      <c r="M1859" s="8">
        <f>IF(Table1[[#This Row],[Ad Spend]]=0,0,Table1[[#This Row],[Revenue]]/Table1[[#This Row],[Ad Spend]])</f>
        <v>2.4307433201329145</v>
      </c>
      <c r="N1859">
        <f>YEAR(Table1[[#This Row],[Date]])</f>
        <v>2024</v>
      </c>
      <c r="O1859" t="str">
        <f>TEXT(Table1[[#This Row],[Date]],"mmm")</f>
        <v>Aug</v>
      </c>
      <c r="P1859">
        <f>MONTH(Table1[[#This Row],[Date]])</f>
        <v>8</v>
      </c>
    </row>
    <row r="1860" spans="1:16" x14ac:dyDescent="0.25">
      <c r="A1860" t="s">
        <v>1879</v>
      </c>
      <c r="B1860" t="s">
        <v>41</v>
      </c>
      <c r="C1860" t="s">
        <v>12</v>
      </c>
      <c r="D1860" s="1">
        <v>45397</v>
      </c>
      <c r="E1860">
        <v>102769</v>
      </c>
      <c r="F1860">
        <v>2067</v>
      </c>
      <c r="G1860">
        <v>62</v>
      </c>
      <c r="H1860" s="4">
        <v>4217.3100000000004</v>
      </c>
      <c r="I1860" s="4">
        <v>5476.33</v>
      </c>
      <c r="J1860" s="7">
        <f>Table1[[#This Row],[Clicks]]/Table1[[#This Row],[Impressions]]</f>
        <v>2.0113069116173166E-2</v>
      </c>
      <c r="K1860" s="7">
        <f>IFERROR(Table1[[#This Row],[Conversions]]/Table1[[#This Row],[Clicks]],0)</f>
        <v>2.9995162070633768E-2</v>
      </c>
      <c r="L1860" s="6">
        <f>IF(Table1[[#This Row],[Conversions]]=0,0,Table1[[#This Row],[Ad Spend]]/Table1[[#This Row],[Conversions]])</f>
        <v>68.021129032258074</v>
      </c>
      <c r="M1860" s="8">
        <f>IF(Table1[[#This Row],[Ad Spend]]=0,0,Table1[[#This Row],[Revenue]]/Table1[[#This Row],[Ad Spend]])</f>
        <v>1.2985362707507866</v>
      </c>
      <c r="N1860">
        <f>YEAR(Table1[[#This Row],[Date]])</f>
        <v>2024</v>
      </c>
      <c r="O1860" t="str">
        <f>TEXT(Table1[[#This Row],[Date]],"mmm")</f>
        <v>Apr</v>
      </c>
      <c r="P1860">
        <f>MONTH(Table1[[#This Row],[Date]])</f>
        <v>4</v>
      </c>
    </row>
    <row r="1861" spans="1:16" x14ac:dyDescent="0.25">
      <c r="A1861" t="s">
        <v>1880</v>
      </c>
      <c r="B1861" t="s">
        <v>16</v>
      </c>
      <c r="C1861" t="s">
        <v>17</v>
      </c>
      <c r="D1861" s="1">
        <v>45398</v>
      </c>
      <c r="E1861">
        <v>62128</v>
      </c>
      <c r="F1861">
        <v>1987</v>
      </c>
      <c r="G1861">
        <v>144</v>
      </c>
      <c r="H1861" s="4">
        <v>1394.08</v>
      </c>
      <c r="I1861" s="4">
        <v>7065.77</v>
      </c>
      <c r="J1861" s="7">
        <f>Table1[[#This Row],[Clicks]]/Table1[[#This Row],[Impressions]]</f>
        <v>3.1982359000772599E-2</v>
      </c>
      <c r="K1861" s="7">
        <f>IFERROR(Table1[[#This Row],[Conversions]]/Table1[[#This Row],[Clicks]],0)</f>
        <v>7.247106190236538E-2</v>
      </c>
      <c r="L1861" s="6">
        <f>IF(Table1[[#This Row],[Conversions]]=0,0,Table1[[#This Row],[Ad Spend]]/Table1[[#This Row],[Conversions]])</f>
        <v>9.681111111111111</v>
      </c>
      <c r="M1861" s="8">
        <f>IF(Table1[[#This Row],[Ad Spend]]=0,0,Table1[[#This Row],[Revenue]]/Table1[[#This Row],[Ad Spend]])</f>
        <v>5.0684107081372671</v>
      </c>
      <c r="N1861">
        <f>YEAR(Table1[[#This Row],[Date]])</f>
        <v>2024</v>
      </c>
      <c r="O1861" t="str">
        <f>TEXT(Table1[[#This Row],[Date]],"mmm")</f>
        <v>Apr</v>
      </c>
      <c r="P1861">
        <f>MONTH(Table1[[#This Row],[Date]])</f>
        <v>4</v>
      </c>
    </row>
    <row r="1862" spans="1:16" x14ac:dyDescent="0.25">
      <c r="A1862" t="s">
        <v>1881</v>
      </c>
      <c r="B1862" t="s">
        <v>14</v>
      </c>
      <c r="C1862" t="s">
        <v>17</v>
      </c>
      <c r="D1862" s="1">
        <v>45599</v>
      </c>
      <c r="E1862">
        <v>128132</v>
      </c>
      <c r="F1862">
        <v>9897</v>
      </c>
      <c r="G1862">
        <v>1081</v>
      </c>
      <c r="H1862" s="4">
        <v>2903.88</v>
      </c>
      <c r="I1862" s="4">
        <v>91396.09</v>
      </c>
      <c r="J1862" s="7">
        <f>Table1[[#This Row],[Clicks]]/Table1[[#This Row],[Impressions]]</f>
        <v>7.7240658071363905E-2</v>
      </c>
      <c r="K1862" s="7">
        <f>IFERROR(Table1[[#This Row],[Conversions]]/Table1[[#This Row],[Clicks]],0)</f>
        <v>0.10922501768212589</v>
      </c>
      <c r="L1862" s="6">
        <f>IF(Table1[[#This Row],[Conversions]]=0,0,Table1[[#This Row],[Ad Spend]]/Table1[[#This Row],[Conversions]])</f>
        <v>2.6862904717853842</v>
      </c>
      <c r="M1862" s="8">
        <f>IF(Table1[[#This Row],[Ad Spend]]=0,0,Table1[[#This Row],[Revenue]]/Table1[[#This Row],[Ad Spend]])</f>
        <v>31.473783351929139</v>
      </c>
      <c r="N1862">
        <f>YEAR(Table1[[#This Row],[Date]])</f>
        <v>2024</v>
      </c>
      <c r="O1862" t="str">
        <f>TEXT(Table1[[#This Row],[Date]],"mmm")</f>
        <v>Nov</v>
      </c>
      <c r="P1862">
        <f>MONTH(Table1[[#This Row],[Date]])</f>
        <v>11</v>
      </c>
    </row>
    <row r="1863" spans="1:16" x14ac:dyDescent="0.25">
      <c r="A1863" t="s">
        <v>1882</v>
      </c>
      <c r="B1863" t="s">
        <v>9</v>
      </c>
      <c r="C1863" t="s">
        <v>17</v>
      </c>
      <c r="D1863" s="1">
        <v>45657</v>
      </c>
      <c r="E1863">
        <v>10735</v>
      </c>
      <c r="F1863">
        <v>399</v>
      </c>
      <c r="G1863">
        <v>25</v>
      </c>
      <c r="H1863" s="4">
        <v>2028.66</v>
      </c>
      <c r="I1863" s="4">
        <v>1727.39</v>
      </c>
      <c r="J1863" s="7">
        <f>Table1[[#This Row],[Clicks]]/Table1[[#This Row],[Impressions]]</f>
        <v>3.7168141592920353E-2</v>
      </c>
      <c r="K1863" s="7">
        <f>IFERROR(Table1[[#This Row],[Conversions]]/Table1[[#This Row],[Clicks]],0)</f>
        <v>6.2656641604010022E-2</v>
      </c>
      <c r="L1863" s="6">
        <f>IF(Table1[[#This Row],[Conversions]]=0,0,Table1[[#This Row],[Ad Spend]]/Table1[[#This Row],[Conversions]])</f>
        <v>81.1464</v>
      </c>
      <c r="M1863" s="8">
        <f>IF(Table1[[#This Row],[Ad Spend]]=0,0,Table1[[#This Row],[Revenue]]/Table1[[#This Row],[Ad Spend]])</f>
        <v>0.85149310382222754</v>
      </c>
      <c r="N1863">
        <f>YEAR(Table1[[#This Row],[Date]])</f>
        <v>2024</v>
      </c>
      <c r="O1863" t="str">
        <f>TEXT(Table1[[#This Row],[Date]],"mmm")</f>
        <v>Dec</v>
      </c>
      <c r="P1863">
        <f>MONTH(Table1[[#This Row],[Date]])</f>
        <v>12</v>
      </c>
    </row>
    <row r="1864" spans="1:16" x14ac:dyDescent="0.25">
      <c r="A1864" t="s">
        <v>1883</v>
      </c>
      <c r="B1864" t="s">
        <v>41</v>
      </c>
      <c r="C1864" t="s">
        <v>17</v>
      </c>
      <c r="D1864" s="1">
        <v>45337</v>
      </c>
      <c r="E1864">
        <v>119651</v>
      </c>
      <c r="F1864">
        <v>3331</v>
      </c>
      <c r="G1864">
        <v>165</v>
      </c>
      <c r="H1864" s="4">
        <v>1959.65</v>
      </c>
      <c r="I1864" s="4">
        <v>19752.13</v>
      </c>
      <c r="J1864" s="7">
        <f>Table1[[#This Row],[Clicks]]/Table1[[#This Row],[Impressions]]</f>
        <v>2.7839299295450936E-2</v>
      </c>
      <c r="K1864" s="7">
        <f>IFERROR(Table1[[#This Row],[Conversions]]/Table1[[#This Row],[Clicks]],0)</f>
        <v>4.9534674271990396E-2</v>
      </c>
      <c r="L1864" s="6">
        <f>IF(Table1[[#This Row],[Conversions]]=0,0,Table1[[#This Row],[Ad Spend]]/Table1[[#This Row],[Conversions]])</f>
        <v>11.876666666666667</v>
      </c>
      <c r="M1864" s="8">
        <f>IF(Table1[[#This Row],[Ad Spend]]=0,0,Table1[[#This Row],[Revenue]]/Table1[[#This Row],[Ad Spend]])</f>
        <v>10.079417242875003</v>
      </c>
      <c r="N1864">
        <f>YEAR(Table1[[#This Row],[Date]])</f>
        <v>2024</v>
      </c>
      <c r="O1864" t="str">
        <f>TEXT(Table1[[#This Row],[Date]],"mmm")</f>
        <v>Feb</v>
      </c>
      <c r="P1864">
        <f>MONTH(Table1[[#This Row],[Date]])</f>
        <v>2</v>
      </c>
    </row>
    <row r="1865" spans="1:16" x14ac:dyDescent="0.25">
      <c r="A1865" t="s">
        <v>1884</v>
      </c>
      <c r="B1865" t="s">
        <v>41</v>
      </c>
      <c r="C1865" t="s">
        <v>37</v>
      </c>
      <c r="D1865" s="1">
        <v>45378</v>
      </c>
      <c r="E1865">
        <v>62445</v>
      </c>
      <c r="F1865">
        <v>4355</v>
      </c>
      <c r="G1865">
        <v>452</v>
      </c>
      <c r="H1865" s="4">
        <v>3075.71</v>
      </c>
      <c r="I1865" s="4">
        <v>45658.43</v>
      </c>
      <c r="J1865" s="7">
        <f>Table1[[#This Row],[Clicks]]/Table1[[#This Row],[Impressions]]</f>
        <v>6.9741372407718799E-2</v>
      </c>
      <c r="K1865" s="7">
        <f>IFERROR(Table1[[#This Row],[Conversions]]/Table1[[#This Row],[Clicks]],0)</f>
        <v>0.10378874856486797</v>
      </c>
      <c r="L1865" s="6">
        <f>IF(Table1[[#This Row],[Conversions]]=0,0,Table1[[#This Row],[Ad Spend]]/Table1[[#This Row],[Conversions]])</f>
        <v>6.80466814159292</v>
      </c>
      <c r="M1865" s="8">
        <f>IF(Table1[[#This Row],[Ad Spend]]=0,0,Table1[[#This Row],[Revenue]]/Table1[[#This Row],[Ad Spend]])</f>
        <v>14.844842329088243</v>
      </c>
      <c r="N1865">
        <f>YEAR(Table1[[#This Row],[Date]])</f>
        <v>2024</v>
      </c>
      <c r="O1865" t="str">
        <f>TEXT(Table1[[#This Row],[Date]],"mmm")</f>
        <v>Mar</v>
      </c>
      <c r="P1865">
        <f>MONTH(Table1[[#This Row],[Date]])</f>
        <v>3</v>
      </c>
    </row>
    <row r="1866" spans="1:16" x14ac:dyDescent="0.25">
      <c r="A1866" t="s">
        <v>1885</v>
      </c>
      <c r="B1866" t="s">
        <v>31</v>
      </c>
      <c r="C1866" t="s">
        <v>17</v>
      </c>
      <c r="D1866" s="1">
        <v>45478</v>
      </c>
      <c r="E1866">
        <v>17577</v>
      </c>
      <c r="F1866">
        <v>1111</v>
      </c>
      <c r="G1866">
        <v>35</v>
      </c>
      <c r="H1866" s="4">
        <v>4596.08</v>
      </c>
      <c r="I1866" s="4">
        <v>1023.32</v>
      </c>
      <c r="J1866" s="7">
        <f>Table1[[#This Row],[Clicks]]/Table1[[#This Row],[Impressions]]</f>
        <v>6.3207600842009451E-2</v>
      </c>
      <c r="K1866" s="7">
        <f>IFERROR(Table1[[#This Row],[Conversions]]/Table1[[#This Row],[Clicks]],0)</f>
        <v>3.1503150315031501E-2</v>
      </c>
      <c r="L1866" s="6">
        <f>IF(Table1[[#This Row],[Conversions]]=0,0,Table1[[#This Row],[Ad Spend]]/Table1[[#This Row],[Conversions]])</f>
        <v>131.31657142857142</v>
      </c>
      <c r="M1866" s="8">
        <f>IF(Table1[[#This Row],[Ad Spend]]=0,0,Table1[[#This Row],[Revenue]]/Table1[[#This Row],[Ad Spend]])</f>
        <v>0.22265060660388855</v>
      </c>
      <c r="N1866">
        <f>YEAR(Table1[[#This Row],[Date]])</f>
        <v>2024</v>
      </c>
      <c r="O1866" t="str">
        <f>TEXT(Table1[[#This Row],[Date]],"mmm")</f>
        <v>Jul</v>
      </c>
      <c r="P1866">
        <f>MONTH(Table1[[#This Row],[Date]])</f>
        <v>7</v>
      </c>
    </row>
    <row r="1867" spans="1:16" x14ac:dyDescent="0.25">
      <c r="A1867" t="s">
        <v>1886</v>
      </c>
      <c r="B1867" t="s">
        <v>31</v>
      </c>
      <c r="C1867" t="s">
        <v>19</v>
      </c>
      <c r="D1867" s="1">
        <v>45332</v>
      </c>
      <c r="E1867">
        <v>142692</v>
      </c>
      <c r="F1867">
        <v>10736</v>
      </c>
      <c r="G1867">
        <v>847</v>
      </c>
      <c r="H1867" s="4">
        <v>1607.13</v>
      </c>
      <c r="I1867" s="4">
        <v>89654.97</v>
      </c>
      <c r="J1867" s="7">
        <f>Table1[[#This Row],[Clicks]]/Table1[[#This Row],[Impressions]]</f>
        <v>7.523897625655257E-2</v>
      </c>
      <c r="K1867" s="7">
        <f>IFERROR(Table1[[#This Row],[Conversions]]/Table1[[#This Row],[Clicks]],0)</f>
        <v>7.8893442622950824E-2</v>
      </c>
      <c r="L1867" s="6">
        <f>IF(Table1[[#This Row],[Conversions]]=0,0,Table1[[#This Row],[Ad Spend]]/Table1[[#This Row],[Conversions]])</f>
        <v>1.8974380165289257</v>
      </c>
      <c r="M1867" s="8">
        <f>IF(Table1[[#This Row],[Ad Spend]]=0,0,Table1[[#This Row],[Revenue]]/Table1[[#This Row],[Ad Spend]])</f>
        <v>55.785760952754288</v>
      </c>
      <c r="N1867">
        <f>YEAR(Table1[[#This Row],[Date]])</f>
        <v>2024</v>
      </c>
      <c r="O1867" t="str">
        <f>TEXT(Table1[[#This Row],[Date]],"mmm")</f>
        <v>Feb</v>
      </c>
      <c r="P1867">
        <f>MONTH(Table1[[#This Row],[Date]])</f>
        <v>2</v>
      </c>
    </row>
    <row r="1868" spans="1:16" x14ac:dyDescent="0.25">
      <c r="A1868" t="s">
        <v>1887</v>
      </c>
      <c r="B1868" t="s">
        <v>34</v>
      </c>
      <c r="C1868" t="s">
        <v>37</v>
      </c>
      <c r="D1868" s="1">
        <v>45409</v>
      </c>
      <c r="E1868">
        <v>112338</v>
      </c>
      <c r="F1868">
        <v>3573</v>
      </c>
      <c r="G1868">
        <v>313</v>
      </c>
      <c r="H1868" s="4">
        <v>1312.72</v>
      </c>
      <c r="I1868" s="4">
        <v>9148.08</v>
      </c>
      <c r="J1868" s="7">
        <f>Table1[[#This Row],[Clicks]]/Table1[[#This Row],[Impressions]]</f>
        <v>3.1805800352507609E-2</v>
      </c>
      <c r="K1868" s="7">
        <f>IFERROR(Table1[[#This Row],[Conversions]]/Table1[[#This Row],[Clicks]],0)</f>
        <v>8.7601455359641756E-2</v>
      </c>
      <c r="L1868" s="6">
        <f>IF(Table1[[#This Row],[Conversions]]=0,0,Table1[[#This Row],[Ad Spend]]/Table1[[#This Row],[Conversions]])</f>
        <v>4.1939936102236421</v>
      </c>
      <c r="M1868" s="8">
        <f>IF(Table1[[#This Row],[Ad Spend]]=0,0,Table1[[#This Row],[Revenue]]/Table1[[#This Row],[Ad Spend]])</f>
        <v>6.9687976110670968</v>
      </c>
      <c r="N1868">
        <f>YEAR(Table1[[#This Row],[Date]])</f>
        <v>2024</v>
      </c>
      <c r="O1868" t="str">
        <f>TEXT(Table1[[#This Row],[Date]],"mmm")</f>
        <v>Apr</v>
      </c>
      <c r="P1868">
        <f>MONTH(Table1[[#This Row],[Date]])</f>
        <v>4</v>
      </c>
    </row>
    <row r="1869" spans="1:16" x14ac:dyDescent="0.25">
      <c r="A1869" t="s">
        <v>1888</v>
      </c>
      <c r="B1869" t="s">
        <v>31</v>
      </c>
      <c r="C1869" t="s">
        <v>12</v>
      </c>
      <c r="D1869" s="1">
        <v>45627</v>
      </c>
      <c r="E1869">
        <v>51122</v>
      </c>
      <c r="F1869">
        <v>1542</v>
      </c>
      <c r="G1869">
        <v>125</v>
      </c>
      <c r="H1869" s="4">
        <v>2231.67</v>
      </c>
      <c r="I1869" s="4">
        <v>4599.08</v>
      </c>
      <c r="J1869" s="7">
        <f>Table1[[#This Row],[Clicks]]/Table1[[#This Row],[Impressions]]</f>
        <v>3.0163139157309966E-2</v>
      </c>
      <c r="K1869" s="7">
        <f>IFERROR(Table1[[#This Row],[Conversions]]/Table1[[#This Row],[Clicks]],0)</f>
        <v>8.1063553826199744E-2</v>
      </c>
      <c r="L1869" s="6">
        <f>IF(Table1[[#This Row],[Conversions]]=0,0,Table1[[#This Row],[Ad Spend]]/Table1[[#This Row],[Conversions]])</f>
        <v>17.853360000000002</v>
      </c>
      <c r="M1869" s="8">
        <f>IF(Table1[[#This Row],[Ad Spend]]=0,0,Table1[[#This Row],[Revenue]]/Table1[[#This Row],[Ad Spend]])</f>
        <v>2.0608244050419642</v>
      </c>
      <c r="N1869">
        <f>YEAR(Table1[[#This Row],[Date]])</f>
        <v>2024</v>
      </c>
      <c r="O1869" t="str">
        <f>TEXT(Table1[[#This Row],[Date]],"mmm")</f>
        <v>Dec</v>
      </c>
      <c r="P1869">
        <f>MONTH(Table1[[#This Row],[Date]])</f>
        <v>12</v>
      </c>
    </row>
    <row r="1870" spans="1:16" x14ac:dyDescent="0.25">
      <c r="A1870" t="s">
        <v>1889</v>
      </c>
      <c r="B1870" t="s">
        <v>31</v>
      </c>
      <c r="C1870" t="s">
        <v>37</v>
      </c>
      <c r="D1870" s="1">
        <v>45600</v>
      </c>
      <c r="E1870">
        <v>25197</v>
      </c>
      <c r="F1870">
        <v>370</v>
      </c>
      <c r="G1870">
        <v>12</v>
      </c>
      <c r="H1870" s="4">
        <v>4122.99</v>
      </c>
      <c r="I1870" s="4">
        <v>454.48</v>
      </c>
      <c r="J1870" s="7">
        <f>Table1[[#This Row],[Clicks]]/Table1[[#This Row],[Impressions]]</f>
        <v>1.4684287812041116E-2</v>
      </c>
      <c r="K1870" s="7">
        <f>IFERROR(Table1[[#This Row],[Conversions]]/Table1[[#This Row],[Clicks]],0)</f>
        <v>3.2432432432432434E-2</v>
      </c>
      <c r="L1870" s="6">
        <f>IF(Table1[[#This Row],[Conversions]]=0,0,Table1[[#This Row],[Ad Spend]]/Table1[[#This Row],[Conversions]])</f>
        <v>343.58249999999998</v>
      </c>
      <c r="M1870" s="8">
        <f>IF(Table1[[#This Row],[Ad Spend]]=0,0,Table1[[#This Row],[Revenue]]/Table1[[#This Row],[Ad Spend]])</f>
        <v>0.11023068210206671</v>
      </c>
      <c r="N1870">
        <f>YEAR(Table1[[#This Row],[Date]])</f>
        <v>2024</v>
      </c>
      <c r="O1870" t="str">
        <f>TEXT(Table1[[#This Row],[Date]],"mmm")</f>
        <v>Nov</v>
      </c>
      <c r="P1870">
        <f>MONTH(Table1[[#This Row],[Date]])</f>
        <v>11</v>
      </c>
    </row>
    <row r="1871" spans="1:16" x14ac:dyDescent="0.25">
      <c r="A1871" t="s">
        <v>1890</v>
      </c>
      <c r="B1871" t="s">
        <v>9</v>
      </c>
      <c r="C1871" t="s">
        <v>17</v>
      </c>
      <c r="D1871" s="1">
        <v>45575</v>
      </c>
      <c r="E1871">
        <v>101712</v>
      </c>
      <c r="F1871">
        <v>6166</v>
      </c>
      <c r="G1871">
        <v>245</v>
      </c>
      <c r="H1871" s="4">
        <v>4674.32</v>
      </c>
      <c r="I1871" s="4">
        <v>10918.34</v>
      </c>
      <c r="J1871" s="7">
        <f>Table1[[#This Row],[Clicks]]/Table1[[#This Row],[Impressions]]</f>
        <v>6.0622148812332861E-2</v>
      </c>
      <c r="K1871" s="7">
        <f>IFERROR(Table1[[#This Row],[Conversions]]/Table1[[#This Row],[Clicks]],0)</f>
        <v>3.9734025300032436E-2</v>
      </c>
      <c r="L1871" s="6">
        <f>IF(Table1[[#This Row],[Conversions]]=0,0,Table1[[#This Row],[Ad Spend]]/Table1[[#This Row],[Conversions]])</f>
        <v>19.078857142857142</v>
      </c>
      <c r="M1871" s="8">
        <f>IF(Table1[[#This Row],[Ad Spend]]=0,0,Table1[[#This Row],[Revenue]]/Table1[[#This Row],[Ad Spend]])</f>
        <v>2.3358135514898426</v>
      </c>
      <c r="N1871">
        <f>YEAR(Table1[[#This Row],[Date]])</f>
        <v>2024</v>
      </c>
      <c r="O1871" t="str">
        <f>TEXT(Table1[[#This Row],[Date]],"mmm")</f>
        <v>Oct</v>
      </c>
      <c r="P1871">
        <f>MONTH(Table1[[#This Row],[Date]])</f>
        <v>10</v>
      </c>
    </row>
    <row r="1872" spans="1:16" x14ac:dyDescent="0.25">
      <c r="A1872" t="s">
        <v>1891</v>
      </c>
      <c r="B1872" t="s">
        <v>31</v>
      </c>
      <c r="C1872" t="s">
        <v>19</v>
      </c>
      <c r="D1872" s="1">
        <v>45379</v>
      </c>
      <c r="E1872">
        <v>76391</v>
      </c>
      <c r="F1872">
        <v>3508</v>
      </c>
      <c r="G1872">
        <v>79</v>
      </c>
      <c r="H1872" s="4">
        <v>2621.65</v>
      </c>
      <c r="I1872" s="4">
        <v>2029.12</v>
      </c>
      <c r="J1872" s="7">
        <f>Table1[[#This Row],[Clicks]]/Table1[[#This Row],[Impressions]]</f>
        <v>4.592163998376772E-2</v>
      </c>
      <c r="K1872" s="7">
        <f>IFERROR(Table1[[#This Row],[Conversions]]/Table1[[#This Row],[Clicks]],0)</f>
        <v>2.2519954389965794E-2</v>
      </c>
      <c r="L1872" s="6">
        <f>IF(Table1[[#This Row],[Conversions]]=0,0,Table1[[#This Row],[Ad Spend]]/Table1[[#This Row],[Conversions]])</f>
        <v>33.185443037974686</v>
      </c>
      <c r="M1872" s="8">
        <f>IF(Table1[[#This Row],[Ad Spend]]=0,0,Table1[[#This Row],[Revenue]]/Table1[[#This Row],[Ad Spend]])</f>
        <v>0.77398584860679331</v>
      </c>
      <c r="N1872">
        <f>YEAR(Table1[[#This Row],[Date]])</f>
        <v>2024</v>
      </c>
      <c r="O1872" t="str">
        <f>TEXT(Table1[[#This Row],[Date]],"mmm")</f>
        <v>Mar</v>
      </c>
      <c r="P1872">
        <f>MONTH(Table1[[#This Row],[Date]])</f>
        <v>3</v>
      </c>
    </row>
    <row r="1873" spans="1:16" x14ac:dyDescent="0.25">
      <c r="A1873" t="s">
        <v>1892</v>
      </c>
      <c r="B1873" t="s">
        <v>16</v>
      </c>
      <c r="C1873" t="s">
        <v>37</v>
      </c>
      <c r="D1873" s="1">
        <v>45316</v>
      </c>
      <c r="E1873">
        <v>127963</v>
      </c>
      <c r="F1873">
        <v>2676</v>
      </c>
      <c r="G1873">
        <v>99</v>
      </c>
      <c r="H1873" s="4">
        <v>4336.1000000000004</v>
      </c>
      <c r="I1873" s="4">
        <v>10239.370000000001</v>
      </c>
      <c r="J1873" s="7">
        <f>Table1[[#This Row],[Clicks]]/Table1[[#This Row],[Impressions]]</f>
        <v>2.0912294960261951E-2</v>
      </c>
      <c r="K1873" s="7">
        <f>IFERROR(Table1[[#This Row],[Conversions]]/Table1[[#This Row],[Clicks]],0)</f>
        <v>3.6995515695067267E-2</v>
      </c>
      <c r="L1873" s="6">
        <f>IF(Table1[[#This Row],[Conversions]]=0,0,Table1[[#This Row],[Ad Spend]]/Table1[[#This Row],[Conversions]])</f>
        <v>43.798989898989902</v>
      </c>
      <c r="M1873" s="8">
        <f>IF(Table1[[#This Row],[Ad Spend]]=0,0,Table1[[#This Row],[Revenue]]/Table1[[#This Row],[Ad Spend]])</f>
        <v>2.3614238601508268</v>
      </c>
      <c r="N1873">
        <f>YEAR(Table1[[#This Row],[Date]])</f>
        <v>2024</v>
      </c>
      <c r="O1873" t="str">
        <f>TEXT(Table1[[#This Row],[Date]],"mmm")</f>
        <v>Jan</v>
      </c>
      <c r="P1873">
        <f>MONTH(Table1[[#This Row],[Date]])</f>
        <v>1</v>
      </c>
    </row>
    <row r="1874" spans="1:16" x14ac:dyDescent="0.25">
      <c r="A1874" t="s">
        <v>1893</v>
      </c>
      <c r="B1874" t="s">
        <v>34</v>
      </c>
      <c r="C1874" t="s">
        <v>17</v>
      </c>
      <c r="D1874" s="1">
        <v>45417</v>
      </c>
      <c r="E1874">
        <v>124260</v>
      </c>
      <c r="F1874">
        <v>2766</v>
      </c>
      <c r="G1874">
        <v>94</v>
      </c>
      <c r="H1874" s="4">
        <v>1391.43</v>
      </c>
      <c r="I1874" s="4">
        <v>7897.28</v>
      </c>
      <c r="J1874" s="7">
        <f>Table1[[#This Row],[Clicks]]/Table1[[#This Row],[Impressions]]</f>
        <v>2.2259777885079671E-2</v>
      </c>
      <c r="K1874" s="7">
        <f>IFERROR(Table1[[#This Row],[Conversions]]/Table1[[#This Row],[Clicks]],0)</f>
        <v>3.3984092552422268E-2</v>
      </c>
      <c r="L1874" s="6">
        <f>IF(Table1[[#This Row],[Conversions]]=0,0,Table1[[#This Row],[Ad Spend]]/Table1[[#This Row],[Conversions]])</f>
        <v>14.80244680851064</v>
      </c>
      <c r="M1874" s="8">
        <f>IF(Table1[[#This Row],[Ad Spend]]=0,0,Table1[[#This Row],[Revenue]]/Table1[[#This Row],[Ad Spend]])</f>
        <v>5.6756574171895098</v>
      </c>
      <c r="N1874">
        <f>YEAR(Table1[[#This Row],[Date]])</f>
        <v>2024</v>
      </c>
      <c r="O1874" t="str">
        <f>TEXT(Table1[[#This Row],[Date]],"mmm")</f>
        <v>May</v>
      </c>
      <c r="P1874">
        <f>MONTH(Table1[[#This Row],[Date]])</f>
        <v>5</v>
      </c>
    </row>
    <row r="1875" spans="1:16" x14ac:dyDescent="0.25">
      <c r="A1875" t="s">
        <v>1894</v>
      </c>
      <c r="B1875" t="s">
        <v>31</v>
      </c>
      <c r="C1875" t="s">
        <v>10</v>
      </c>
      <c r="D1875" s="1">
        <v>45485</v>
      </c>
      <c r="E1875">
        <v>40626</v>
      </c>
      <c r="F1875">
        <v>407</v>
      </c>
      <c r="G1875">
        <v>32</v>
      </c>
      <c r="H1875" s="4">
        <v>4034.42</v>
      </c>
      <c r="I1875" s="4">
        <v>2808.08</v>
      </c>
      <c r="J1875" s="7">
        <f>Table1[[#This Row],[Clicks]]/Table1[[#This Row],[Impressions]]</f>
        <v>1.0018214936247723E-2</v>
      </c>
      <c r="K1875" s="7">
        <f>IFERROR(Table1[[#This Row],[Conversions]]/Table1[[#This Row],[Clicks]],0)</f>
        <v>7.8624078624078622E-2</v>
      </c>
      <c r="L1875" s="6">
        <f>IF(Table1[[#This Row],[Conversions]]=0,0,Table1[[#This Row],[Ad Spend]]/Table1[[#This Row],[Conversions]])</f>
        <v>126.075625</v>
      </c>
      <c r="M1875" s="8">
        <f>IF(Table1[[#This Row],[Ad Spend]]=0,0,Table1[[#This Row],[Revenue]]/Table1[[#This Row],[Ad Spend]])</f>
        <v>0.69603065620337001</v>
      </c>
      <c r="N1875">
        <f>YEAR(Table1[[#This Row],[Date]])</f>
        <v>2024</v>
      </c>
      <c r="O1875" t="str">
        <f>TEXT(Table1[[#This Row],[Date]],"mmm")</f>
        <v>Jul</v>
      </c>
      <c r="P1875">
        <f>MONTH(Table1[[#This Row],[Date]])</f>
        <v>7</v>
      </c>
    </row>
    <row r="1876" spans="1:16" x14ac:dyDescent="0.25">
      <c r="A1876" t="s">
        <v>1895</v>
      </c>
      <c r="B1876" t="s">
        <v>21</v>
      </c>
      <c r="C1876" t="s">
        <v>12</v>
      </c>
      <c r="D1876" s="1">
        <v>45569</v>
      </c>
      <c r="E1876">
        <v>110879</v>
      </c>
      <c r="F1876">
        <v>8007</v>
      </c>
      <c r="G1876">
        <v>645</v>
      </c>
      <c r="H1876" s="4">
        <v>3307.3</v>
      </c>
      <c r="I1876" s="4">
        <v>46417.82</v>
      </c>
      <c r="J1876" s="7">
        <f>Table1[[#This Row],[Clicks]]/Table1[[#This Row],[Impressions]]</f>
        <v>7.2213854742557204E-2</v>
      </c>
      <c r="K1876" s="7">
        <f>IFERROR(Table1[[#This Row],[Conversions]]/Table1[[#This Row],[Clicks]],0)</f>
        <v>8.0554514799550392E-2</v>
      </c>
      <c r="L1876" s="6">
        <f>IF(Table1[[#This Row],[Conversions]]=0,0,Table1[[#This Row],[Ad Spend]]/Table1[[#This Row],[Conversions]])</f>
        <v>5.1275968992248062</v>
      </c>
      <c r="M1876" s="8">
        <f>IF(Table1[[#This Row],[Ad Spend]]=0,0,Table1[[#This Row],[Revenue]]/Table1[[#This Row],[Ad Spend]])</f>
        <v>14.03495903002449</v>
      </c>
      <c r="N1876">
        <f>YEAR(Table1[[#This Row],[Date]])</f>
        <v>2024</v>
      </c>
      <c r="O1876" t="str">
        <f>TEXT(Table1[[#This Row],[Date]],"mmm")</f>
        <v>Oct</v>
      </c>
      <c r="P1876">
        <f>MONTH(Table1[[#This Row],[Date]])</f>
        <v>10</v>
      </c>
    </row>
    <row r="1877" spans="1:16" x14ac:dyDescent="0.25">
      <c r="A1877" t="s">
        <v>1896</v>
      </c>
      <c r="B1877" t="s">
        <v>21</v>
      </c>
      <c r="C1877" t="s">
        <v>19</v>
      </c>
      <c r="D1877" s="1">
        <v>45560</v>
      </c>
      <c r="E1877">
        <v>111870</v>
      </c>
      <c r="F1877">
        <v>2425</v>
      </c>
      <c r="G1877">
        <v>318</v>
      </c>
      <c r="H1877" s="4">
        <v>805.95</v>
      </c>
      <c r="I1877" s="4">
        <v>7518.05</v>
      </c>
      <c r="J1877" s="7">
        <f>Table1[[#This Row],[Clicks]]/Table1[[#This Row],[Impressions]]</f>
        <v>2.1676946455707519E-2</v>
      </c>
      <c r="K1877" s="7">
        <f>IFERROR(Table1[[#This Row],[Conversions]]/Table1[[#This Row],[Clicks]],0)</f>
        <v>0.1311340206185567</v>
      </c>
      <c r="L1877" s="6">
        <f>IF(Table1[[#This Row],[Conversions]]=0,0,Table1[[#This Row],[Ad Spend]]/Table1[[#This Row],[Conversions]])</f>
        <v>2.534433962264151</v>
      </c>
      <c r="M1877" s="8">
        <f>IF(Table1[[#This Row],[Ad Spend]]=0,0,Table1[[#This Row],[Revenue]]/Table1[[#This Row],[Ad Spend]])</f>
        <v>9.3281841305291895</v>
      </c>
      <c r="N1877">
        <f>YEAR(Table1[[#This Row],[Date]])</f>
        <v>2024</v>
      </c>
      <c r="O1877" t="str">
        <f>TEXT(Table1[[#This Row],[Date]],"mmm")</f>
        <v>Sept</v>
      </c>
      <c r="P1877">
        <f>MONTH(Table1[[#This Row],[Date]])</f>
        <v>9</v>
      </c>
    </row>
    <row r="1878" spans="1:16" x14ac:dyDescent="0.25">
      <c r="A1878" t="s">
        <v>1897</v>
      </c>
      <c r="B1878" t="s">
        <v>9</v>
      </c>
      <c r="C1878" t="s">
        <v>12</v>
      </c>
      <c r="D1878" s="1">
        <v>45480</v>
      </c>
      <c r="E1878">
        <v>83234</v>
      </c>
      <c r="F1878">
        <v>1505</v>
      </c>
      <c r="G1878">
        <v>206</v>
      </c>
      <c r="H1878" s="4">
        <v>2036.35</v>
      </c>
      <c r="I1878" s="4">
        <v>10290.07</v>
      </c>
      <c r="J1878" s="7">
        <f>Table1[[#This Row],[Clicks]]/Table1[[#This Row],[Impressions]]</f>
        <v>1.8081553211428021E-2</v>
      </c>
      <c r="K1878" s="7">
        <f>IFERROR(Table1[[#This Row],[Conversions]]/Table1[[#This Row],[Clicks]],0)</f>
        <v>0.13687707641196012</v>
      </c>
      <c r="L1878" s="6">
        <f>IF(Table1[[#This Row],[Conversions]]=0,0,Table1[[#This Row],[Ad Spend]]/Table1[[#This Row],[Conversions]])</f>
        <v>9.8851941747572809</v>
      </c>
      <c r="M1878" s="8">
        <f>IF(Table1[[#This Row],[Ad Spend]]=0,0,Table1[[#This Row],[Revenue]]/Table1[[#This Row],[Ad Spend]])</f>
        <v>5.0531932133474111</v>
      </c>
      <c r="N1878">
        <f>YEAR(Table1[[#This Row],[Date]])</f>
        <v>2024</v>
      </c>
      <c r="O1878" t="str">
        <f>TEXT(Table1[[#This Row],[Date]],"mmm")</f>
        <v>Jul</v>
      </c>
      <c r="P1878">
        <f>MONTH(Table1[[#This Row],[Date]])</f>
        <v>7</v>
      </c>
    </row>
    <row r="1879" spans="1:16" x14ac:dyDescent="0.25">
      <c r="A1879" t="s">
        <v>1898</v>
      </c>
      <c r="B1879" t="s">
        <v>31</v>
      </c>
      <c r="C1879" t="s">
        <v>19</v>
      </c>
      <c r="D1879" s="1">
        <v>45541</v>
      </c>
      <c r="E1879">
        <v>57088</v>
      </c>
      <c r="F1879">
        <v>3569</v>
      </c>
      <c r="G1879">
        <v>171</v>
      </c>
      <c r="H1879" s="4">
        <v>3920.35</v>
      </c>
      <c r="I1879" s="4">
        <v>16250.94</v>
      </c>
      <c r="J1879" s="7">
        <f>Table1[[#This Row],[Clicks]]/Table1[[#This Row],[Impressions]]</f>
        <v>6.2517516816143495E-2</v>
      </c>
      <c r="K1879" s="7">
        <f>IFERROR(Table1[[#This Row],[Conversions]]/Table1[[#This Row],[Clicks]],0)</f>
        <v>4.7912580554777248E-2</v>
      </c>
      <c r="L1879" s="6">
        <f>IF(Table1[[#This Row],[Conversions]]=0,0,Table1[[#This Row],[Ad Spend]]/Table1[[#This Row],[Conversions]])</f>
        <v>22.926023391812866</v>
      </c>
      <c r="M1879" s="8">
        <f>IF(Table1[[#This Row],[Ad Spend]]=0,0,Table1[[#This Row],[Revenue]]/Table1[[#This Row],[Ad Spend]])</f>
        <v>4.1452778450903622</v>
      </c>
      <c r="N1879">
        <f>YEAR(Table1[[#This Row],[Date]])</f>
        <v>2024</v>
      </c>
      <c r="O1879" t="str">
        <f>TEXT(Table1[[#This Row],[Date]],"mmm")</f>
        <v>Sept</v>
      </c>
      <c r="P1879">
        <f>MONTH(Table1[[#This Row],[Date]])</f>
        <v>9</v>
      </c>
    </row>
    <row r="1880" spans="1:16" x14ac:dyDescent="0.25">
      <c r="A1880" t="s">
        <v>1899</v>
      </c>
      <c r="B1880" t="s">
        <v>41</v>
      </c>
      <c r="C1880" t="s">
        <v>12</v>
      </c>
      <c r="D1880" s="1">
        <v>45696</v>
      </c>
      <c r="E1880">
        <v>41659</v>
      </c>
      <c r="F1880">
        <v>2309</v>
      </c>
      <c r="G1880">
        <v>136</v>
      </c>
      <c r="H1880" s="4">
        <v>1373.56</v>
      </c>
      <c r="I1880" s="4">
        <v>2942.74</v>
      </c>
      <c r="J1880" s="7">
        <f>Table1[[#This Row],[Clicks]]/Table1[[#This Row],[Impressions]]</f>
        <v>5.5426198420509373E-2</v>
      </c>
      <c r="K1880" s="7">
        <f>IFERROR(Table1[[#This Row],[Conversions]]/Table1[[#This Row],[Clicks]],0)</f>
        <v>5.8899956691208316E-2</v>
      </c>
      <c r="L1880" s="6">
        <f>IF(Table1[[#This Row],[Conversions]]=0,0,Table1[[#This Row],[Ad Spend]]/Table1[[#This Row],[Conversions]])</f>
        <v>10.099705882352941</v>
      </c>
      <c r="M1880" s="8">
        <f>IF(Table1[[#This Row],[Ad Spend]]=0,0,Table1[[#This Row],[Revenue]]/Table1[[#This Row],[Ad Spend]])</f>
        <v>2.1424182416494366</v>
      </c>
      <c r="N1880">
        <f>YEAR(Table1[[#This Row],[Date]])</f>
        <v>2025</v>
      </c>
      <c r="O1880" t="str">
        <f>TEXT(Table1[[#This Row],[Date]],"mmm")</f>
        <v>Feb</v>
      </c>
      <c r="P1880">
        <f>MONTH(Table1[[#This Row],[Date]])</f>
        <v>2</v>
      </c>
    </row>
    <row r="1881" spans="1:16" x14ac:dyDescent="0.25">
      <c r="A1881" t="s">
        <v>1900</v>
      </c>
      <c r="B1881" t="s">
        <v>14</v>
      </c>
      <c r="C1881" t="s">
        <v>17</v>
      </c>
      <c r="D1881" s="1">
        <v>45421</v>
      </c>
      <c r="E1881">
        <v>132605</v>
      </c>
      <c r="F1881">
        <v>5031</v>
      </c>
      <c r="G1881">
        <v>566</v>
      </c>
      <c r="H1881" s="4">
        <v>1983.52</v>
      </c>
      <c r="I1881" s="4">
        <v>22905.59</v>
      </c>
      <c r="J1881" s="7">
        <f>Table1[[#This Row],[Clicks]]/Table1[[#This Row],[Impressions]]</f>
        <v>3.7939745861769916E-2</v>
      </c>
      <c r="K1881" s="7">
        <f>IFERROR(Table1[[#This Row],[Conversions]]/Table1[[#This Row],[Clicks]],0)</f>
        <v>0.11250248459550785</v>
      </c>
      <c r="L1881" s="6">
        <f>IF(Table1[[#This Row],[Conversions]]=0,0,Table1[[#This Row],[Ad Spend]]/Table1[[#This Row],[Conversions]])</f>
        <v>3.504452296819788</v>
      </c>
      <c r="M1881" s="8">
        <f>IF(Table1[[#This Row],[Ad Spend]]=0,0,Table1[[#This Row],[Revenue]]/Table1[[#This Row],[Ad Spend]])</f>
        <v>11.547950108897314</v>
      </c>
      <c r="N1881">
        <f>YEAR(Table1[[#This Row],[Date]])</f>
        <v>2024</v>
      </c>
      <c r="O1881" t="str">
        <f>TEXT(Table1[[#This Row],[Date]],"mmm")</f>
        <v>May</v>
      </c>
      <c r="P1881">
        <f>MONTH(Table1[[#This Row],[Date]])</f>
        <v>5</v>
      </c>
    </row>
    <row r="1882" spans="1:16" x14ac:dyDescent="0.25">
      <c r="A1882" t="s">
        <v>1901</v>
      </c>
      <c r="B1882" t="s">
        <v>16</v>
      </c>
      <c r="C1882" t="s">
        <v>17</v>
      </c>
      <c r="D1882" s="1">
        <v>45318</v>
      </c>
      <c r="E1882">
        <v>69321</v>
      </c>
      <c r="F1882">
        <v>5292</v>
      </c>
      <c r="G1882">
        <v>722</v>
      </c>
      <c r="H1882" s="4">
        <v>4629.18</v>
      </c>
      <c r="I1882" s="4">
        <v>35769.19</v>
      </c>
      <c r="J1882" s="7">
        <f>Table1[[#This Row],[Clicks]]/Table1[[#This Row],[Impressions]]</f>
        <v>7.6340502877915786E-2</v>
      </c>
      <c r="K1882" s="7">
        <f>IFERROR(Table1[[#This Row],[Conversions]]/Table1[[#This Row],[Clicks]],0)</f>
        <v>0.136432350718065</v>
      </c>
      <c r="L1882" s="6">
        <f>IF(Table1[[#This Row],[Conversions]]=0,0,Table1[[#This Row],[Ad Spend]]/Table1[[#This Row],[Conversions]])</f>
        <v>6.411606648199446</v>
      </c>
      <c r="M1882" s="8">
        <f>IF(Table1[[#This Row],[Ad Spend]]=0,0,Table1[[#This Row],[Revenue]]/Table1[[#This Row],[Ad Spend]])</f>
        <v>7.7268954760886377</v>
      </c>
      <c r="N1882">
        <f>YEAR(Table1[[#This Row],[Date]])</f>
        <v>2024</v>
      </c>
      <c r="O1882" t="str">
        <f>TEXT(Table1[[#This Row],[Date]],"mmm")</f>
        <v>Jan</v>
      </c>
      <c r="P1882">
        <f>MONTH(Table1[[#This Row],[Date]])</f>
        <v>1</v>
      </c>
    </row>
    <row r="1883" spans="1:16" x14ac:dyDescent="0.25">
      <c r="A1883" t="s">
        <v>1902</v>
      </c>
      <c r="B1883" t="s">
        <v>31</v>
      </c>
      <c r="C1883" t="s">
        <v>19</v>
      </c>
      <c r="D1883" s="1">
        <v>45530</v>
      </c>
      <c r="E1883">
        <v>106333</v>
      </c>
      <c r="F1883">
        <v>7665</v>
      </c>
      <c r="G1883">
        <v>1022</v>
      </c>
      <c r="H1883" s="4">
        <v>574.99</v>
      </c>
      <c r="I1883" s="4">
        <v>50481.8</v>
      </c>
      <c r="J1883" s="7">
        <f>Table1[[#This Row],[Clicks]]/Table1[[#This Row],[Impressions]]</f>
        <v>7.2084865469797713E-2</v>
      </c>
      <c r="K1883" s="7">
        <f>IFERROR(Table1[[#This Row],[Conversions]]/Table1[[#This Row],[Clicks]],0)</f>
        <v>0.13333333333333333</v>
      </c>
      <c r="L1883" s="6">
        <f>IF(Table1[[#This Row],[Conversions]]=0,0,Table1[[#This Row],[Ad Spend]]/Table1[[#This Row],[Conversions]])</f>
        <v>0.56261252446183951</v>
      </c>
      <c r="M1883" s="8">
        <f>IF(Table1[[#This Row],[Ad Spend]]=0,0,Table1[[#This Row],[Revenue]]/Table1[[#This Row],[Ad Spend]])</f>
        <v>87.795961668898599</v>
      </c>
      <c r="N1883">
        <f>YEAR(Table1[[#This Row],[Date]])</f>
        <v>2024</v>
      </c>
      <c r="O1883" t="str">
        <f>TEXT(Table1[[#This Row],[Date]],"mmm")</f>
        <v>Aug</v>
      </c>
      <c r="P1883">
        <f>MONTH(Table1[[#This Row],[Date]])</f>
        <v>8</v>
      </c>
    </row>
    <row r="1884" spans="1:16" x14ac:dyDescent="0.25">
      <c r="A1884" t="s">
        <v>1903</v>
      </c>
      <c r="B1884" t="s">
        <v>41</v>
      </c>
      <c r="C1884" t="s">
        <v>10</v>
      </c>
      <c r="D1884" s="1">
        <v>45537</v>
      </c>
      <c r="E1884">
        <v>22761</v>
      </c>
      <c r="F1884">
        <v>789</v>
      </c>
      <c r="G1884">
        <v>35</v>
      </c>
      <c r="H1884" s="4">
        <v>4625.53</v>
      </c>
      <c r="I1884" s="4">
        <v>1280.81</v>
      </c>
      <c r="J1884" s="7">
        <f>Table1[[#This Row],[Clicks]]/Table1[[#This Row],[Impressions]]</f>
        <v>3.4664557796230393E-2</v>
      </c>
      <c r="K1884" s="7">
        <f>IFERROR(Table1[[#This Row],[Conversions]]/Table1[[#This Row],[Clicks]],0)</f>
        <v>4.4359949302915085E-2</v>
      </c>
      <c r="L1884" s="6">
        <f>IF(Table1[[#This Row],[Conversions]]=0,0,Table1[[#This Row],[Ad Spend]]/Table1[[#This Row],[Conversions]])</f>
        <v>132.15799999999999</v>
      </c>
      <c r="M1884" s="8">
        <f>IF(Table1[[#This Row],[Ad Spend]]=0,0,Table1[[#This Row],[Revenue]]/Table1[[#This Row],[Ad Spend]])</f>
        <v>0.27690016063024131</v>
      </c>
      <c r="N1884">
        <f>YEAR(Table1[[#This Row],[Date]])</f>
        <v>2024</v>
      </c>
      <c r="O1884" t="str">
        <f>TEXT(Table1[[#This Row],[Date]],"mmm")</f>
        <v>Sept</v>
      </c>
      <c r="P1884">
        <f>MONTH(Table1[[#This Row],[Date]])</f>
        <v>9</v>
      </c>
    </row>
    <row r="1885" spans="1:16" x14ac:dyDescent="0.25">
      <c r="A1885" t="s">
        <v>1904</v>
      </c>
      <c r="B1885" t="s">
        <v>9</v>
      </c>
      <c r="C1885" t="s">
        <v>37</v>
      </c>
      <c r="D1885" s="1">
        <v>45673</v>
      </c>
      <c r="E1885">
        <v>75676</v>
      </c>
      <c r="F1885">
        <v>1074</v>
      </c>
      <c r="G1885">
        <v>92</v>
      </c>
      <c r="H1885" s="4">
        <v>3227.24</v>
      </c>
      <c r="I1885" s="4">
        <v>5255.65</v>
      </c>
      <c r="J1885" s="7">
        <f>Table1[[#This Row],[Clicks]]/Table1[[#This Row],[Impressions]]</f>
        <v>1.419208203393414E-2</v>
      </c>
      <c r="K1885" s="7">
        <f>IFERROR(Table1[[#This Row],[Conversions]]/Table1[[#This Row],[Clicks]],0)</f>
        <v>8.5661080074487903E-2</v>
      </c>
      <c r="L1885" s="6">
        <f>IF(Table1[[#This Row],[Conversions]]=0,0,Table1[[#This Row],[Ad Spend]]/Table1[[#This Row],[Conversions]])</f>
        <v>35.078695652173913</v>
      </c>
      <c r="M1885" s="8">
        <f>IF(Table1[[#This Row],[Ad Spend]]=0,0,Table1[[#This Row],[Revenue]]/Table1[[#This Row],[Ad Spend]])</f>
        <v>1.6285277822535664</v>
      </c>
      <c r="N1885">
        <f>YEAR(Table1[[#This Row],[Date]])</f>
        <v>2025</v>
      </c>
      <c r="O1885" t="str">
        <f>TEXT(Table1[[#This Row],[Date]],"mmm")</f>
        <v>Jan</v>
      </c>
      <c r="P1885">
        <f>MONTH(Table1[[#This Row],[Date]])</f>
        <v>1</v>
      </c>
    </row>
    <row r="1886" spans="1:16" x14ac:dyDescent="0.25">
      <c r="A1886" t="s">
        <v>1905</v>
      </c>
      <c r="B1886" t="s">
        <v>41</v>
      </c>
      <c r="C1886" t="s">
        <v>17</v>
      </c>
      <c r="D1886" s="1">
        <v>45463</v>
      </c>
      <c r="E1886">
        <v>125662</v>
      </c>
      <c r="F1886">
        <v>4308</v>
      </c>
      <c r="G1886">
        <v>269</v>
      </c>
      <c r="H1886" s="4">
        <v>1966.24</v>
      </c>
      <c r="I1886" s="4">
        <v>26932.92</v>
      </c>
      <c r="J1886" s="7">
        <f>Table1[[#This Row],[Clicks]]/Table1[[#This Row],[Impressions]]</f>
        <v>3.4282440196718181E-2</v>
      </c>
      <c r="K1886" s="7">
        <f>IFERROR(Table1[[#This Row],[Conversions]]/Table1[[#This Row],[Clicks]],0)</f>
        <v>6.2441968430826368E-2</v>
      </c>
      <c r="L1886" s="6">
        <f>IF(Table1[[#This Row],[Conversions]]=0,0,Table1[[#This Row],[Ad Spend]]/Table1[[#This Row],[Conversions]])</f>
        <v>7.3094423791821566</v>
      </c>
      <c r="M1886" s="8">
        <f>IF(Table1[[#This Row],[Ad Spend]]=0,0,Table1[[#This Row],[Revenue]]/Table1[[#This Row],[Ad Spend]])</f>
        <v>13.697676784115876</v>
      </c>
      <c r="N1886">
        <f>YEAR(Table1[[#This Row],[Date]])</f>
        <v>2024</v>
      </c>
      <c r="O1886" t="str">
        <f>TEXT(Table1[[#This Row],[Date]],"mmm")</f>
        <v>Jun</v>
      </c>
      <c r="P1886">
        <f>MONTH(Table1[[#This Row],[Date]])</f>
        <v>6</v>
      </c>
    </row>
    <row r="1887" spans="1:16" x14ac:dyDescent="0.25">
      <c r="A1887" t="s">
        <v>1906</v>
      </c>
      <c r="B1887" t="s">
        <v>9</v>
      </c>
      <c r="C1887" t="s">
        <v>17</v>
      </c>
      <c r="D1887" s="1">
        <v>45680</v>
      </c>
      <c r="E1887">
        <v>132799</v>
      </c>
      <c r="F1887">
        <v>5356</v>
      </c>
      <c r="G1887">
        <v>464</v>
      </c>
      <c r="H1887" s="4">
        <v>3398.34</v>
      </c>
      <c r="I1887" s="4">
        <v>34706.720000000001</v>
      </c>
      <c r="J1887" s="7">
        <f>Table1[[#This Row],[Clicks]]/Table1[[#This Row],[Impressions]]</f>
        <v>4.0331629003230444E-2</v>
      </c>
      <c r="K1887" s="7">
        <f>IFERROR(Table1[[#This Row],[Conversions]]/Table1[[#This Row],[Clicks]],0)</f>
        <v>8.6631814787154593E-2</v>
      </c>
      <c r="L1887" s="6">
        <f>IF(Table1[[#This Row],[Conversions]]=0,0,Table1[[#This Row],[Ad Spend]]/Table1[[#This Row],[Conversions]])</f>
        <v>7.3240086206896553</v>
      </c>
      <c r="M1887" s="8">
        <f>IF(Table1[[#This Row],[Ad Spend]]=0,0,Table1[[#This Row],[Revenue]]/Table1[[#This Row],[Ad Spend]])</f>
        <v>10.212845094958126</v>
      </c>
      <c r="N1887">
        <f>YEAR(Table1[[#This Row],[Date]])</f>
        <v>2025</v>
      </c>
      <c r="O1887" t="str">
        <f>TEXT(Table1[[#This Row],[Date]],"mmm")</f>
        <v>Jan</v>
      </c>
      <c r="P1887">
        <f>MONTH(Table1[[#This Row],[Date]])</f>
        <v>1</v>
      </c>
    </row>
    <row r="1888" spans="1:16" x14ac:dyDescent="0.25">
      <c r="A1888" t="s">
        <v>1907</v>
      </c>
      <c r="B1888" t="s">
        <v>9</v>
      </c>
      <c r="C1888" t="s">
        <v>37</v>
      </c>
      <c r="D1888" s="1">
        <v>45714</v>
      </c>
      <c r="E1888">
        <v>104070</v>
      </c>
      <c r="F1888">
        <v>3445</v>
      </c>
      <c r="G1888">
        <v>388</v>
      </c>
      <c r="H1888" s="4">
        <v>3710.96</v>
      </c>
      <c r="I1888" s="4">
        <v>32405.94</v>
      </c>
      <c r="J1888" s="7">
        <f>Table1[[#This Row],[Clicks]]/Table1[[#This Row],[Impressions]]</f>
        <v>3.3102719323532238E-2</v>
      </c>
      <c r="K1888" s="7">
        <f>IFERROR(Table1[[#This Row],[Conversions]]/Table1[[#This Row],[Clicks]],0)</f>
        <v>0.11262699564586356</v>
      </c>
      <c r="L1888" s="6">
        <f>IF(Table1[[#This Row],[Conversions]]=0,0,Table1[[#This Row],[Ad Spend]]/Table1[[#This Row],[Conversions]])</f>
        <v>9.5643298969072159</v>
      </c>
      <c r="M1888" s="8">
        <f>IF(Table1[[#This Row],[Ad Spend]]=0,0,Table1[[#This Row],[Revenue]]/Table1[[#This Row],[Ad Spend]])</f>
        <v>8.7324950956086838</v>
      </c>
      <c r="N1888">
        <f>YEAR(Table1[[#This Row],[Date]])</f>
        <v>2025</v>
      </c>
      <c r="O1888" t="str">
        <f>TEXT(Table1[[#This Row],[Date]],"mmm")</f>
        <v>Feb</v>
      </c>
      <c r="P1888">
        <f>MONTH(Table1[[#This Row],[Date]])</f>
        <v>2</v>
      </c>
    </row>
    <row r="1889" spans="1:16" x14ac:dyDescent="0.25">
      <c r="A1889" t="s">
        <v>1908</v>
      </c>
      <c r="B1889" t="s">
        <v>16</v>
      </c>
      <c r="C1889" t="s">
        <v>37</v>
      </c>
      <c r="D1889" s="1">
        <v>45682</v>
      </c>
      <c r="E1889">
        <v>56467</v>
      </c>
      <c r="F1889">
        <v>933</v>
      </c>
      <c r="G1889">
        <v>65</v>
      </c>
      <c r="H1889" s="4">
        <v>2093.12</v>
      </c>
      <c r="I1889" s="4">
        <v>1572.3</v>
      </c>
      <c r="J1889" s="7">
        <f>Table1[[#This Row],[Clicks]]/Table1[[#This Row],[Impressions]]</f>
        <v>1.6522924894185984E-2</v>
      </c>
      <c r="K1889" s="7">
        <f>IFERROR(Table1[[#This Row],[Conversions]]/Table1[[#This Row],[Clicks]],0)</f>
        <v>6.966773847802786E-2</v>
      </c>
      <c r="L1889" s="6">
        <f>IF(Table1[[#This Row],[Conversions]]=0,0,Table1[[#This Row],[Ad Spend]]/Table1[[#This Row],[Conversions]])</f>
        <v>32.201846153846155</v>
      </c>
      <c r="M1889" s="8">
        <f>IF(Table1[[#This Row],[Ad Spend]]=0,0,Table1[[#This Row],[Revenue]]/Table1[[#This Row],[Ad Spend]])</f>
        <v>0.75117527900932579</v>
      </c>
      <c r="N1889">
        <f>YEAR(Table1[[#This Row],[Date]])</f>
        <v>2025</v>
      </c>
      <c r="O1889" t="str">
        <f>TEXT(Table1[[#This Row],[Date]],"mmm")</f>
        <v>Jan</v>
      </c>
      <c r="P1889">
        <f>MONTH(Table1[[#This Row],[Date]])</f>
        <v>1</v>
      </c>
    </row>
    <row r="1890" spans="1:16" x14ac:dyDescent="0.25">
      <c r="A1890" t="s">
        <v>1909</v>
      </c>
      <c r="B1890" t="s">
        <v>34</v>
      </c>
      <c r="C1890" t="s">
        <v>10</v>
      </c>
      <c r="D1890" s="1">
        <v>45360</v>
      </c>
      <c r="E1890">
        <v>55985</v>
      </c>
      <c r="F1890">
        <v>2199</v>
      </c>
      <c r="G1890">
        <v>99</v>
      </c>
      <c r="H1890" s="4">
        <v>4037.46</v>
      </c>
      <c r="I1890" s="4">
        <v>10723.35</v>
      </c>
      <c r="J1890" s="7">
        <f>Table1[[#This Row],[Clicks]]/Table1[[#This Row],[Impressions]]</f>
        <v>3.9278378137000983E-2</v>
      </c>
      <c r="K1890" s="7">
        <f>IFERROR(Table1[[#This Row],[Conversions]]/Table1[[#This Row],[Clicks]],0)</f>
        <v>4.5020463847203276E-2</v>
      </c>
      <c r="L1890" s="6">
        <f>IF(Table1[[#This Row],[Conversions]]=0,0,Table1[[#This Row],[Ad Spend]]/Table1[[#This Row],[Conversions]])</f>
        <v>40.782424242424241</v>
      </c>
      <c r="M1890" s="8">
        <f>IF(Table1[[#This Row],[Ad Spend]]=0,0,Table1[[#This Row],[Revenue]]/Table1[[#This Row],[Ad Spend]])</f>
        <v>2.6559643934552915</v>
      </c>
      <c r="N1890">
        <f>YEAR(Table1[[#This Row],[Date]])</f>
        <v>2024</v>
      </c>
      <c r="O1890" t="str">
        <f>TEXT(Table1[[#This Row],[Date]],"mmm")</f>
        <v>Mar</v>
      </c>
      <c r="P1890">
        <f>MONTH(Table1[[#This Row],[Date]])</f>
        <v>3</v>
      </c>
    </row>
    <row r="1891" spans="1:16" x14ac:dyDescent="0.25">
      <c r="A1891" t="s">
        <v>1910</v>
      </c>
      <c r="B1891" t="s">
        <v>21</v>
      </c>
      <c r="C1891" t="s">
        <v>12</v>
      </c>
      <c r="D1891" s="1">
        <v>45582</v>
      </c>
      <c r="E1891">
        <v>71885</v>
      </c>
      <c r="F1891">
        <v>5702</v>
      </c>
      <c r="G1891">
        <v>270</v>
      </c>
      <c r="H1891" s="4">
        <v>4956.93</v>
      </c>
      <c r="I1891" s="4">
        <v>9811.57</v>
      </c>
      <c r="J1891" s="7">
        <f>Table1[[#This Row],[Clicks]]/Table1[[#This Row],[Impressions]]</f>
        <v>7.9321137928636015E-2</v>
      </c>
      <c r="K1891" s="7">
        <f>IFERROR(Table1[[#This Row],[Conversions]]/Table1[[#This Row],[Clicks]],0)</f>
        <v>4.7351806383725006E-2</v>
      </c>
      <c r="L1891" s="6">
        <f>IF(Table1[[#This Row],[Conversions]]=0,0,Table1[[#This Row],[Ad Spend]]/Table1[[#This Row],[Conversions]])</f>
        <v>18.359000000000002</v>
      </c>
      <c r="M1891" s="8">
        <f>IF(Table1[[#This Row],[Ad Spend]]=0,0,Table1[[#This Row],[Revenue]]/Table1[[#This Row],[Ad Spend]])</f>
        <v>1.9793642435943213</v>
      </c>
      <c r="N1891">
        <f>YEAR(Table1[[#This Row],[Date]])</f>
        <v>2024</v>
      </c>
      <c r="O1891" t="str">
        <f>TEXT(Table1[[#This Row],[Date]],"mmm")</f>
        <v>Oct</v>
      </c>
      <c r="P1891">
        <f>MONTH(Table1[[#This Row],[Date]])</f>
        <v>10</v>
      </c>
    </row>
    <row r="1892" spans="1:16" x14ac:dyDescent="0.25">
      <c r="A1892" t="s">
        <v>1911</v>
      </c>
      <c r="B1892" t="s">
        <v>31</v>
      </c>
      <c r="C1892" t="s">
        <v>19</v>
      </c>
      <c r="D1892" s="1">
        <v>45664</v>
      </c>
      <c r="E1892">
        <v>131527</v>
      </c>
      <c r="F1892">
        <v>8561</v>
      </c>
      <c r="G1892">
        <v>415</v>
      </c>
      <c r="H1892" s="4">
        <v>4592.6400000000003</v>
      </c>
      <c r="I1892" s="4">
        <v>15172.56</v>
      </c>
      <c r="J1892" s="7">
        <f>Table1[[#This Row],[Clicks]]/Table1[[#This Row],[Impressions]]</f>
        <v>6.5089297254556103E-2</v>
      </c>
      <c r="K1892" s="7">
        <f>IFERROR(Table1[[#This Row],[Conversions]]/Table1[[#This Row],[Clicks]],0)</f>
        <v>4.8475645368531717E-2</v>
      </c>
      <c r="L1892" s="6">
        <f>IF(Table1[[#This Row],[Conversions]]=0,0,Table1[[#This Row],[Ad Spend]]/Table1[[#This Row],[Conversions]])</f>
        <v>11.066602409638556</v>
      </c>
      <c r="M1892" s="8">
        <f>IF(Table1[[#This Row],[Ad Spend]]=0,0,Table1[[#This Row],[Revenue]]/Table1[[#This Row],[Ad Spend]])</f>
        <v>3.3036684782608692</v>
      </c>
      <c r="N1892">
        <f>YEAR(Table1[[#This Row],[Date]])</f>
        <v>2025</v>
      </c>
      <c r="O1892" t="str">
        <f>TEXT(Table1[[#This Row],[Date]],"mmm")</f>
        <v>Jan</v>
      </c>
      <c r="P1892">
        <f>MONTH(Table1[[#This Row],[Date]])</f>
        <v>1</v>
      </c>
    </row>
    <row r="1893" spans="1:16" x14ac:dyDescent="0.25">
      <c r="A1893" t="s">
        <v>1912</v>
      </c>
      <c r="B1893" t="s">
        <v>41</v>
      </c>
      <c r="C1893" t="s">
        <v>10</v>
      </c>
      <c r="D1893" s="1">
        <v>45332</v>
      </c>
      <c r="E1893">
        <v>125483</v>
      </c>
      <c r="F1893">
        <v>8384</v>
      </c>
      <c r="G1893">
        <v>541</v>
      </c>
      <c r="H1893" s="4">
        <v>3694.03</v>
      </c>
      <c r="I1893" s="4">
        <v>30951.5</v>
      </c>
      <c r="J1893" s="7">
        <f>Table1[[#This Row],[Clicks]]/Table1[[#This Row],[Impressions]]</f>
        <v>6.6813831355641798E-2</v>
      </c>
      <c r="K1893" s="7">
        <f>IFERROR(Table1[[#This Row],[Conversions]]/Table1[[#This Row],[Clicks]],0)</f>
        <v>6.4527671755725186E-2</v>
      </c>
      <c r="L1893" s="6">
        <f>IF(Table1[[#This Row],[Conversions]]=0,0,Table1[[#This Row],[Ad Spend]]/Table1[[#This Row],[Conversions]])</f>
        <v>6.8281515711645104</v>
      </c>
      <c r="M1893" s="8">
        <f>IF(Table1[[#This Row],[Ad Spend]]=0,0,Table1[[#This Row],[Revenue]]/Table1[[#This Row],[Ad Spend]])</f>
        <v>8.3787895604529474</v>
      </c>
      <c r="N1893">
        <f>YEAR(Table1[[#This Row],[Date]])</f>
        <v>2024</v>
      </c>
      <c r="O1893" t="str">
        <f>TEXT(Table1[[#This Row],[Date]],"mmm")</f>
        <v>Feb</v>
      </c>
      <c r="P1893">
        <f>MONTH(Table1[[#This Row],[Date]])</f>
        <v>2</v>
      </c>
    </row>
    <row r="1894" spans="1:16" x14ac:dyDescent="0.25">
      <c r="A1894" t="s">
        <v>1913</v>
      </c>
      <c r="B1894" t="s">
        <v>41</v>
      </c>
      <c r="C1894" t="s">
        <v>19</v>
      </c>
      <c r="D1894" s="1">
        <v>45587</v>
      </c>
      <c r="E1894">
        <v>148635</v>
      </c>
      <c r="F1894">
        <v>10737</v>
      </c>
      <c r="G1894">
        <v>1351</v>
      </c>
      <c r="H1894" s="4">
        <v>1786.88</v>
      </c>
      <c r="I1894" s="4">
        <v>116853.6</v>
      </c>
      <c r="J1894" s="7">
        <f>Table1[[#This Row],[Clicks]]/Table1[[#This Row],[Impressions]]</f>
        <v>7.2237359975779597E-2</v>
      </c>
      <c r="K1894" s="7">
        <f>IFERROR(Table1[[#This Row],[Conversions]]/Table1[[#This Row],[Clicks]],0)</f>
        <v>0.12582658098165223</v>
      </c>
      <c r="L1894" s="6">
        <f>IF(Table1[[#This Row],[Conversions]]=0,0,Table1[[#This Row],[Ad Spend]]/Table1[[#This Row],[Conversions]])</f>
        <v>1.3226350851221318</v>
      </c>
      <c r="M1894" s="8">
        <f>IF(Table1[[#This Row],[Ad Spend]]=0,0,Table1[[#This Row],[Revenue]]/Table1[[#This Row],[Ad Spend]])</f>
        <v>65.395325931232094</v>
      </c>
      <c r="N1894">
        <f>YEAR(Table1[[#This Row],[Date]])</f>
        <v>2024</v>
      </c>
      <c r="O1894" t="str">
        <f>TEXT(Table1[[#This Row],[Date]],"mmm")</f>
        <v>Oct</v>
      </c>
      <c r="P1894">
        <f>MONTH(Table1[[#This Row],[Date]])</f>
        <v>10</v>
      </c>
    </row>
    <row r="1895" spans="1:16" x14ac:dyDescent="0.25">
      <c r="A1895" t="s">
        <v>1914</v>
      </c>
      <c r="B1895" t="s">
        <v>16</v>
      </c>
      <c r="C1895" t="s">
        <v>12</v>
      </c>
      <c r="D1895" s="1">
        <v>45558</v>
      </c>
      <c r="E1895">
        <v>78128</v>
      </c>
      <c r="F1895">
        <v>5190</v>
      </c>
      <c r="G1895">
        <v>628</v>
      </c>
      <c r="H1895" s="4">
        <v>1377.42</v>
      </c>
      <c r="I1895" s="4">
        <v>63737.72</v>
      </c>
      <c r="J1895" s="7">
        <f>Table1[[#This Row],[Clicks]]/Table1[[#This Row],[Impressions]]</f>
        <v>6.6429449109154215E-2</v>
      </c>
      <c r="K1895" s="7">
        <f>IFERROR(Table1[[#This Row],[Conversions]]/Table1[[#This Row],[Clicks]],0)</f>
        <v>0.1210019267822736</v>
      </c>
      <c r="L1895" s="6">
        <f>IF(Table1[[#This Row],[Conversions]]=0,0,Table1[[#This Row],[Ad Spend]]/Table1[[#This Row],[Conversions]])</f>
        <v>2.1933439490445861</v>
      </c>
      <c r="M1895" s="8">
        <f>IF(Table1[[#This Row],[Ad Spend]]=0,0,Table1[[#This Row],[Revenue]]/Table1[[#This Row],[Ad Spend]])</f>
        <v>46.273264509009593</v>
      </c>
      <c r="N1895">
        <f>YEAR(Table1[[#This Row],[Date]])</f>
        <v>2024</v>
      </c>
      <c r="O1895" t="str">
        <f>TEXT(Table1[[#This Row],[Date]],"mmm")</f>
        <v>Sept</v>
      </c>
      <c r="P1895">
        <f>MONTH(Table1[[#This Row],[Date]])</f>
        <v>9</v>
      </c>
    </row>
    <row r="1896" spans="1:16" x14ac:dyDescent="0.25">
      <c r="A1896" t="s">
        <v>1915</v>
      </c>
      <c r="B1896" t="s">
        <v>21</v>
      </c>
      <c r="C1896" t="s">
        <v>17</v>
      </c>
      <c r="D1896" s="1">
        <v>45431</v>
      </c>
      <c r="E1896">
        <v>91023</v>
      </c>
      <c r="F1896">
        <v>6899</v>
      </c>
      <c r="G1896">
        <v>407</v>
      </c>
      <c r="H1896" s="4">
        <v>4869.25</v>
      </c>
      <c r="I1896" s="4">
        <v>48486.44</v>
      </c>
      <c r="J1896" s="7">
        <f>Table1[[#This Row],[Clicks]]/Table1[[#This Row],[Impressions]]</f>
        <v>7.5794030080309369E-2</v>
      </c>
      <c r="K1896" s="7">
        <f>IFERROR(Table1[[#This Row],[Conversions]]/Table1[[#This Row],[Clicks]],0)</f>
        <v>5.899405710972605E-2</v>
      </c>
      <c r="L1896" s="6">
        <f>IF(Table1[[#This Row],[Conversions]]=0,0,Table1[[#This Row],[Ad Spend]]/Table1[[#This Row],[Conversions]])</f>
        <v>11.963759213759214</v>
      </c>
      <c r="M1896" s="8">
        <f>IF(Table1[[#This Row],[Ad Spend]]=0,0,Table1[[#This Row],[Revenue]]/Table1[[#This Row],[Ad Spend]])</f>
        <v>9.9576813677671101</v>
      </c>
      <c r="N1896">
        <f>YEAR(Table1[[#This Row],[Date]])</f>
        <v>2024</v>
      </c>
      <c r="O1896" t="str">
        <f>TEXT(Table1[[#This Row],[Date]],"mmm")</f>
        <v>May</v>
      </c>
      <c r="P1896">
        <f>MONTH(Table1[[#This Row],[Date]])</f>
        <v>5</v>
      </c>
    </row>
    <row r="1897" spans="1:16" x14ac:dyDescent="0.25">
      <c r="A1897" t="s">
        <v>1916</v>
      </c>
      <c r="B1897" t="s">
        <v>31</v>
      </c>
      <c r="C1897" t="s">
        <v>12</v>
      </c>
      <c r="D1897" s="1">
        <v>45445</v>
      </c>
      <c r="E1897">
        <v>72539</v>
      </c>
      <c r="F1897">
        <v>1266</v>
      </c>
      <c r="G1897">
        <v>49</v>
      </c>
      <c r="H1897" s="4">
        <v>1273.4000000000001</v>
      </c>
      <c r="I1897" s="4">
        <v>4819.03</v>
      </c>
      <c r="J1897" s="7">
        <f>Table1[[#This Row],[Clicks]]/Table1[[#This Row],[Impressions]]</f>
        <v>1.7452680626973076E-2</v>
      </c>
      <c r="K1897" s="7">
        <f>IFERROR(Table1[[#This Row],[Conversions]]/Table1[[#This Row],[Clicks]],0)</f>
        <v>3.8704581358609796E-2</v>
      </c>
      <c r="L1897" s="6">
        <f>IF(Table1[[#This Row],[Conversions]]=0,0,Table1[[#This Row],[Ad Spend]]/Table1[[#This Row],[Conversions]])</f>
        <v>25.987755102040818</v>
      </c>
      <c r="M1897" s="8">
        <f>IF(Table1[[#This Row],[Ad Spend]]=0,0,Table1[[#This Row],[Revenue]]/Table1[[#This Row],[Ad Spend]])</f>
        <v>3.7843803989319924</v>
      </c>
      <c r="N1897">
        <f>YEAR(Table1[[#This Row],[Date]])</f>
        <v>2024</v>
      </c>
      <c r="O1897" t="str">
        <f>TEXT(Table1[[#This Row],[Date]],"mmm")</f>
        <v>Jun</v>
      </c>
      <c r="P1897">
        <f>MONTH(Table1[[#This Row],[Date]])</f>
        <v>6</v>
      </c>
    </row>
    <row r="1898" spans="1:16" x14ac:dyDescent="0.25">
      <c r="A1898" t="s">
        <v>1917</v>
      </c>
      <c r="B1898" t="s">
        <v>14</v>
      </c>
      <c r="C1898" t="s">
        <v>17</v>
      </c>
      <c r="D1898" s="1">
        <v>45370</v>
      </c>
      <c r="E1898">
        <v>30846</v>
      </c>
      <c r="F1898">
        <v>1814</v>
      </c>
      <c r="G1898">
        <v>155</v>
      </c>
      <c r="H1898" s="4">
        <v>2180.6999999999998</v>
      </c>
      <c r="I1898" s="4">
        <v>9297.69</v>
      </c>
      <c r="J1898" s="7">
        <f>Table1[[#This Row],[Clicks]]/Table1[[#This Row],[Impressions]]</f>
        <v>5.8808273357971862E-2</v>
      </c>
      <c r="K1898" s="7">
        <f>IFERROR(Table1[[#This Row],[Conversions]]/Table1[[#This Row],[Clicks]],0)</f>
        <v>8.544652701212789E-2</v>
      </c>
      <c r="L1898" s="6">
        <f>IF(Table1[[#This Row],[Conversions]]=0,0,Table1[[#This Row],[Ad Spend]]/Table1[[#This Row],[Conversions]])</f>
        <v>14.069032258064516</v>
      </c>
      <c r="M1898" s="8">
        <f>IF(Table1[[#This Row],[Ad Spend]]=0,0,Table1[[#This Row],[Revenue]]/Table1[[#This Row],[Ad Spend]])</f>
        <v>4.2636263585087359</v>
      </c>
      <c r="N1898">
        <f>YEAR(Table1[[#This Row],[Date]])</f>
        <v>2024</v>
      </c>
      <c r="O1898" t="str">
        <f>TEXT(Table1[[#This Row],[Date]],"mmm")</f>
        <v>Mar</v>
      </c>
      <c r="P1898">
        <f>MONTH(Table1[[#This Row],[Date]])</f>
        <v>3</v>
      </c>
    </row>
    <row r="1899" spans="1:16" x14ac:dyDescent="0.25">
      <c r="A1899" t="s">
        <v>1918</v>
      </c>
      <c r="B1899" t="s">
        <v>47</v>
      </c>
      <c r="C1899" t="s">
        <v>19</v>
      </c>
      <c r="D1899" s="1">
        <v>45333</v>
      </c>
      <c r="E1899">
        <v>68568</v>
      </c>
      <c r="F1899">
        <v>1465</v>
      </c>
      <c r="G1899">
        <v>120</v>
      </c>
      <c r="H1899" s="4">
        <v>4656.37</v>
      </c>
      <c r="I1899" s="4">
        <v>3195.85</v>
      </c>
      <c r="J1899" s="7">
        <f>Table1[[#This Row],[Clicks]]/Table1[[#This Row],[Impressions]]</f>
        <v>2.1365651615914128E-2</v>
      </c>
      <c r="K1899" s="7">
        <f>IFERROR(Table1[[#This Row],[Conversions]]/Table1[[#This Row],[Clicks]],0)</f>
        <v>8.191126279863481E-2</v>
      </c>
      <c r="L1899" s="6">
        <f>IF(Table1[[#This Row],[Conversions]]=0,0,Table1[[#This Row],[Ad Spend]]/Table1[[#This Row],[Conversions]])</f>
        <v>38.803083333333333</v>
      </c>
      <c r="M1899" s="8">
        <f>IF(Table1[[#This Row],[Ad Spend]]=0,0,Table1[[#This Row],[Revenue]]/Table1[[#This Row],[Ad Spend]])</f>
        <v>0.68633935877088803</v>
      </c>
      <c r="N1899">
        <f>YEAR(Table1[[#This Row],[Date]])</f>
        <v>2024</v>
      </c>
      <c r="O1899" t="str">
        <f>TEXT(Table1[[#This Row],[Date]],"mmm")</f>
        <v>Feb</v>
      </c>
      <c r="P1899">
        <f>MONTH(Table1[[#This Row],[Date]])</f>
        <v>2</v>
      </c>
    </row>
    <row r="1900" spans="1:16" x14ac:dyDescent="0.25">
      <c r="A1900" t="s">
        <v>1919</v>
      </c>
      <c r="B1900" t="s">
        <v>47</v>
      </c>
      <c r="C1900" t="s">
        <v>10</v>
      </c>
      <c r="D1900" s="1">
        <v>45515</v>
      </c>
      <c r="E1900">
        <v>111410</v>
      </c>
      <c r="F1900">
        <v>7470</v>
      </c>
      <c r="G1900">
        <v>298</v>
      </c>
      <c r="H1900" s="4">
        <v>2471.2399999999998</v>
      </c>
      <c r="I1900" s="4">
        <v>6871.75</v>
      </c>
      <c r="J1900" s="7">
        <f>Table1[[#This Row],[Clicks]]/Table1[[#This Row],[Impressions]]</f>
        <v>6.7049636477874514E-2</v>
      </c>
      <c r="K1900" s="7">
        <f>IFERROR(Table1[[#This Row],[Conversions]]/Table1[[#This Row],[Clicks]],0)</f>
        <v>3.9892904953145916E-2</v>
      </c>
      <c r="L1900" s="6">
        <f>IF(Table1[[#This Row],[Conversions]]=0,0,Table1[[#This Row],[Ad Spend]]/Table1[[#This Row],[Conversions]])</f>
        <v>8.2927516778523476</v>
      </c>
      <c r="M1900" s="8">
        <f>IF(Table1[[#This Row],[Ad Spend]]=0,0,Table1[[#This Row],[Revenue]]/Table1[[#This Row],[Ad Spend]])</f>
        <v>2.7806890467943219</v>
      </c>
      <c r="N1900">
        <f>YEAR(Table1[[#This Row],[Date]])</f>
        <v>2024</v>
      </c>
      <c r="O1900" t="str">
        <f>TEXT(Table1[[#This Row],[Date]],"mmm")</f>
        <v>Aug</v>
      </c>
      <c r="P1900">
        <f>MONTH(Table1[[#This Row],[Date]])</f>
        <v>8</v>
      </c>
    </row>
    <row r="1901" spans="1:16" x14ac:dyDescent="0.25">
      <c r="A1901" t="s">
        <v>1920</v>
      </c>
      <c r="B1901" t="s">
        <v>47</v>
      </c>
      <c r="C1901" t="s">
        <v>10</v>
      </c>
      <c r="D1901" s="1">
        <v>45449</v>
      </c>
      <c r="E1901">
        <v>66782</v>
      </c>
      <c r="F1901">
        <v>2942</v>
      </c>
      <c r="G1901">
        <v>440</v>
      </c>
      <c r="H1901" s="4">
        <v>4653.6099999999997</v>
      </c>
      <c r="I1901" s="4">
        <v>26239.17</v>
      </c>
      <c r="J1901" s="7">
        <f>Table1[[#This Row],[Clicks]]/Table1[[#This Row],[Impressions]]</f>
        <v>4.4053786948578956E-2</v>
      </c>
      <c r="K1901" s="7">
        <f>IFERROR(Table1[[#This Row],[Conversions]]/Table1[[#This Row],[Clicks]],0)</f>
        <v>0.1495581237253569</v>
      </c>
      <c r="L1901" s="6">
        <f>IF(Table1[[#This Row],[Conversions]]=0,0,Table1[[#This Row],[Ad Spend]]/Table1[[#This Row],[Conversions]])</f>
        <v>10.576386363636363</v>
      </c>
      <c r="M1901" s="8">
        <f>IF(Table1[[#This Row],[Ad Spend]]=0,0,Table1[[#This Row],[Revenue]]/Table1[[#This Row],[Ad Spend]])</f>
        <v>5.6384548769664837</v>
      </c>
      <c r="N1901">
        <f>YEAR(Table1[[#This Row],[Date]])</f>
        <v>2024</v>
      </c>
      <c r="O1901" t="str">
        <f>TEXT(Table1[[#This Row],[Date]],"mmm")</f>
        <v>Jun</v>
      </c>
      <c r="P1901">
        <f>MONTH(Table1[[#This Row],[Date]])</f>
        <v>6</v>
      </c>
    </row>
    <row r="1902" spans="1:16" x14ac:dyDescent="0.25">
      <c r="A1902" t="s">
        <v>1921</v>
      </c>
      <c r="B1902" t="s">
        <v>14</v>
      </c>
      <c r="C1902" t="s">
        <v>17</v>
      </c>
      <c r="D1902" s="1">
        <v>45512</v>
      </c>
      <c r="E1902">
        <v>66633</v>
      </c>
      <c r="F1902">
        <v>2002</v>
      </c>
      <c r="G1902">
        <v>198</v>
      </c>
      <c r="H1902" s="4">
        <v>991.49</v>
      </c>
      <c r="I1902" s="4">
        <v>7112</v>
      </c>
      <c r="J1902" s="7">
        <f>Table1[[#This Row],[Clicks]]/Table1[[#This Row],[Impressions]]</f>
        <v>3.0045172812270197E-2</v>
      </c>
      <c r="K1902" s="7">
        <f>IFERROR(Table1[[#This Row],[Conversions]]/Table1[[#This Row],[Clicks]],0)</f>
        <v>9.8901098901098897E-2</v>
      </c>
      <c r="L1902" s="6">
        <f>IF(Table1[[#This Row],[Conversions]]=0,0,Table1[[#This Row],[Ad Spend]]/Table1[[#This Row],[Conversions]])</f>
        <v>5.0075252525252525</v>
      </c>
      <c r="M1902" s="8">
        <f>IF(Table1[[#This Row],[Ad Spend]]=0,0,Table1[[#This Row],[Revenue]]/Table1[[#This Row],[Ad Spend]])</f>
        <v>7.1730425924618499</v>
      </c>
      <c r="N1902">
        <f>YEAR(Table1[[#This Row],[Date]])</f>
        <v>2024</v>
      </c>
      <c r="O1902" t="str">
        <f>TEXT(Table1[[#This Row],[Date]],"mmm")</f>
        <v>Aug</v>
      </c>
      <c r="P1902">
        <f>MONTH(Table1[[#This Row],[Date]])</f>
        <v>8</v>
      </c>
    </row>
    <row r="1903" spans="1:16" x14ac:dyDescent="0.25">
      <c r="A1903" t="s">
        <v>1922</v>
      </c>
      <c r="B1903" t="s">
        <v>47</v>
      </c>
      <c r="C1903" t="s">
        <v>12</v>
      </c>
      <c r="D1903" s="1">
        <v>45484</v>
      </c>
      <c r="E1903">
        <v>26726</v>
      </c>
      <c r="F1903">
        <v>455</v>
      </c>
      <c r="G1903">
        <v>13</v>
      </c>
      <c r="H1903" s="4">
        <v>3739.66</v>
      </c>
      <c r="I1903" s="4">
        <v>455.06</v>
      </c>
      <c r="J1903" s="7">
        <f>Table1[[#This Row],[Clicks]]/Table1[[#This Row],[Impressions]]</f>
        <v>1.7024620220010476E-2</v>
      </c>
      <c r="K1903" s="7">
        <f>IFERROR(Table1[[#This Row],[Conversions]]/Table1[[#This Row],[Clicks]],0)</f>
        <v>2.8571428571428571E-2</v>
      </c>
      <c r="L1903" s="6">
        <f>IF(Table1[[#This Row],[Conversions]]=0,0,Table1[[#This Row],[Ad Spend]]/Table1[[#This Row],[Conversions]])</f>
        <v>287.66615384615386</v>
      </c>
      <c r="M1903" s="8">
        <f>IF(Table1[[#This Row],[Ad Spend]]=0,0,Table1[[#This Row],[Revenue]]/Table1[[#This Row],[Ad Spend]])</f>
        <v>0.12168485905135762</v>
      </c>
      <c r="N1903">
        <f>YEAR(Table1[[#This Row],[Date]])</f>
        <v>2024</v>
      </c>
      <c r="O1903" t="str">
        <f>TEXT(Table1[[#This Row],[Date]],"mmm")</f>
        <v>Jul</v>
      </c>
      <c r="P1903">
        <f>MONTH(Table1[[#This Row],[Date]])</f>
        <v>7</v>
      </c>
    </row>
    <row r="1904" spans="1:16" x14ac:dyDescent="0.25">
      <c r="A1904" t="s">
        <v>1923</v>
      </c>
      <c r="B1904" t="s">
        <v>21</v>
      </c>
      <c r="C1904" t="s">
        <v>17</v>
      </c>
      <c r="D1904" s="1">
        <v>45339</v>
      </c>
      <c r="E1904">
        <v>44816</v>
      </c>
      <c r="F1904">
        <v>3559</v>
      </c>
      <c r="G1904">
        <v>72</v>
      </c>
      <c r="H1904" s="4">
        <v>1052.3499999999999</v>
      </c>
      <c r="I1904" s="4">
        <v>2401.08</v>
      </c>
      <c r="J1904" s="7">
        <f>Table1[[#This Row],[Clicks]]/Table1[[#This Row],[Impressions]]</f>
        <v>7.9413602284898244E-2</v>
      </c>
      <c r="K1904" s="7">
        <f>IFERROR(Table1[[#This Row],[Conversions]]/Table1[[#This Row],[Clicks]],0)</f>
        <v>2.0230401798257937E-2</v>
      </c>
      <c r="L1904" s="6">
        <f>IF(Table1[[#This Row],[Conversions]]=0,0,Table1[[#This Row],[Ad Spend]]/Table1[[#This Row],[Conversions]])</f>
        <v>14.61597222222222</v>
      </c>
      <c r="M1904" s="8">
        <f>IF(Table1[[#This Row],[Ad Spend]]=0,0,Table1[[#This Row],[Revenue]]/Table1[[#This Row],[Ad Spend]])</f>
        <v>2.2816363377203404</v>
      </c>
      <c r="N1904">
        <f>YEAR(Table1[[#This Row],[Date]])</f>
        <v>2024</v>
      </c>
      <c r="O1904" t="str">
        <f>TEXT(Table1[[#This Row],[Date]],"mmm")</f>
        <v>Feb</v>
      </c>
      <c r="P1904">
        <f>MONTH(Table1[[#This Row],[Date]])</f>
        <v>2</v>
      </c>
    </row>
    <row r="1905" spans="1:16" x14ac:dyDescent="0.25">
      <c r="A1905" t="s">
        <v>1924</v>
      </c>
      <c r="B1905" t="s">
        <v>47</v>
      </c>
      <c r="C1905" t="s">
        <v>19</v>
      </c>
      <c r="D1905" s="1">
        <v>45633</v>
      </c>
      <c r="E1905">
        <v>27942</v>
      </c>
      <c r="F1905">
        <v>358</v>
      </c>
      <c r="G1905">
        <v>48</v>
      </c>
      <c r="H1905" s="4">
        <v>1784.68</v>
      </c>
      <c r="I1905" s="4">
        <v>1146.92</v>
      </c>
      <c r="J1905" s="7">
        <f>Table1[[#This Row],[Clicks]]/Table1[[#This Row],[Impressions]]</f>
        <v>1.2812253954620285E-2</v>
      </c>
      <c r="K1905" s="7">
        <f>IFERROR(Table1[[#This Row],[Conversions]]/Table1[[#This Row],[Clicks]],0)</f>
        <v>0.13407821229050279</v>
      </c>
      <c r="L1905" s="6">
        <f>IF(Table1[[#This Row],[Conversions]]=0,0,Table1[[#This Row],[Ad Spend]]/Table1[[#This Row],[Conversions]])</f>
        <v>37.180833333333332</v>
      </c>
      <c r="M1905" s="8">
        <f>IF(Table1[[#This Row],[Ad Spend]]=0,0,Table1[[#This Row],[Revenue]]/Table1[[#This Row],[Ad Spend]])</f>
        <v>0.64264742138646702</v>
      </c>
      <c r="N1905">
        <f>YEAR(Table1[[#This Row],[Date]])</f>
        <v>2024</v>
      </c>
      <c r="O1905" t="str">
        <f>TEXT(Table1[[#This Row],[Date]],"mmm")</f>
        <v>Dec</v>
      </c>
      <c r="P1905">
        <f>MONTH(Table1[[#This Row],[Date]])</f>
        <v>12</v>
      </c>
    </row>
    <row r="1906" spans="1:16" x14ac:dyDescent="0.25">
      <c r="A1906" t="s">
        <v>1925</v>
      </c>
      <c r="B1906" t="s">
        <v>9</v>
      </c>
      <c r="C1906" t="s">
        <v>10</v>
      </c>
      <c r="D1906" s="1">
        <v>45606</v>
      </c>
      <c r="E1906">
        <v>5055</v>
      </c>
      <c r="F1906">
        <v>341</v>
      </c>
      <c r="G1906">
        <v>15</v>
      </c>
      <c r="H1906" s="4">
        <v>1015.69</v>
      </c>
      <c r="I1906" s="4">
        <v>886.3</v>
      </c>
      <c r="J1906" s="7">
        <f>Table1[[#This Row],[Clicks]]/Table1[[#This Row],[Impressions]]</f>
        <v>6.7457962413452033E-2</v>
      </c>
      <c r="K1906" s="7">
        <f>IFERROR(Table1[[#This Row],[Conversions]]/Table1[[#This Row],[Clicks]],0)</f>
        <v>4.398826979472141E-2</v>
      </c>
      <c r="L1906" s="6">
        <f>IF(Table1[[#This Row],[Conversions]]=0,0,Table1[[#This Row],[Ad Spend]]/Table1[[#This Row],[Conversions]])</f>
        <v>67.712666666666664</v>
      </c>
      <c r="M1906" s="8">
        <f>IF(Table1[[#This Row],[Ad Spend]]=0,0,Table1[[#This Row],[Revenue]]/Table1[[#This Row],[Ad Spend]])</f>
        <v>0.87260876842343615</v>
      </c>
      <c r="N1906">
        <f>YEAR(Table1[[#This Row],[Date]])</f>
        <v>2024</v>
      </c>
      <c r="O1906" t="str">
        <f>TEXT(Table1[[#This Row],[Date]],"mmm")</f>
        <v>Nov</v>
      </c>
      <c r="P1906">
        <f>MONTH(Table1[[#This Row],[Date]])</f>
        <v>11</v>
      </c>
    </row>
    <row r="1907" spans="1:16" x14ac:dyDescent="0.25">
      <c r="A1907" t="s">
        <v>1926</v>
      </c>
      <c r="B1907" t="s">
        <v>41</v>
      </c>
      <c r="C1907" t="s">
        <v>10</v>
      </c>
      <c r="D1907" s="1">
        <v>45428</v>
      </c>
      <c r="E1907">
        <v>81396</v>
      </c>
      <c r="F1907">
        <v>4320</v>
      </c>
      <c r="G1907">
        <v>381</v>
      </c>
      <c r="H1907" s="4">
        <v>4192.6499999999996</v>
      </c>
      <c r="I1907" s="4">
        <v>18457.349999999999</v>
      </c>
      <c r="J1907" s="7">
        <f>Table1[[#This Row],[Clicks]]/Table1[[#This Row],[Impressions]]</f>
        <v>5.307386112339673E-2</v>
      </c>
      <c r="K1907" s="7">
        <f>IFERROR(Table1[[#This Row],[Conversions]]/Table1[[#This Row],[Clicks]],0)</f>
        <v>8.819444444444445E-2</v>
      </c>
      <c r="L1907" s="6">
        <f>IF(Table1[[#This Row],[Conversions]]=0,0,Table1[[#This Row],[Ad Spend]]/Table1[[#This Row],[Conversions]])</f>
        <v>11.004330708661417</v>
      </c>
      <c r="M1907" s="8">
        <f>IF(Table1[[#This Row],[Ad Spend]]=0,0,Table1[[#This Row],[Revenue]]/Table1[[#This Row],[Ad Spend]])</f>
        <v>4.4023111874351546</v>
      </c>
      <c r="N1907">
        <f>YEAR(Table1[[#This Row],[Date]])</f>
        <v>2024</v>
      </c>
      <c r="O1907" t="str">
        <f>TEXT(Table1[[#This Row],[Date]],"mmm")</f>
        <v>May</v>
      </c>
      <c r="P1907">
        <f>MONTH(Table1[[#This Row],[Date]])</f>
        <v>5</v>
      </c>
    </row>
    <row r="1908" spans="1:16" x14ac:dyDescent="0.25">
      <c r="A1908" t="s">
        <v>1927</v>
      </c>
      <c r="B1908" t="s">
        <v>9</v>
      </c>
      <c r="C1908" t="s">
        <v>17</v>
      </c>
      <c r="D1908" s="1">
        <v>45602</v>
      </c>
      <c r="E1908">
        <v>73152</v>
      </c>
      <c r="F1908">
        <v>1537</v>
      </c>
      <c r="G1908">
        <v>185</v>
      </c>
      <c r="H1908" s="4">
        <v>2671.48</v>
      </c>
      <c r="I1908" s="4">
        <v>12883.69</v>
      </c>
      <c r="J1908" s="7">
        <f>Table1[[#This Row],[Clicks]]/Table1[[#This Row],[Impressions]]</f>
        <v>2.1011045494313211E-2</v>
      </c>
      <c r="K1908" s="7">
        <f>IFERROR(Table1[[#This Row],[Conversions]]/Table1[[#This Row],[Clicks]],0)</f>
        <v>0.12036434612882238</v>
      </c>
      <c r="L1908" s="6">
        <f>IF(Table1[[#This Row],[Conversions]]=0,0,Table1[[#This Row],[Ad Spend]]/Table1[[#This Row],[Conversions]])</f>
        <v>14.440432432432432</v>
      </c>
      <c r="M1908" s="8">
        <f>IF(Table1[[#This Row],[Ad Spend]]=0,0,Table1[[#This Row],[Revenue]]/Table1[[#This Row],[Ad Spend]])</f>
        <v>4.8226788147393957</v>
      </c>
      <c r="N1908">
        <f>YEAR(Table1[[#This Row],[Date]])</f>
        <v>2024</v>
      </c>
      <c r="O1908" t="str">
        <f>TEXT(Table1[[#This Row],[Date]],"mmm")</f>
        <v>Nov</v>
      </c>
      <c r="P1908">
        <f>MONTH(Table1[[#This Row],[Date]])</f>
        <v>11</v>
      </c>
    </row>
    <row r="1909" spans="1:16" x14ac:dyDescent="0.25">
      <c r="A1909" t="s">
        <v>1928</v>
      </c>
      <c r="B1909" t="s">
        <v>14</v>
      </c>
      <c r="C1909" t="s">
        <v>19</v>
      </c>
      <c r="D1909" s="1">
        <v>45308</v>
      </c>
      <c r="E1909">
        <v>108125</v>
      </c>
      <c r="F1909">
        <v>7531</v>
      </c>
      <c r="G1909">
        <v>801</v>
      </c>
      <c r="H1909" s="4">
        <v>3535.56</v>
      </c>
      <c r="I1909" s="4">
        <v>80922.69</v>
      </c>
      <c r="J1909" s="7">
        <f>Table1[[#This Row],[Clicks]]/Table1[[#This Row],[Impressions]]</f>
        <v>6.9650867052023127E-2</v>
      </c>
      <c r="K1909" s="7">
        <f>IFERROR(Table1[[#This Row],[Conversions]]/Table1[[#This Row],[Clicks]],0)</f>
        <v>0.10636037710795379</v>
      </c>
      <c r="L1909" s="6">
        <f>IF(Table1[[#This Row],[Conversions]]=0,0,Table1[[#This Row],[Ad Spend]]/Table1[[#This Row],[Conversions]])</f>
        <v>4.4139325842696628</v>
      </c>
      <c r="M1909" s="8">
        <f>IF(Table1[[#This Row],[Ad Spend]]=0,0,Table1[[#This Row],[Revenue]]/Table1[[#This Row],[Ad Spend]])</f>
        <v>22.888224213420223</v>
      </c>
      <c r="N1909">
        <f>YEAR(Table1[[#This Row],[Date]])</f>
        <v>2024</v>
      </c>
      <c r="O1909" t="str">
        <f>TEXT(Table1[[#This Row],[Date]],"mmm")</f>
        <v>Jan</v>
      </c>
      <c r="P1909">
        <f>MONTH(Table1[[#This Row],[Date]])</f>
        <v>1</v>
      </c>
    </row>
    <row r="1910" spans="1:16" x14ac:dyDescent="0.25">
      <c r="A1910" t="s">
        <v>1929</v>
      </c>
      <c r="B1910" t="s">
        <v>47</v>
      </c>
      <c r="C1910" t="s">
        <v>12</v>
      </c>
      <c r="D1910" s="1">
        <v>45448</v>
      </c>
      <c r="E1910">
        <v>81979</v>
      </c>
      <c r="F1910">
        <v>4569</v>
      </c>
      <c r="G1910">
        <v>575</v>
      </c>
      <c r="H1910" s="4">
        <v>2206.25</v>
      </c>
      <c r="I1910" s="4">
        <v>65003.58</v>
      </c>
      <c r="J1910" s="7">
        <f>Table1[[#This Row],[Clicks]]/Table1[[#This Row],[Impressions]]</f>
        <v>5.5733785481647737E-2</v>
      </c>
      <c r="K1910" s="7">
        <f>IFERROR(Table1[[#This Row],[Conversions]]/Table1[[#This Row],[Clicks]],0)</f>
        <v>0.12584810680674108</v>
      </c>
      <c r="L1910" s="6">
        <f>IF(Table1[[#This Row],[Conversions]]=0,0,Table1[[#This Row],[Ad Spend]]/Table1[[#This Row],[Conversions]])</f>
        <v>3.8369565217391304</v>
      </c>
      <c r="M1910" s="8">
        <f>IF(Table1[[#This Row],[Ad Spend]]=0,0,Table1[[#This Row],[Revenue]]/Table1[[#This Row],[Ad Spend]])</f>
        <v>29.463379036827195</v>
      </c>
      <c r="N1910">
        <f>YEAR(Table1[[#This Row],[Date]])</f>
        <v>2024</v>
      </c>
      <c r="O1910" t="str">
        <f>TEXT(Table1[[#This Row],[Date]],"mmm")</f>
        <v>Jun</v>
      </c>
      <c r="P1910">
        <f>MONTH(Table1[[#This Row],[Date]])</f>
        <v>6</v>
      </c>
    </row>
    <row r="1911" spans="1:16" x14ac:dyDescent="0.25">
      <c r="A1911" t="s">
        <v>1930</v>
      </c>
      <c r="B1911" t="s">
        <v>34</v>
      </c>
      <c r="C1911" t="s">
        <v>19</v>
      </c>
      <c r="D1911" s="1">
        <v>45399</v>
      </c>
      <c r="E1911">
        <v>68093</v>
      </c>
      <c r="F1911">
        <v>2879</v>
      </c>
      <c r="G1911">
        <v>320</v>
      </c>
      <c r="H1911" s="4">
        <v>376.63</v>
      </c>
      <c r="I1911" s="4">
        <v>8279.94</v>
      </c>
      <c r="J1911" s="7">
        <f>Table1[[#This Row],[Clicks]]/Table1[[#This Row],[Impressions]]</f>
        <v>4.2280410614894334E-2</v>
      </c>
      <c r="K1911" s="7">
        <f>IFERROR(Table1[[#This Row],[Conversions]]/Table1[[#This Row],[Clicks]],0)</f>
        <v>0.11114970475859673</v>
      </c>
      <c r="L1911" s="6">
        <f>IF(Table1[[#This Row],[Conversions]]=0,0,Table1[[#This Row],[Ad Spend]]/Table1[[#This Row],[Conversions]])</f>
        <v>1.1769687499999999</v>
      </c>
      <c r="M1911" s="8">
        <f>IF(Table1[[#This Row],[Ad Spend]]=0,0,Table1[[#This Row],[Revenue]]/Table1[[#This Row],[Ad Spend]])</f>
        <v>21.9842816557364</v>
      </c>
      <c r="N1911">
        <f>YEAR(Table1[[#This Row],[Date]])</f>
        <v>2024</v>
      </c>
      <c r="O1911" t="str">
        <f>TEXT(Table1[[#This Row],[Date]],"mmm")</f>
        <v>Apr</v>
      </c>
      <c r="P1911">
        <f>MONTH(Table1[[#This Row],[Date]])</f>
        <v>4</v>
      </c>
    </row>
    <row r="1912" spans="1:16" x14ac:dyDescent="0.25">
      <c r="A1912" t="s">
        <v>1931</v>
      </c>
      <c r="B1912" t="s">
        <v>9</v>
      </c>
      <c r="C1912" t="s">
        <v>37</v>
      </c>
      <c r="D1912" s="1">
        <v>45347</v>
      </c>
      <c r="E1912">
        <v>122681</v>
      </c>
      <c r="F1912">
        <v>2309</v>
      </c>
      <c r="G1912">
        <v>263</v>
      </c>
      <c r="H1912" s="4">
        <v>1555.88</v>
      </c>
      <c r="I1912" s="4">
        <v>14010.75</v>
      </c>
      <c r="J1912" s="7">
        <f>Table1[[#This Row],[Clicks]]/Table1[[#This Row],[Impressions]]</f>
        <v>1.8821170352377303E-2</v>
      </c>
      <c r="K1912" s="7">
        <f>IFERROR(Table1[[#This Row],[Conversions]]/Table1[[#This Row],[Clicks]],0)</f>
        <v>0.11390212213079255</v>
      </c>
      <c r="L1912" s="6">
        <f>IF(Table1[[#This Row],[Conversions]]=0,0,Table1[[#This Row],[Ad Spend]]/Table1[[#This Row],[Conversions]])</f>
        <v>5.9158935361216738</v>
      </c>
      <c r="M1912" s="8">
        <f>IF(Table1[[#This Row],[Ad Spend]]=0,0,Table1[[#This Row],[Revenue]]/Table1[[#This Row],[Ad Spend]])</f>
        <v>9.005032521788312</v>
      </c>
      <c r="N1912">
        <f>YEAR(Table1[[#This Row],[Date]])</f>
        <v>2024</v>
      </c>
      <c r="O1912" t="str">
        <f>TEXT(Table1[[#This Row],[Date]],"mmm")</f>
        <v>Feb</v>
      </c>
      <c r="P1912">
        <f>MONTH(Table1[[#This Row],[Date]])</f>
        <v>2</v>
      </c>
    </row>
    <row r="1913" spans="1:16" x14ac:dyDescent="0.25">
      <c r="A1913" t="s">
        <v>1932</v>
      </c>
      <c r="B1913" t="s">
        <v>47</v>
      </c>
      <c r="C1913" t="s">
        <v>12</v>
      </c>
      <c r="D1913" s="1">
        <v>45414</v>
      </c>
      <c r="E1913">
        <v>131247</v>
      </c>
      <c r="F1913">
        <v>5312</v>
      </c>
      <c r="G1913">
        <v>190</v>
      </c>
      <c r="H1913" s="4">
        <v>3292.69</v>
      </c>
      <c r="I1913" s="4">
        <v>21709</v>
      </c>
      <c r="J1913" s="7">
        <f>Table1[[#This Row],[Clicks]]/Table1[[#This Row],[Impressions]]</f>
        <v>4.0473306056519387E-2</v>
      </c>
      <c r="K1913" s="7">
        <f>IFERROR(Table1[[#This Row],[Conversions]]/Table1[[#This Row],[Clicks]],0)</f>
        <v>3.5768072289156627E-2</v>
      </c>
      <c r="L1913" s="6">
        <f>IF(Table1[[#This Row],[Conversions]]=0,0,Table1[[#This Row],[Ad Spend]]/Table1[[#This Row],[Conversions]])</f>
        <v>17.329947368421053</v>
      </c>
      <c r="M1913" s="8">
        <f>IF(Table1[[#This Row],[Ad Spend]]=0,0,Table1[[#This Row],[Revenue]]/Table1[[#This Row],[Ad Spend]])</f>
        <v>6.5930895407706158</v>
      </c>
      <c r="N1913">
        <f>YEAR(Table1[[#This Row],[Date]])</f>
        <v>2024</v>
      </c>
      <c r="O1913" t="str">
        <f>TEXT(Table1[[#This Row],[Date]],"mmm")</f>
        <v>May</v>
      </c>
      <c r="P1913">
        <f>MONTH(Table1[[#This Row],[Date]])</f>
        <v>5</v>
      </c>
    </row>
    <row r="1914" spans="1:16" x14ac:dyDescent="0.25">
      <c r="A1914" t="s">
        <v>1933</v>
      </c>
      <c r="B1914" t="s">
        <v>34</v>
      </c>
      <c r="C1914" t="s">
        <v>37</v>
      </c>
      <c r="D1914" s="1">
        <v>45534</v>
      </c>
      <c r="E1914">
        <v>13869</v>
      </c>
      <c r="F1914">
        <v>492</v>
      </c>
      <c r="G1914">
        <v>34</v>
      </c>
      <c r="H1914" s="4">
        <v>1856.41</v>
      </c>
      <c r="I1914" s="4">
        <v>846.3</v>
      </c>
      <c r="J1914" s="7">
        <f>Table1[[#This Row],[Clicks]]/Table1[[#This Row],[Impressions]]</f>
        <v>3.5474799913476095E-2</v>
      </c>
      <c r="K1914" s="7">
        <f>IFERROR(Table1[[#This Row],[Conversions]]/Table1[[#This Row],[Clicks]],0)</f>
        <v>6.910569105691057E-2</v>
      </c>
      <c r="L1914" s="6">
        <f>IF(Table1[[#This Row],[Conversions]]=0,0,Table1[[#This Row],[Ad Spend]]/Table1[[#This Row],[Conversions]])</f>
        <v>54.60029411764706</v>
      </c>
      <c r="M1914" s="8">
        <f>IF(Table1[[#This Row],[Ad Spend]]=0,0,Table1[[#This Row],[Revenue]]/Table1[[#This Row],[Ad Spend]])</f>
        <v>0.45587989722098021</v>
      </c>
      <c r="N1914">
        <f>YEAR(Table1[[#This Row],[Date]])</f>
        <v>2024</v>
      </c>
      <c r="O1914" t="str">
        <f>TEXT(Table1[[#This Row],[Date]],"mmm")</f>
        <v>Aug</v>
      </c>
      <c r="P1914">
        <f>MONTH(Table1[[#This Row],[Date]])</f>
        <v>8</v>
      </c>
    </row>
    <row r="1915" spans="1:16" x14ac:dyDescent="0.25">
      <c r="A1915" t="s">
        <v>1934</v>
      </c>
      <c r="B1915" t="s">
        <v>34</v>
      </c>
      <c r="C1915" t="s">
        <v>17</v>
      </c>
      <c r="D1915" s="1">
        <v>45387</v>
      </c>
      <c r="E1915">
        <v>135447</v>
      </c>
      <c r="F1915">
        <v>5749</v>
      </c>
      <c r="G1915">
        <v>837</v>
      </c>
      <c r="H1915" s="4">
        <v>3961.88</v>
      </c>
      <c r="I1915" s="4">
        <v>88937.48</v>
      </c>
      <c r="J1915" s="7">
        <f>Table1[[#This Row],[Clicks]]/Table1[[#This Row],[Impressions]]</f>
        <v>4.2444646245394881E-2</v>
      </c>
      <c r="K1915" s="7">
        <f>IFERROR(Table1[[#This Row],[Conversions]]/Table1[[#This Row],[Clicks]],0)</f>
        <v>0.14559053748477996</v>
      </c>
      <c r="L1915" s="6">
        <f>IF(Table1[[#This Row],[Conversions]]=0,0,Table1[[#This Row],[Ad Spend]]/Table1[[#This Row],[Conversions]])</f>
        <v>4.7334289127837517</v>
      </c>
      <c r="M1915" s="8">
        <f>IF(Table1[[#This Row],[Ad Spend]]=0,0,Table1[[#This Row],[Revenue]]/Table1[[#This Row],[Ad Spend]])</f>
        <v>22.448302321120273</v>
      </c>
      <c r="N1915">
        <f>YEAR(Table1[[#This Row],[Date]])</f>
        <v>2024</v>
      </c>
      <c r="O1915" t="str">
        <f>TEXT(Table1[[#This Row],[Date]],"mmm")</f>
        <v>Apr</v>
      </c>
      <c r="P1915">
        <f>MONTH(Table1[[#This Row],[Date]])</f>
        <v>4</v>
      </c>
    </row>
    <row r="1916" spans="1:16" x14ac:dyDescent="0.25">
      <c r="A1916" t="s">
        <v>1935</v>
      </c>
      <c r="B1916" t="s">
        <v>41</v>
      </c>
      <c r="C1916" t="s">
        <v>37</v>
      </c>
      <c r="D1916" s="1">
        <v>45709</v>
      </c>
      <c r="E1916">
        <v>90697</v>
      </c>
      <c r="F1916">
        <v>5638</v>
      </c>
      <c r="G1916">
        <v>631</v>
      </c>
      <c r="H1916" s="4">
        <v>3360.34</v>
      </c>
      <c r="I1916" s="4">
        <v>73073.91</v>
      </c>
      <c r="J1916" s="7">
        <f>Table1[[#This Row],[Clicks]]/Table1[[#This Row],[Impressions]]</f>
        <v>6.2163026340452274E-2</v>
      </c>
      <c r="K1916" s="7">
        <f>IFERROR(Table1[[#This Row],[Conversions]]/Table1[[#This Row],[Clicks]],0)</f>
        <v>0.11191912025540972</v>
      </c>
      <c r="L1916" s="6">
        <f>IF(Table1[[#This Row],[Conversions]]=0,0,Table1[[#This Row],[Ad Spend]]/Table1[[#This Row],[Conversions]])</f>
        <v>5.3254199683042795</v>
      </c>
      <c r="M1916" s="8">
        <f>IF(Table1[[#This Row],[Ad Spend]]=0,0,Table1[[#This Row],[Revenue]]/Table1[[#This Row],[Ad Spend]])</f>
        <v>21.745987013218901</v>
      </c>
      <c r="N1916">
        <f>YEAR(Table1[[#This Row],[Date]])</f>
        <v>2025</v>
      </c>
      <c r="O1916" t="str">
        <f>TEXT(Table1[[#This Row],[Date]],"mmm")</f>
        <v>Feb</v>
      </c>
      <c r="P1916">
        <f>MONTH(Table1[[#This Row],[Date]])</f>
        <v>2</v>
      </c>
    </row>
    <row r="1917" spans="1:16" x14ac:dyDescent="0.25">
      <c r="A1917" t="s">
        <v>1936</v>
      </c>
      <c r="B1917" t="s">
        <v>16</v>
      </c>
      <c r="C1917" t="s">
        <v>10</v>
      </c>
      <c r="D1917" s="1">
        <v>45693</v>
      </c>
      <c r="E1917">
        <v>48038</v>
      </c>
      <c r="F1917">
        <v>3689</v>
      </c>
      <c r="G1917">
        <v>273</v>
      </c>
      <c r="H1917" s="4">
        <v>2537.09</v>
      </c>
      <c r="I1917" s="4">
        <v>32442.47</v>
      </c>
      <c r="J1917" s="7">
        <f>Table1[[#This Row],[Clicks]]/Table1[[#This Row],[Impressions]]</f>
        <v>7.6793371913901495E-2</v>
      </c>
      <c r="K1917" s="7">
        <f>IFERROR(Table1[[#This Row],[Conversions]]/Table1[[#This Row],[Clicks]],0)</f>
        <v>7.4003795066413663E-2</v>
      </c>
      <c r="L1917" s="6">
        <f>IF(Table1[[#This Row],[Conversions]]=0,0,Table1[[#This Row],[Ad Spend]]/Table1[[#This Row],[Conversions]])</f>
        <v>9.2933699633699636</v>
      </c>
      <c r="M1917" s="8">
        <f>IF(Table1[[#This Row],[Ad Spend]]=0,0,Table1[[#This Row],[Revenue]]/Table1[[#This Row],[Ad Spend]])</f>
        <v>12.787275973654856</v>
      </c>
      <c r="N1917">
        <f>YEAR(Table1[[#This Row],[Date]])</f>
        <v>2025</v>
      </c>
      <c r="O1917" t="str">
        <f>TEXT(Table1[[#This Row],[Date]],"mmm")</f>
        <v>Feb</v>
      </c>
      <c r="P1917">
        <f>MONTH(Table1[[#This Row],[Date]])</f>
        <v>2</v>
      </c>
    </row>
    <row r="1918" spans="1:16" x14ac:dyDescent="0.25">
      <c r="A1918" t="s">
        <v>1937</v>
      </c>
      <c r="B1918" t="s">
        <v>16</v>
      </c>
      <c r="C1918" t="s">
        <v>10</v>
      </c>
      <c r="D1918" s="1">
        <v>45363</v>
      </c>
      <c r="E1918">
        <v>67920</v>
      </c>
      <c r="F1918">
        <v>3117</v>
      </c>
      <c r="G1918">
        <v>263</v>
      </c>
      <c r="H1918" s="4">
        <v>1533.74</v>
      </c>
      <c r="I1918" s="4">
        <v>10579.32</v>
      </c>
      <c r="J1918" s="7">
        <f>Table1[[#This Row],[Clicks]]/Table1[[#This Row],[Impressions]]</f>
        <v>4.5892226148409897E-2</v>
      </c>
      <c r="K1918" s="7">
        <f>IFERROR(Table1[[#This Row],[Conversions]]/Table1[[#This Row],[Clicks]],0)</f>
        <v>8.4376002566570421E-2</v>
      </c>
      <c r="L1918" s="6">
        <f>IF(Table1[[#This Row],[Conversions]]=0,0,Table1[[#This Row],[Ad Spend]]/Table1[[#This Row],[Conversions]])</f>
        <v>5.8317110266159693</v>
      </c>
      <c r="M1918" s="8">
        <f>IF(Table1[[#This Row],[Ad Spend]]=0,0,Table1[[#This Row],[Revenue]]/Table1[[#This Row],[Ad Spend]])</f>
        <v>6.897727124545229</v>
      </c>
      <c r="N1918">
        <f>YEAR(Table1[[#This Row],[Date]])</f>
        <v>2024</v>
      </c>
      <c r="O1918" t="str">
        <f>TEXT(Table1[[#This Row],[Date]],"mmm")</f>
        <v>Mar</v>
      </c>
      <c r="P1918">
        <f>MONTH(Table1[[#This Row],[Date]])</f>
        <v>3</v>
      </c>
    </row>
    <row r="1919" spans="1:16" x14ac:dyDescent="0.25">
      <c r="A1919" t="s">
        <v>1938</v>
      </c>
      <c r="B1919" t="s">
        <v>16</v>
      </c>
      <c r="C1919" t="s">
        <v>17</v>
      </c>
      <c r="D1919" s="1">
        <v>45311</v>
      </c>
      <c r="E1919">
        <v>7418</v>
      </c>
      <c r="F1919">
        <v>402</v>
      </c>
      <c r="G1919">
        <v>45</v>
      </c>
      <c r="H1919" s="4">
        <v>4041</v>
      </c>
      <c r="I1919" s="4">
        <v>2578.61</v>
      </c>
      <c r="J1919" s="7">
        <f>Table1[[#This Row],[Clicks]]/Table1[[#This Row],[Impressions]]</f>
        <v>5.4192504718252897E-2</v>
      </c>
      <c r="K1919" s="7">
        <f>IFERROR(Table1[[#This Row],[Conversions]]/Table1[[#This Row],[Clicks]],0)</f>
        <v>0.11194029850746269</v>
      </c>
      <c r="L1919" s="6">
        <f>IF(Table1[[#This Row],[Conversions]]=0,0,Table1[[#This Row],[Ad Spend]]/Table1[[#This Row],[Conversions]])</f>
        <v>89.8</v>
      </c>
      <c r="M1919" s="8">
        <f>IF(Table1[[#This Row],[Ad Spend]]=0,0,Table1[[#This Row],[Revenue]]/Table1[[#This Row],[Ad Spend]])</f>
        <v>0.63811185350160859</v>
      </c>
      <c r="N1919">
        <f>YEAR(Table1[[#This Row],[Date]])</f>
        <v>2024</v>
      </c>
      <c r="O1919" t="str">
        <f>TEXT(Table1[[#This Row],[Date]],"mmm")</f>
        <v>Jan</v>
      </c>
      <c r="P1919">
        <f>MONTH(Table1[[#This Row],[Date]])</f>
        <v>1</v>
      </c>
    </row>
    <row r="1920" spans="1:16" x14ac:dyDescent="0.25">
      <c r="A1920" t="s">
        <v>1939</v>
      </c>
      <c r="B1920" t="s">
        <v>31</v>
      </c>
      <c r="C1920" t="s">
        <v>10</v>
      </c>
      <c r="D1920" s="1">
        <v>45539</v>
      </c>
      <c r="E1920">
        <v>136354</v>
      </c>
      <c r="F1920">
        <v>3288</v>
      </c>
      <c r="G1920">
        <v>128</v>
      </c>
      <c r="H1920" s="4">
        <v>3465.71</v>
      </c>
      <c r="I1920" s="4">
        <v>13539.51</v>
      </c>
      <c r="J1920" s="7">
        <f>Table1[[#This Row],[Clicks]]/Table1[[#This Row],[Impressions]]</f>
        <v>2.4113704035085146E-2</v>
      </c>
      <c r="K1920" s="7">
        <f>IFERROR(Table1[[#This Row],[Conversions]]/Table1[[#This Row],[Clicks]],0)</f>
        <v>3.8929440389294405E-2</v>
      </c>
      <c r="L1920" s="6">
        <f>IF(Table1[[#This Row],[Conversions]]=0,0,Table1[[#This Row],[Ad Spend]]/Table1[[#This Row],[Conversions]])</f>
        <v>27.075859375</v>
      </c>
      <c r="M1920" s="8">
        <f>IF(Table1[[#This Row],[Ad Spend]]=0,0,Table1[[#This Row],[Revenue]]/Table1[[#This Row],[Ad Spend]])</f>
        <v>3.9067059852093799</v>
      </c>
      <c r="N1920">
        <f>YEAR(Table1[[#This Row],[Date]])</f>
        <v>2024</v>
      </c>
      <c r="O1920" t="str">
        <f>TEXT(Table1[[#This Row],[Date]],"mmm")</f>
        <v>Sept</v>
      </c>
      <c r="P1920">
        <f>MONTH(Table1[[#This Row],[Date]])</f>
        <v>9</v>
      </c>
    </row>
    <row r="1921" spans="1:16" x14ac:dyDescent="0.25">
      <c r="A1921" t="s">
        <v>1940</v>
      </c>
      <c r="B1921" t="s">
        <v>34</v>
      </c>
      <c r="C1921" t="s">
        <v>12</v>
      </c>
      <c r="D1921" s="1">
        <v>45492</v>
      </c>
      <c r="E1921">
        <v>143604</v>
      </c>
      <c r="F1921">
        <v>11424</v>
      </c>
      <c r="G1921">
        <v>1138</v>
      </c>
      <c r="H1921" s="4">
        <v>3138.68</v>
      </c>
      <c r="I1921" s="4">
        <v>72255.91</v>
      </c>
      <c r="J1921" s="7">
        <f>Table1[[#This Row],[Clicks]]/Table1[[#This Row],[Impressions]]</f>
        <v>7.9552101612768447E-2</v>
      </c>
      <c r="K1921" s="7">
        <f>IFERROR(Table1[[#This Row],[Conversions]]/Table1[[#This Row],[Clicks]],0)</f>
        <v>9.9614845938375357E-2</v>
      </c>
      <c r="L1921" s="6">
        <f>IF(Table1[[#This Row],[Conversions]]=0,0,Table1[[#This Row],[Ad Spend]]/Table1[[#This Row],[Conversions]])</f>
        <v>2.7580667838312829</v>
      </c>
      <c r="M1921" s="8">
        <f>IF(Table1[[#This Row],[Ad Spend]]=0,0,Table1[[#This Row],[Revenue]]/Table1[[#This Row],[Ad Spend]])</f>
        <v>23.021113971478457</v>
      </c>
      <c r="N1921">
        <f>YEAR(Table1[[#This Row],[Date]])</f>
        <v>2024</v>
      </c>
      <c r="O1921" t="str">
        <f>TEXT(Table1[[#This Row],[Date]],"mmm")</f>
        <v>Jul</v>
      </c>
      <c r="P1921">
        <f>MONTH(Table1[[#This Row],[Date]])</f>
        <v>7</v>
      </c>
    </row>
    <row r="1922" spans="1:16" x14ac:dyDescent="0.25">
      <c r="A1922" t="s">
        <v>1941</v>
      </c>
      <c r="B1922" t="s">
        <v>31</v>
      </c>
      <c r="C1922" t="s">
        <v>17</v>
      </c>
      <c r="D1922" s="1">
        <v>45660</v>
      </c>
      <c r="E1922">
        <v>148425</v>
      </c>
      <c r="F1922">
        <v>4499</v>
      </c>
      <c r="G1922">
        <v>672</v>
      </c>
      <c r="H1922" s="4">
        <v>2390.89</v>
      </c>
      <c r="I1922" s="4">
        <v>32557.439999999999</v>
      </c>
      <c r="J1922" s="7">
        <f>Table1[[#This Row],[Clicks]]/Table1[[#This Row],[Impressions]]</f>
        <v>3.0311605187805291E-2</v>
      </c>
      <c r="K1922" s="7">
        <f>IFERROR(Table1[[#This Row],[Conversions]]/Table1[[#This Row],[Clicks]],0)</f>
        <v>0.14936652589464325</v>
      </c>
      <c r="L1922" s="6">
        <f>IF(Table1[[#This Row],[Conversions]]=0,0,Table1[[#This Row],[Ad Spend]]/Table1[[#This Row],[Conversions]])</f>
        <v>3.5578720238095238</v>
      </c>
      <c r="M1922" s="8">
        <f>IF(Table1[[#This Row],[Ad Spend]]=0,0,Table1[[#This Row],[Revenue]]/Table1[[#This Row],[Ad Spend]])</f>
        <v>13.617288959341501</v>
      </c>
      <c r="N1922">
        <f>YEAR(Table1[[#This Row],[Date]])</f>
        <v>2025</v>
      </c>
      <c r="O1922" t="str">
        <f>TEXT(Table1[[#This Row],[Date]],"mmm")</f>
        <v>Jan</v>
      </c>
      <c r="P1922">
        <f>MONTH(Table1[[#This Row],[Date]])</f>
        <v>1</v>
      </c>
    </row>
    <row r="1923" spans="1:16" x14ac:dyDescent="0.25">
      <c r="A1923" t="s">
        <v>1942</v>
      </c>
      <c r="B1923" t="s">
        <v>31</v>
      </c>
      <c r="C1923" t="s">
        <v>17</v>
      </c>
      <c r="D1923" s="1">
        <v>45593</v>
      </c>
      <c r="E1923">
        <v>21462</v>
      </c>
      <c r="F1923">
        <v>927</v>
      </c>
      <c r="G1923">
        <v>124</v>
      </c>
      <c r="H1923" s="4">
        <v>4659.43</v>
      </c>
      <c r="I1923" s="4">
        <v>13814.9</v>
      </c>
      <c r="J1923" s="7">
        <f>Table1[[#This Row],[Clicks]]/Table1[[#This Row],[Impressions]]</f>
        <v>4.319261951355885E-2</v>
      </c>
      <c r="K1923" s="7">
        <f>IFERROR(Table1[[#This Row],[Conversions]]/Table1[[#This Row],[Clicks]],0)</f>
        <v>0.13376483279395901</v>
      </c>
      <c r="L1923" s="6">
        <f>IF(Table1[[#This Row],[Conversions]]=0,0,Table1[[#This Row],[Ad Spend]]/Table1[[#This Row],[Conversions]])</f>
        <v>37.576048387096776</v>
      </c>
      <c r="M1923" s="8">
        <f>IF(Table1[[#This Row],[Ad Spend]]=0,0,Table1[[#This Row],[Revenue]]/Table1[[#This Row],[Ad Spend]])</f>
        <v>2.9649334789877728</v>
      </c>
      <c r="N1923">
        <f>YEAR(Table1[[#This Row],[Date]])</f>
        <v>2024</v>
      </c>
      <c r="O1923" t="str">
        <f>TEXT(Table1[[#This Row],[Date]],"mmm")</f>
        <v>Oct</v>
      </c>
      <c r="P1923">
        <f>MONTH(Table1[[#This Row],[Date]])</f>
        <v>10</v>
      </c>
    </row>
    <row r="1924" spans="1:16" x14ac:dyDescent="0.25">
      <c r="A1924" t="s">
        <v>1943</v>
      </c>
      <c r="B1924" t="s">
        <v>14</v>
      </c>
      <c r="C1924" t="s">
        <v>19</v>
      </c>
      <c r="D1924" s="1">
        <v>45594</v>
      </c>
      <c r="E1924">
        <v>63431</v>
      </c>
      <c r="F1924">
        <v>2629</v>
      </c>
      <c r="G1924">
        <v>155</v>
      </c>
      <c r="H1924" s="4">
        <v>3329.86</v>
      </c>
      <c r="I1924" s="4">
        <v>3700.01</v>
      </c>
      <c r="J1924" s="7">
        <f>Table1[[#This Row],[Clicks]]/Table1[[#This Row],[Impressions]]</f>
        <v>4.1446611278397001E-2</v>
      </c>
      <c r="K1924" s="7">
        <f>IFERROR(Table1[[#This Row],[Conversions]]/Table1[[#This Row],[Clicks]],0)</f>
        <v>5.8957778623050593E-2</v>
      </c>
      <c r="L1924" s="6">
        <f>IF(Table1[[#This Row],[Conversions]]=0,0,Table1[[#This Row],[Ad Spend]]/Table1[[#This Row],[Conversions]])</f>
        <v>21.482967741935486</v>
      </c>
      <c r="M1924" s="8">
        <f>IF(Table1[[#This Row],[Ad Spend]]=0,0,Table1[[#This Row],[Revenue]]/Table1[[#This Row],[Ad Spend]])</f>
        <v>1.1111608295844271</v>
      </c>
      <c r="N1924">
        <f>YEAR(Table1[[#This Row],[Date]])</f>
        <v>2024</v>
      </c>
      <c r="O1924" t="str">
        <f>TEXT(Table1[[#This Row],[Date]],"mmm")</f>
        <v>Oct</v>
      </c>
      <c r="P1924">
        <f>MONTH(Table1[[#This Row],[Date]])</f>
        <v>10</v>
      </c>
    </row>
    <row r="1925" spans="1:16" x14ac:dyDescent="0.25">
      <c r="A1925" t="s">
        <v>1944</v>
      </c>
      <c r="B1925" t="s">
        <v>14</v>
      </c>
      <c r="C1925" t="s">
        <v>12</v>
      </c>
      <c r="D1925" s="1">
        <v>45422</v>
      </c>
      <c r="E1925">
        <v>108497</v>
      </c>
      <c r="F1925">
        <v>3100</v>
      </c>
      <c r="G1925">
        <v>275</v>
      </c>
      <c r="H1925" s="4">
        <v>394.61</v>
      </c>
      <c r="I1925" s="4">
        <v>31680.240000000002</v>
      </c>
      <c r="J1925" s="7">
        <f>Table1[[#This Row],[Clicks]]/Table1[[#This Row],[Impressions]]</f>
        <v>2.8572218586689034E-2</v>
      </c>
      <c r="K1925" s="7">
        <f>IFERROR(Table1[[#This Row],[Conversions]]/Table1[[#This Row],[Clicks]],0)</f>
        <v>8.8709677419354843E-2</v>
      </c>
      <c r="L1925" s="6">
        <f>IF(Table1[[#This Row],[Conversions]]=0,0,Table1[[#This Row],[Ad Spend]]/Table1[[#This Row],[Conversions]])</f>
        <v>1.4349454545454545</v>
      </c>
      <c r="M1925" s="8">
        <f>IF(Table1[[#This Row],[Ad Spend]]=0,0,Table1[[#This Row],[Revenue]]/Table1[[#This Row],[Ad Spend]])</f>
        <v>80.282405412939355</v>
      </c>
      <c r="N1925">
        <f>YEAR(Table1[[#This Row],[Date]])</f>
        <v>2024</v>
      </c>
      <c r="O1925" t="str">
        <f>TEXT(Table1[[#This Row],[Date]],"mmm")</f>
        <v>May</v>
      </c>
      <c r="P1925">
        <f>MONTH(Table1[[#This Row],[Date]])</f>
        <v>5</v>
      </c>
    </row>
    <row r="1926" spans="1:16" x14ac:dyDescent="0.25">
      <c r="A1926" t="s">
        <v>1945</v>
      </c>
      <c r="B1926" t="s">
        <v>41</v>
      </c>
      <c r="C1926" t="s">
        <v>37</v>
      </c>
      <c r="D1926" s="1">
        <v>45495</v>
      </c>
      <c r="E1926">
        <v>5589</v>
      </c>
      <c r="F1926">
        <v>224</v>
      </c>
      <c r="G1926">
        <v>32</v>
      </c>
      <c r="H1926" s="4">
        <v>4051.48</v>
      </c>
      <c r="I1926" s="4">
        <v>1515.63</v>
      </c>
      <c r="J1926" s="7">
        <f>Table1[[#This Row],[Clicks]]/Table1[[#This Row],[Impressions]]</f>
        <v>4.0078726069064236E-2</v>
      </c>
      <c r="K1926" s="7">
        <f>IFERROR(Table1[[#This Row],[Conversions]]/Table1[[#This Row],[Clicks]],0)</f>
        <v>0.14285714285714285</v>
      </c>
      <c r="L1926" s="6">
        <f>IF(Table1[[#This Row],[Conversions]]=0,0,Table1[[#This Row],[Ad Spend]]/Table1[[#This Row],[Conversions]])</f>
        <v>126.60875</v>
      </c>
      <c r="M1926" s="8">
        <f>IF(Table1[[#This Row],[Ad Spend]]=0,0,Table1[[#This Row],[Revenue]]/Table1[[#This Row],[Ad Spend]])</f>
        <v>0.37409292406725447</v>
      </c>
      <c r="N1926">
        <f>YEAR(Table1[[#This Row],[Date]])</f>
        <v>2024</v>
      </c>
      <c r="O1926" t="str">
        <f>TEXT(Table1[[#This Row],[Date]],"mmm")</f>
        <v>Jul</v>
      </c>
      <c r="P1926">
        <f>MONTH(Table1[[#This Row],[Date]])</f>
        <v>7</v>
      </c>
    </row>
    <row r="1927" spans="1:16" x14ac:dyDescent="0.25">
      <c r="A1927" t="s">
        <v>1946</v>
      </c>
      <c r="B1927" t="s">
        <v>21</v>
      </c>
      <c r="C1927" t="s">
        <v>10</v>
      </c>
      <c r="D1927" s="1">
        <v>45548</v>
      </c>
      <c r="E1927">
        <v>85269</v>
      </c>
      <c r="F1927">
        <v>5442</v>
      </c>
      <c r="G1927">
        <v>578</v>
      </c>
      <c r="H1927" s="4">
        <v>2583.85</v>
      </c>
      <c r="I1927" s="4">
        <v>45094.19</v>
      </c>
      <c r="J1927" s="7">
        <f>Table1[[#This Row],[Clicks]]/Table1[[#This Row],[Impressions]]</f>
        <v>6.3821552967667033E-2</v>
      </c>
      <c r="K1927" s="7">
        <f>IFERROR(Table1[[#This Row],[Conversions]]/Table1[[#This Row],[Clicks]],0)</f>
        <v>0.10621095185593532</v>
      </c>
      <c r="L1927" s="6">
        <f>IF(Table1[[#This Row],[Conversions]]=0,0,Table1[[#This Row],[Ad Spend]]/Table1[[#This Row],[Conversions]])</f>
        <v>4.4703287197231836</v>
      </c>
      <c r="M1927" s="8">
        <f>IF(Table1[[#This Row],[Ad Spend]]=0,0,Table1[[#This Row],[Revenue]]/Table1[[#This Row],[Ad Spend]])</f>
        <v>17.452325018867196</v>
      </c>
      <c r="N1927">
        <f>YEAR(Table1[[#This Row],[Date]])</f>
        <v>2024</v>
      </c>
      <c r="O1927" t="str">
        <f>TEXT(Table1[[#This Row],[Date]],"mmm")</f>
        <v>Sept</v>
      </c>
      <c r="P1927">
        <f>MONTH(Table1[[#This Row],[Date]])</f>
        <v>9</v>
      </c>
    </row>
    <row r="1928" spans="1:16" x14ac:dyDescent="0.25">
      <c r="A1928" t="s">
        <v>1947</v>
      </c>
      <c r="B1928" t="s">
        <v>34</v>
      </c>
      <c r="C1928" t="s">
        <v>10</v>
      </c>
      <c r="D1928" s="1">
        <v>45412</v>
      </c>
      <c r="E1928">
        <v>106980</v>
      </c>
      <c r="F1928">
        <v>5269</v>
      </c>
      <c r="G1928">
        <v>330</v>
      </c>
      <c r="H1928" s="4">
        <v>2816.3</v>
      </c>
      <c r="I1928" s="4">
        <v>13208.48</v>
      </c>
      <c r="J1928" s="7">
        <f>Table1[[#This Row],[Clicks]]/Table1[[#This Row],[Impressions]]</f>
        <v>4.9252196672275192E-2</v>
      </c>
      <c r="K1928" s="7">
        <f>IFERROR(Table1[[#This Row],[Conversions]]/Table1[[#This Row],[Clicks]],0)</f>
        <v>6.2630480167014613E-2</v>
      </c>
      <c r="L1928" s="6">
        <f>IF(Table1[[#This Row],[Conversions]]=0,0,Table1[[#This Row],[Ad Spend]]/Table1[[#This Row],[Conversions]])</f>
        <v>8.5342424242424251</v>
      </c>
      <c r="M1928" s="8">
        <f>IF(Table1[[#This Row],[Ad Spend]]=0,0,Table1[[#This Row],[Revenue]]/Table1[[#This Row],[Ad Spend]])</f>
        <v>4.6900117175016858</v>
      </c>
      <c r="N1928">
        <f>YEAR(Table1[[#This Row],[Date]])</f>
        <v>2024</v>
      </c>
      <c r="O1928" t="str">
        <f>TEXT(Table1[[#This Row],[Date]],"mmm")</f>
        <v>Apr</v>
      </c>
      <c r="P1928">
        <f>MONTH(Table1[[#This Row],[Date]])</f>
        <v>4</v>
      </c>
    </row>
    <row r="1929" spans="1:16" x14ac:dyDescent="0.25">
      <c r="A1929" t="s">
        <v>1948</v>
      </c>
      <c r="B1929" t="s">
        <v>21</v>
      </c>
      <c r="C1929" t="s">
        <v>10</v>
      </c>
      <c r="D1929" s="1">
        <v>45460</v>
      </c>
      <c r="E1929">
        <v>69381</v>
      </c>
      <c r="F1929">
        <v>5291</v>
      </c>
      <c r="G1929">
        <v>120</v>
      </c>
      <c r="H1929" s="4">
        <v>823.41</v>
      </c>
      <c r="I1929" s="4">
        <v>11392.92</v>
      </c>
      <c r="J1929" s="7">
        <f>Table1[[#This Row],[Clicks]]/Table1[[#This Row],[Impressions]]</f>
        <v>7.6260071201049273E-2</v>
      </c>
      <c r="K1929" s="7">
        <f>IFERROR(Table1[[#This Row],[Conversions]]/Table1[[#This Row],[Clicks]],0)</f>
        <v>2.2680022680022682E-2</v>
      </c>
      <c r="L1929" s="6">
        <f>IF(Table1[[#This Row],[Conversions]]=0,0,Table1[[#This Row],[Ad Spend]]/Table1[[#This Row],[Conversions]])</f>
        <v>6.8617499999999998</v>
      </c>
      <c r="M1929" s="8">
        <f>IF(Table1[[#This Row],[Ad Spend]]=0,0,Table1[[#This Row],[Revenue]]/Table1[[#This Row],[Ad Spend]])</f>
        <v>13.836266258607498</v>
      </c>
      <c r="N1929">
        <f>YEAR(Table1[[#This Row],[Date]])</f>
        <v>2024</v>
      </c>
      <c r="O1929" t="str">
        <f>TEXT(Table1[[#This Row],[Date]],"mmm")</f>
        <v>Jun</v>
      </c>
      <c r="P1929">
        <f>MONTH(Table1[[#This Row],[Date]])</f>
        <v>6</v>
      </c>
    </row>
    <row r="1930" spans="1:16" x14ac:dyDescent="0.25">
      <c r="A1930" t="s">
        <v>1949</v>
      </c>
      <c r="B1930" t="s">
        <v>34</v>
      </c>
      <c r="C1930" t="s">
        <v>37</v>
      </c>
      <c r="D1930" s="1">
        <v>45628</v>
      </c>
      <c r="E1930">
        <v>81629</v>
      </c>
      <c r="F1930">
        <v>4655</v>
      </c>
      <c r="G1930">
        <v>344</v>
      </c>
      <c r="H1930" s="4">
        <v>4548.58</v>
      </c>
      <c r="I1930" s="4">
        <v>13900.81</v>
      </c>
      <c r="J1930" s="7">
        <f>Table1[[#This Row],[Clicks]]/Table1[[#This Row],[Impressions]]</f>
        <v>5.7026301927011233E-2</v>
      </c>
      <c r="K1930" s="7">
        <f>IFERROR(Table1[[#This Row],[Conversions]]/Table1[[#This Row],[Clicks]],0)</f>
        <v>7.3899033297529532E-2</v>
      </c>
      <c r="L1930" s="6">
        <f>IF(Table1[[#This Row],[Conversions]]=0,0,Table1[[#This Row],[Ad Spend]]/Table1[[#This Row],[Conversions]])</f>
        <v>13.222616279069767</v>
      </c>
      <c r="M1930" s="8">
        <f>IF(Table1[[#This Row],[Ad Spend]]=0,0,Table1[[#This Row],[Revenue]]/Table1[[#This Row],[Ad Spend]])</f>
        <v>3.0560768415637405</v>
      </c>
      <c r="N1930">
        <f>YEAR(Table1[[#This Row],[Date]])</f>
        <v>2024</v>
      </c>
      <c r="O1930" t="str">
        <f>TEXT(Table1[[#This Row],[Date]],"mmm")</f>
        <v>Dec</v>
      </c>
      <c r="P1930">
        <f>MONTH(Table1[[#This Row],[Date]])</f>
        <v>12</v>
      </c>
    </row>
    <row r="1931" spans="1:16" x14ac:dyDescent="0.25">
      <c r="A1931" t="s">
        <v>1950</v>
      </c>
      <c r="B1931" t="s">
        <v>16</v>
      </c>
      <c r="C1931" t="s">
        <v>19</v>
      </c>
      <c r="D1931" s="1">
        <v>45341</v>
      </c>
      <c r="E1931">
        <v>80701</v>
      </c>
      <c r="F1931">
        <v>2555</v>
      </c>
      <c r="G1931">
        <v>231</v>
      </c>
      <c r="H1931" s="4">
        <v>2833.67</v>
      </c>
      <c r="I1931" s="4">
        <v>6204.42</v>
      </c>
      <c r="J1931" s="7">
        <f>Table1[[#This Row],[Clicks]]/Table1[[#This Row],[Impressions]]</f>
        <v>3.1660078561603945E-2</v>
      </c>
      <c r="K1931" s="7">
        <f>IFERROR(Table1[[#This Row],[Conversions]]/Table1[[#This Row],[Clicks]],0)</f>
        <v>9.0410958904109592E-2</v>
      </c>
      <c r="L1931" s="6">
        <f>IF(Table1[[#This Row],[Conversions]]=0,0,Table1[[#This Row],[Ad Spend]]/Table1[[#This Row],[Conversions]])</f>
        <v>12.266969696969698</v>
      </c>
      <c r="M1931" s="8">
        <f>IF(Table1[[#This Row],[Ad Spend]]=0,0,Table1[[#This Row],[Revenue]]/Table1[[#This Row],[Ad Spend]])</f>
        <v>2.1895351258262252</v>
      </c>
      <c r="N1931">
        <f>YEAR(Table1[[#This Row],[Date]])</f>
        <v>2024</v>
      </c>
      <c r="O1931" t="str">
        <f>TEXT(Table1[[#This Row],[Date]],"mmm")</f>
        <v>Feb</v>
      </c>
      <c r="P1931">
        <f>MONTH(Table1[[#This Row],[Date]])</f>
        <v>2</v>
      </c>
    </row>
    <row r="1932" spans="1:16" x14ac:dyDescent="0.25">
      <c r="A1932" t="s">
        <v>1951</v>
      </c>
      <c r="B1932" t="s">
        <v>16</v>
      </c>
      <c r="C1932" t="s">
        <v>10</v>
      </c>
      <c r="D1932" s="1">
        <v>45293</v>
      </c>
      <c r="E1932">
        <v>67796</v>
      </c>
      <c r="F1932">
        <v>991</v>
      </c>
      <c r="G1932">
        <v>119</v>
      </c>
      <c r="H1932" s="4">
        <v>3840.55</v>
      </c>
      <c r="I1932" s="4">
        <v>5593.61</v>
      </c>
      <c r="J1932" s="7">
        <f>Table1[[#This Row],[Clicks]]/Table1[[#This Row],[Impressions]]</f>
        <v>1.4617381556434009E-2</v>
      </c>
      <c r="K1932" s="7">
        <f>IFERROR(Table1[[#This Row],[Conversions]]/Table1[[#This Row],[Clicks]],0)</f>
        <v>0.12008072653884964</v>
      </c>
      <c r="L1932" s="6">
        <f>IF(Table1[[#This Row],[Conversions]]=0,0,Table1[[#This Row],[Ad Spend]]/Table1[[#This Row],[Conversions]])</f>
        <v>32.273529411764706</v>
      </c>
      <c r="M1932" s="8">
        <f>IF(Table1[[#This Row],[Ad Spend]]=0,0,Table1[[#This Row],[Revenue]]/Table1[[#This Row],[Ad Spend]])</f>
        <v>1.4564606631862622</v>
      </c>
      <c r="N1932">
        <f>YEAR(Table1[[#This Row],[Date]])</f>
        <v>2024</v>
      </c>
      <c r="O1932" t="str">
        <f>TEXT(Table1[[#This Row],[Date]],"mmm")</f>
        <v>Jan</v>
      </c>
      <c r="P1932">
        <f>MONTH(Table1[[#This Row],[Date]])</f>
        <v>1</v>
      </c>
    </row>
    <row r="1933" spans="1:16" x14ac:dyDescent="0.25">
      <c r="A1933" t="s">
        <v>1952</v>
      </c>
      <c r="B1933" t="s">
        <v>16</v>
      </c>
      <c r="C1933" t="s">
        <v>10</v>
      </c>
      <c r="D1933" s="1">
        <v>45683</v>
      </c>
      <c r="E1933">
        <v>123303</v>
      </c>
      <c r="F1933">
        <v>4146</v>
      </c>
      <c r="G1933">
        <v>352</v>
      </c>
      <c r="H1933" s="4">
        <v>4208.92</v>
      </c>
      <c r="I1933" s="4">
        <v>25857.63</v>
      </c>
      <c r="J1933" s="7">
        <f>Table1[[#This Row],[Clicks]]/Table1[[#This Row],[Impressions]]</f>
        <v>3.3624486022237901E-2</v>
      </c>
      <c r="K1933" s="7">
        <f>IFERROR(Table1[[#This Row],[Conversions]]/Table1[[#This Row],[Clicks]],0)</f>
        <v>8.4901109503135549E-2</v>
      </c>
      <c r="L1933" s="6">
        <f>IF(Table1[[#This Row],[Conversions]]=0,0,Table1[[#This Row],[Ad Spend]]/Table1[[#This Row],[Conversions]])</f>
        <v>11.957159090909091</v>
      </c>
      <c r="M1933" s="8">
        <f>IF(Table1[[#This Row],[Ad Spend]]=0,0,Table1[[#This Row],[Revenue]]/Table1[[#This Row],[Ad Spend]])</f>
        <v>6.1435308820314951</v>
      </c>
      <c r="N1933">
        <f>YEAR(Table1[[#This Row],[Date]])</f>
        <v>2025</v>
      </c>
      <c r="O1933" t="str">
        <f>TEXT(Table1[[#This Row],[Date]],"mmm")</f>
        <v>Jan</v>
      </c>
      <c r="P1933">
        <f>MONTH(Table1[[#This Row],[Date]])</f>
        <v>1</v>
      </c>
    </row>
    <row r="1934" spans="1:16" x14ac:dyDescent="0.25">
      <c r="A1934" t="s">
        <v>1953</v>
      </c>
      <c r="B1934" t="s">
        <v>9</v>
      </c>
      <c r="C1934" t="s">
        <v>17</v>
      </c>
      <c r="D1934" s="1">
        <v>45634</v>
      </c>
      <c r="E1934">
        <v>77954</v>
      </c>
      <c r="F1934">
        <v>5065</v>
      </c>
      <c r="G1934">
        <v>335</v>
      </c>
      <c r="H1934" s="4">
        <v>641.74</v>
      </c>
      <c r="I1934" s="4">
        <v>12609.35</v>
      </c>
      <c r="J1934" s="7">
        <f>Table1[[#This Row],[Clicks]]/Table1[[#This Row],[Impressions]]</f>
        <v>6.4974215563024351E-2</v>
      </c>
      <c r="K1934" s="7">
        <f>IFERROR(Table1[[#This Row],[Conversions]]/Table1[[#This Row],[Clicks]],0)</f>
        <v>6.6140177690029611E-2</v>
      </c>
      <c r="L1934" s="6">
        <f>IF(Table1[[#This Row],[Conversions]]=0,0,Table1[[#This Row],[Ad Spend]]/Table1[[#This Row],[Conversions]])</f>
        <v>1.9156417910447761</v>
      </c>
      <c r="M1934" s="8">
        <f>IF(Table1[[#This Row],[Ad Spend]]=0,0,Table1[[#This Row],[Revenue]]/Table1[[#This Row],[Ad Spend]])</f>
        <v>19.64868950042073</v>
      </c>
      <c r="N1934">
        <f>YEAR(Table1[[#This Row],[Date]])</f>
        <v>2024</v>
      </c>
      <c r="O1934" t="str">
        <f>TEXT(Table1[[#This Row],[Date]],"mmm")</f>
        <v>Dec</v>
      </c>
      <c r="P1934">
        <f>MONTH(Table1[[#This Row],[Date]])</f>
        <v>12</v>
      </c>
    </row>
    <row r="1935" spans="1:16" x14ac:dyDescent="0.25">
      <c r="A1935" t="s">
        <v>1954</v>
      </c>
      <c r="B1935" t="s">
        <v>14</v>
      </c>
      <c r="C1935" t="s">
        <v>12</v>
      </c>
      <c r="D1935" s="1">
        <v>45420</v>
      </c>
      <c r="E1935">
        <v>9778</v>
      </c>
      <c r="F1935">
        <v>721</v>
      </c>
      <c r="G1935">
        <v>72</v>
      </c>
      <c r="H1935" s="4">
        <v>4853.2299999999996</v>
      </c>
      <c r="I1935" s="4">
        <v>6958.68</v>
      </c>
      <c r="J1935" s="7">
        <f>Table1[[#This Row],[Clicks]]/Table1[[#This Row],[Impressions]]</f>
        <v>7.3736960523624467E-2</v>
      </c>
      <c r="K1935" s="7">
        <f>IFERROR(Table1[[#This Row],[Conversions]]/Table1[[#This Row],[Clicks]],0)</f>
        <v>9.9861303744798888E-2</v>
      </c>
      <c r="L1935" s="6">
        <f>IF(Table1[[#This Row],[Conversions]]=0,0,Table1[[#This Row],[Ad Spend]]/Table1[[#This Row],[Conversions]])</f>
        <v>67.405972222222218</v>
      </c>
      <c r="M1935" s="8">
        <f>IF(Table1[[#This Row],[Ad Spend]]=0,0,Table1[[#This Row],[Revenue]]/Table1[[#This Row],[Ad Spend]])</f>
        <v>1.4338244839004128</v>
      </c>
      <c r="N1935">
        <f>YEAR(Table1[[#This Row],[Date]])</f>
        <v>2024</v>
      </c>
      <c r="O1935" t="str">
        <f>TEXT(Table1[[#This Row],[Date]],"mmm")</f>
        <v>May</v>
      </c>
      <c r="P1935">
        <f>MONTH(Table1[[#This Row],[Date]])</f>
        <v>5</v>
      </c>
    </row>
    <row r="1936" spans="1:16" x14ac:dyDescent="0.25">
      <c r="A1936" t="s">
        <v>1955</v>
      </c>
      <c r="B1936" t="s">
        <v>9</v>
      </c>
      <c r="C1936" t="s">
        <v>37</v>
      </c>
      <c r="D1936" s="1">
        <v>45366</v>
      </c>
      <c r="E1936">
        <v>94679</v>
      </c>
      <c r="F1936">
        <v>2009</v>
      </c>
      <c r="G1936">
        <v>253</v>
      </c>
      <c r="H1936" s="4">
        <v>2767.08</v>
      </c>
      <c r="I1936" s="4">
        <v>17170.87</v>
      </c>
      <c r="J1936" s="7">
        <f>Table1[[#This Row],[Clicks]]/Table1[[#This Row],[Impressions]]</f>
        <v>2.1219066530064744E-2</v>
      </c>
      <c r="K1936" s="7">
        <f>IFERROR(Table1[[#This Row],[Conversions]]/Table1[[#This Row],[Clicks]],0)</f>
        <v>0.12593330014932802</v>
      </c>
      <c r="L1936" s="6">
        <f>IF(Table1[[#This Row],[Conversions]]=0,0,Table1[[#This Row],[Ad Spend]]/Table1[[#This Row],[Conversions]])</f>
        <v>10.93707509881423</v>
      </c>
      <c r="M1936" s="8">
        <f>IF(Table1[[#This Row],[Ad Spend]]=0,0,Table1[[#This Row],[Revenue]]/Table1[[#This Row],[Ad Spend]])</f>
        <v>6.2054114806944503</v>
      </c>
      <c r="N1936">
        <f>YEAR(Table1[[#This Row],[Date]])</f>
        <v>2024</v>
      </c>
      <c r="O1936" t="str">
        <f>TEXT(Table1[[#This Row],[Date]],"mmm")</f>
        <v>Mar</v>
      </c>
      <c r="P1936">
        <f>MONTH(Table1[[#This Row],[Date]])</f>
        <v>3</v>
      </c>
    </row>
    <row r="1937" spans="1:16" x14ac:dyDescent="0.25">
      <c r="A1937" t="s">
        <v>1956</v>
      </c>
      <c r="B1937" t="s">
        <v>47</v>
      </c>
      <c r="C1937" t="s">
        <v>10</v>
      </c>
      <c r="D1937" s="1">
        <v>45466</v>
      </c>
      <c r="E1937">
        <v>107046</v>
      </c>
      <c r="F1937">
        <v>7010</v>
      </c>
      <c r="G1937">
        <v>534</v>
      </c>
      <c r="H1937" s="4">
        <v>4074.92</v>
      </c>
      <c r="I1937" s="4">
        <v>52111.040000000001</v>
      </c>
      <c r="J1937" s="7">
        <f>Table1[[#This Row],[Clicks]]/Table1[[#This Row],[Impressions]]</f>
        <v>6.5485865889430714E-2</v>
      </c>
      <c r="K1937" s="7">
        <f>IFERROR(Table1[[#This Row],[Conversions]]/Table1[[#This Row],[Clicks]],0)</f>
        <v>7.6176890156918683E-2</v>
      </c>
      <c r="L1937" s="6">
        <f>IF(Table1[[#This Row],[Conversions]]=0,0,Table1[[#This Row],[Ad Spend]]/Table1[[#This Row],[Conversions]])</f>
        <v>7.6309363295880148</v>
      </c>
      <c r="M1937" s="8">
        <f>IF(Table1[[#This Row],[Ad Spend]]=0,0,Table1[[#This Row],[Revenue]]/Table1[[#This Row],[Ad Spend]])</f>
        <v>12.788236333474032</v>
      </c>
      <c r="N1937">
        <f>YEAR(Table1[[#This Row],[Date]])</f>
        <v>2024</v>
      </c>
      <c r="O1937" t="str">
        <f>TEXT(Table1[[#This Row],[Date]],"mmm")</f>
        <v>Jun</v>
      </c>
      <c r="P1937">
        <f>MONTH(Table1[[#This Row],[Date]])</f>
        <v>6</v>
      </c>
    </row>
    <row r="1938" spans="1:16" x14ac:dyDescent="0.25">
      <c r="A1938" t="s">
        <v>1957</v>
      </c>
      <c r="B1938" t="s">
        <v>21</v>
      </c>
      <c r="C1938" t="s">
        <v>37</v>
      </c>
      <c r="D1938" s="1">
        <v>45377</v>
      </c>
      <c r="E1938">
        <v>54845</v>
      </c>
      <c r="F1938">
        <v>2932</v>
      </c>
      <c r="G1938">
        <v>242</v>
      </c>
      <c r="H1938" s="4">
        <v>3014.5</v>
      </c>
      <c r="I1938" s="4">
        <v>21715.98</v>
      </c>
      <c r="J1938" s="7">
        <f>Table1[[#This Row],[Clicks]]/Table1[[#This Row],[Impressions]]</f>
        <v>5.345975020512353E-2</v>
      </c>
      <c r="K1938" s="7">
        <f>IFERROR(Table1[[#This Row],[Conversions]]/Table1[[#This Row],[Clicks]],0)</f>
        <v>8.2537517053206E-2</v>
      </c>
      <c r="L1938" s="6">
        <f>IF(Table1[[#This Row],[Conversions]]=0,0,Table1[[#This Row],[Ad Spend]]/Table1[[#This Row],[Conversions]])</f>
        <v>12.456611570247935</v>
      </c>
      <c r="M1938" s="8">
        <f>IF(Table1[[#This Row],[Ad Spend]]=0,0,Table1[[#This Row],[Revenue]]/Table1[[#This Row],[Ad Spend]])</f>
        <v>7.2038414330734781</v>
      </c>
      <c r="N1938">
        <f>YEAR(Table1[[#This Row],[Date]])</f>
        <v>2024</v>
      </c>
      <c r="O1938" t="str">
        <f>TEXT(Table1[[#This Row],[Date]],"mmm")</f>
        <v>Mar</v>
      </c>
      <c r="P1938">
        <f>MONTH(Table1[[#This Row],[Date]])</f>
        <v>3</v>
      </c>
    </row>
    <row r="1939" spans="1:16" x14ac:dyDescent="0.25">
      <c r="A1939" t="s">
        <v>1958</v>
      </c>
      <c r="B1939" t="s">
        <v>14</v>
      </c>
      <c r="C1939" t="s">
        <v>17</v>
      </c>
      <c r="D1939" s="1">
        <v>45577</v>
      </c>
      <c r="E1939">
        <v>125023</v>
      </c>
      <c r="F1939">
        <v>4639</v>
      </c>
      <c r="G1939">
        <v>480</v>
      </c>
      <c r="H1939" s="4">
        <v>1155.74</v>
      </c>
      <c r="I1939" s="4">
        <v>11614.3</v>
      </c>
      <c r="J1939" s="7">
        <f>Table1[[#This Row],[Clicks]]/Table1[[#This Row],[Impressions]]</f>
        <v>3.7105172648232723E-2</v>
      </c>
      <c r="K1939" s="7">
        <f>IFERROR(Table1[[#This Row],[Conversions]]/Table1[[#This Row],[Clicks]],0)</f>
        <v>0.10347057555507652</v>
      </c>
      <c r="L1939" s="6">
        <f>IF(Table1[[#This Row],[Conversions]]=0,0,Table1[[#This Row],[Ad Spend]]/Table1[[#This Row],[Conversions]])</f>
        <v>2.4077916666666668</v>
      </c>
      <c r="M1939" s="8">
        <f>IF(Table1[[#This Row],[Ad Spend]]=0,0,Table1[[#This Row],[Revenue]]/Table1[[#This Row],[Ad Spend]])</f>
        <v>10.049232526346756</v>
      </c>
      <c r="N1939">
        <f>YEAR(Table1[[#This Row],[Date]])</f>
        <v>2024</v>
      </c>
      <c r="O1939" t="str">
        <f>TEXT(Table1[[#This Row],[Date]],"mmm")</f>
        <v>Oct</v>
      </c>
      <c r="P1939">
        <f>MONTH(Table1[[#This Row],[Date]])</f>
        <v>10</v>
      </c>
    </row>
    <row r="1940" spans="1:16" x14ac:dyDescent="0.25">
      <c r="A1940" t="s">
        <v>1959</v>
      </c>
      <c r="B1940" t="s">
        <v>41</v>
      </c>
      <c r="C1940" t="s">
        <v>37</v>
      </c>
      <c r="D1940" s="1">
        <v>45293</v>
      </c>
      <c r="E1940">
        <v>98171</v>
      </c>
      <c r="F1940">
        <v>1099</v>
      </c>
      <c r="G1940">
        <v>116</v>
      </c>
      <c r="H1940" s="4">
        <v>1988.18</v>
      </c>
      <c r="I1940" s="4">
        <v>6249.22</v>
      </c>
      <c r="J1940" s="7">
        <f>Table1[[#This Row],[Clicks]]/Table1[[#This Row],[Impressions]]</f>
        <v>1.1194752014342321E-2</v>
      </c>
      <c r="K1940" s="7">
        <f>IFERROR(Table1[[#This Row],[Conversions]]/Table1[[#This Row],[Clicks]],0)</f>
        <v>0.10555050045495905</v>
      </c>
      <c r="L1940" s="6">
        <f>IF(Table1[[#This Row],[Conversions]]=0,0,Table1[[#This Row],[Ad Spend]]/Table1[[#This Row],[Conversions]])</f>
        <v>17.139482758620691</v>
      </c>
      <c r="M1940" s="8">
        <f>IF(Table1[[#This Row],[Ad Spend]]=0,0,Table1[[#This Row],[Revenue]]/Table1[[#This Row],[Ad Spend]])</f>
        <v>3.1431862306229816</v>
      </c>
      <c r="N1940">
        <f>YEAR(Table1[[#This Row],[Date]])</f>
        <v>2024</v>
      </c>
      <c r="O1940" t="str">
        <f>TEXT(Table1[[#This Row],[Date]],"mmm")</f>
        <v>Jan</v>
      </c>
      <c r="P1940">
        <f>MONTH(Table1[[#This Row],[Date]])</f>
        <v>1</v>
      </c>
    </row>
    <row r="1941" spans="1:16" x14ac:dyDescent="0.25">
      <c r="A1941" t="s">
        <v>1960</v>
      </c>
      <c r="B1941" t="s">
        <v>31</v>
      </c>
      <c r="C1941" t="s">
        <v>19</v>
      </c>
      <c r="D1941" s="1">
        <v>45529</v>
      </c>
      <c r="E1941">
        <v>27341</v>
      </c>
      <c r="F1941">
        <v>530</v>
      </c>
      <c r="G1941">
        <v>17</v>
      </c>
      <c r="H1941" s="4">
        <v>2698.47</v>
      </c>
      <c r="I1941" s="4">
        <v>1642.41</v>
      </c>
      <c r="J1941" s="7">
        <f>Table1[[#This Row],[Clicks]]/Table1[[#This Row],[Impressions]]</f>
        <v>1.9384806700559601E-2</v>
      </c>
      <c r="K1941" s="7">
        <f>IFERROR(Table1[[#This Row],[Conversions]]/Table1[[#This Row],[Clicks]],0)</f>
        <v>3.2075471698113207E-2</v>
      </c>
      <c r="L1941" s="6">
        <f>IF(Table1[[#This Row],[Conversions]]=0,0,Table1[[#This Row],[Ad Spend]]/Table1[[#This Row],[Conversions]])</f>
        <v>158.73352941176469</v>
      </c>
      <c r="M1941" s="8">
        <f>IF(Table1[[#This Row],[Ad Spend]]=0,0,Table1[[#This Row],[Revenue]]/Table1[[#This Row],[Ad Spend]])</f>
        <v>0.60864489877597316</v>
      </c>
      <c r="N1941">
        <f>YEAR(Table1[[#This Row],[Date]])</f>
        <v>2024</v>
      </c>
      <c r="O1941" t="str">
        <f>TEXT(Table1[[#This Row],[Date]],"mmm")</f>
        <v>Aug</v>
      </c>
      <c r="P1941">
        <f>MONTH(Table1[[#This Row],[Date]])</f>
        <v>8</v>
      </c>
    </row>
    <row r="1942" spans="1:16" x14ac:dyDescent="0.25">
      <c r="A1942" t="s">
        <v>1961</v>
      </c>
      <c r="B1942" t="s">
        <v>16</v>
      </c>
      <c r="C1942" t="s">
        <v>17</v>
      </c>
      <c r="D1942" s="1">
        <v>45545</v>
      </c>
      <c r="E1942">
        <v>149599</v>
      </c>
      <c r="F1942">
        <v>9097</v>
      </c>
      <c r="G1942">
        <v>584</v>
      </c>
      <c r="H1942" s="4">
        <v>3199.74</v>
      </c>
      <c r="I1942" s="4">
        <v>13576.84</v>
      </c>
      <c r="J1942" s="7">
        <f>Table1[[#This Row],[Clicks]]/Table1[[#This Row],[Impressions]]</f>
        <v>6.0809230008221977E-2</v>
      </c>
      <c r="K1942" s="7">
        <f>IFERROR(Table1[[#This Row],[Conversions]]/Table1[[#This Row],[Clicks]],0)</f>
        <v>6.4196988018027923E-2</v>
      </c>
      <c r="L1942" s="6">
        <f>IF(Table1[[#This Row],[Conversions]]=0,0,Table1[[#This Row],[Ad Spend]]/Table1[[#This Row],[Conversions]])</f>
        <v>5.4790068493150681</v>
      </c>
      <c r="M1942" s="8">
        <f>IF(Table1[[#This Row],[Ad Spend]]=0,0,Table1[[#This Row],[Revenue]]/Table1[[#This Row],[Ad Spend]])</f>
        <v>4.243107252464263</v>
      </c>
      <c r="N1942">
        <f>YEAR(Table1[[#This Row],[Date]])</f>
        <v>2024</v>
      </c>
      <c r="O1942" t="str">
        <f>TEXT(Table1[[#This Row],[Date]],"mmm")</f>
        <v>Sept</v>
      </c>
      <c r="P1942">
        <f>MONTH(Table1[[#This Row],[Date]])</f>
        <v>9</v>
      </c>
    </row>
    <row r="1943" spans="1:16" x14ac:dyDescent="0.25">
      <c r="A1943" t="s">
        <v>1962</v>
      </c>
      <c r="B1943" t="s">
        <v>47</v>
      </c>
      <c r="C1943" t="s">
        <v>37</v>
      </c>
      <c r="D1943" s="1">
        <v>45451</v>
      </c>
      <c r="E1943">
        <v>145792</v>
      </c>
      <c r="F1943">
        <v>9848</v>
      </c>
      <c r="G1943">
        <v>572</v>
      </c>
      <c r="H1943" s="4">
        <v>4321.55</v>
      </c>
      <c r="I1943" s="4">
        <v>14581.02</v>
      </c>
      <c r="J1943" s="7">
        <f>Table1[[#This Row],[Clicks]]/Table1[[#This Row],[Impressions]]</f>
        <v>6.754828797190518E-2</v>
      </c>
      <c r="K1943" s="7">
        <f>IFERROR(Table1[[#This Row],[Conversions]]/Table1[[#This Row],[Clicks]],0)</f>
        <v>5.8082859463850528E-2</v>
      </c>
      <c r="L1943" s="6">
        <f>IF(Table1[[#This Row],[Conversions]]=0,0,Table1[[#This Row],[Ad Spend]]/Table1[[#This Row],[Conversions]])</f>
        <v>7.5551573426573428</v>
      </c>
      <c r="M1943" s="8">
        <f>IF(Table1[[#This Row],[Ad Spend]]=0,0,Table1[[#This Row],[Revenue]]/Table1[[#This Row],[Ad Spend]])</f>
        <v>3.37402552324976</v>
      </c>
      <c r="N1943">
        <f>YEAR(Table1[[#This Row],[Date]])</f>
        <v>2024</v>
      </c>
      <c r="O1943" t="str">
        <f>TEXT(Table1[[#This Row],[Date]],"mmm")</f>
        <v>Jun</v>
      </c>
      <c r="P1943">
        <f>MONTH(Table1[[#This Row],[Date]])</f>
        <v>6</v>
      </c>
    </row>
    <row r="1944" spans="1:16" x14ac:dyDescent="0.25">
      <c r="A1944" t="s">
        <v>1963</v>
      </c>
      <c r="B1944" t="s">
        <v>34</v>
      </c>
      <c r="C1944" t="s">
        <v>37</v>
      </c>
      <c r="D1944" s="1">
        <v>45648</v>
      </c>
      <c r="E1944">
        <v>72706</v>
      </c>
      <c r="F1944">
        <v>4878</v>
      </c>
      <c r="G1944">
        <v>731</v>
      </c>
      <c r="H1944" s="4">
        <v>1547.21</v>
      </c>
      <c r="I1944" s="4">
        <v>76735.77</v>
      </c>
      <c r="J1944" s="7">
        <f>Table1[[#This Row],[Clicks]]/Table1[[#This Row],[Impressions]]</f>
        <v>6.7092124446400572E-2</v>
      </c>
      <c r="K1944" s="7">
        <f>IFERROR(Table1[[#This Row],[Conversions]]/Table1[[#This Row],[Clicks]],0)</f>
        <v>0.14985649856498565</v>
      </c>
      <c r="L1944" s="6">
        <f>IF(Table1[[#This Row],[Conversions]]=0,0,Table1[[#This Row],[Ad Spend]]/Table1[[#This Row],[Conversions]])</f>
        <v>2.1165663474692202</v>
      </c>
      <c r="M1944" s="8">
        <f>IF(Table1[[#This Row],[Ad Spend]]=0,0,Table1[[#This Row],[Revenue]]/Table1[[#This Row],[Ad Spend]])</f>
        <v>49.59622158595149</v>
      </c>
      <c r="N1944">
        <f>YEAR(Table1[[#This Row],[Date]])</f>
        <v>2024</v>
      </c>
      <c r="O1944" t="str">
        <f>TEXT(Table1[[#This Row],[Date]],"mmm")</f>
        <v>Dec</v>
      </c>
      <c r="P1944">
        <f>MONTH(Table1[[#This Row],[Date]])</f>
        <v>12</v>
      </c>
    </row>
    <row r="1945" spans="1:16" x14ac:dyDescent="0.25">
      <c r="A1945" t="s">
        <v>1964</v>
      </c>
      <c r="B1945" t="s">
        <v>9</v>
      </c>
      <c r="C1945" t="s">
        <v>12</v>
      </c>
      <c r="D1945" s="1">
        <v>45478</v>
      </c>
      <c r="E1945">
        <v>24690</v>
      </c>
      <c r="F1945">
        <v>1108</v>
      </c>
      <c r="G1945">
        <v>128</v>
      </c>
      <c r="H1945" s="4">
        <v>2152.98</v>
      </c>
      <c r="I1945" s="4">
        <v>2894.69</v>
      </c>
      <c r="J1945" s="7">
        <f>Table1[[#This Row],[Clicks]]/Table1[[#This Row],[Impressions]]</f>
        <v>4.4876468205751315E-2</v>
      </c>
      <c r="K1945" s="7">
        <f>IFERROR(Table1[[#This Row],[Conversions]]/Table1[[#This Row],[Clicks]],0)</f>
        <v>0.11552346570397112</v>
      </c>
      <c r="L1945" s="6">
        <f>IF(Table1[[#This Row],[Conversions]]=0,0,Table1[[#This Row],[Ad Spend]]/Table1[[#This Row],[Conversions]])</f>
        <v>16.82015625</v>
      </c>
      <c r="M1945" s="8">
        <f>IF(Table1[[#This Row],[Ad Spend]]=0,0,Table1[[#This Row],[Revenue]]/Table1[[#This Row],[Ad Spend]])</f>
        <v>1.3445038969242631</v>
      </c>
      <c r="N1945">
        <f>YEAR(Table1[[#This Row],[Date]])</f>
        <v>2024</v>
      </c>
      <c r="O1945" t="str">
        <f>TEXT(Table1[[#This Row],[Date]],"mmm")</f>
        <v>Jul</v>
      </c>
      <c r="P1945">
        <f>MONTH(Table1[[#This Row],[Date]])</f>
        <v>7</v>
      </c>
    </row>
    <row r="1946" spans="1:16" x14ac:dyDescent="0.25">
      <c r="A1946" t="s">
        <v>1965</v>
      </c>
      <c r="B1946" t="s">
        <v>34</v>
      </c>
      <c r="C1946" t="s">
        <v>19</v>
      </c>
      <c r="D1946" s="1">
        <v>45386</v>
      </c>
      <c r="E1946">
        <v>29399</v>
      </c>
      <c r="F1946">
        <v>2083</v>
      </c>
      <c r="G1946">
        <v>293</v>
      </c>
      <c r="H1946" s="4">
        <v>3093.95</v>
      </c>
      <c r="I1946" s="4">
        <v>30811</v>
      </c>
      <c r="J1946" s="7">
        <f>Table1[[#This Row],[Clicks]]/Table1[[#This Row],[Impressions]]</f>
        <v>7.0852750093540598E-2</v>
      </c>
      <c r="K1946" s="7">
        <f>IFERROR(Table1[[#This Row],[Conversions]]/Table1[[#This Row],[Clicks]],0)</f>
        <v>0.14066250600096014</v>
      </c>
      <c r="L1946" s="6">
        <f>IF(Table1[[#This Row],[Conversions]]=0,0,Table1[[#This Row],[Ad Spend]]/Table1[[#This Row],[Conversions]])</f>
        <v>10.559556313993173</v>
      </c>
      <c r="M1946" s="8">
        <f>IF(Table1[[#This Row],[Ad Spend]]=0,0,Table1[[#This Row],[Revenue]]/Table1[[#This Row],[Ad Spend]])</f>
        <v>9.9584673314048384</v>
      </c>
      <c r="N1946">
        <f>YEAR(Table1[[#This Row],[Date]])</f>
        <v>2024</v>
      </c>
      <c r="O1946" t="str">
        <f>TEXT(Table1[[#This Row],[Date]],"mmm")</f>
        <v>Apr</v>
      </c>
      <c r="P1946">
        <f>MONTH(Table1[[#This Row],[Date]])</f>
        <v>4</v>
      </c>
    </row>
    <row r="1947" spans="1:16" x14ac:dyDescent="0.25">
      <c r="A1947" t="s">
        <v>1966</v>
      </c>
      <c r="B1947" t="s">
        <v>47</v>
      </c>
      <c r="C1947" t="s">
        <v>10</v>
      </c>
      <c r="D1947" s="1">
        <v>45340</v>
      </c>
      <c r="E1947">
        <v>74258</v>
      </c>
      <c r="F1947">
        <v>4734</v>
      </c>
      <c r="G1947">
        <v>290</v>
      </c>
      <c r="H1947" s="4">
        <v>793.89</v>
      </c>
      <c r="I1947" s="4">
        <v>22515.93</v>
      </c>
      <c r="J1947" s="7">
        <f>Table1[[#This Row],[Clicks]]/Table1[[#This Row],[Impressions]]</f>
        <v>6.3750706994532572E-2</v>
      </c>
      <c r="K1947" s="7">
        <f>IFERROR(Table1[[#This Row],[Conversions]]/Table1[[#This Row],[Clicks]],0)</f>
        <v>6.1258977608787492E-2</v>
      </c>
      <c r="L1947" s="6">
        <f>IF(Table1[[#This Row],[Conversions]]=0,0,Table1[[#This Row],[Ad Spend]]/Table1[[#This Row],[Conversions]])</f>
        <v>2.7375517241379308</v>
      </c>
      <c r="M1947" s="8">
        <f>IF(Table1[[#This Row],[Ad Spend]]=0,0,Table1[[#This Row],[Revenue]]/Table1[[#This Row],[Ad Spend]])</f>
        <v>28.361523636775878</v>
      </c>
      <c r="N1947">
        <f>YEAR(Table1[[#This Row],[Date]])</f>
        <v>2024</v>
      </c>
      <c r="O1947" t="str">
        <f>TEXT(Table1[[#This Row],[Date]],"mmm")</f>
        <v>Feb</v>
      </c>
      <c r="P1947">
        <f>MONTH(Table1[[#This Row],[Date]])</f>
        <v>2</v>
      </c>
    </row>
    <row r="1948" spans="1:16" x14ac:dyDescent="0.25">
      <c r="A1948" t="s">
        <v>1967</v>
      </c>
      <c r="B1948" t="s">
        <v>9</v>
      </c>
      <c r="C1948" t="s">
        <v>37</v>
      </c>
      <c r="D1948" s="1">
        <v>45317</v>
      </c>
      <c r="E1948">
        <v>77486</v>
      </c>
      <c r="F1948">
        <v>2464</v>
      </c>
      <c r="G1948">
        <v>292</v>
      </c>
      <c r="H1948" s="4">
        <v>3823.24</v>
      </c>
      <c r="I1948" s="4">
        <v>32498.82</v>
      </c>
      <c r="J1948" s="7">
        <f>Table1[[#This Row],[Clicks]]/Table1[[#This Row],[Impressions]]</f>
        <v>3.1799292775469119E-2</v>
      </c>
      <c r="K1948" s="7">
        <f>IFERROR(Table1[[#This Row],[Conversions]]/Table1[[#This Row],[Clicks]],0)</f>
        <v>0.1185064935064935</v>
      </c>
      <c r="L1948" s="6">
        <f>IF(Table1[[#This Row],[Conversions]]=0,0,Table1[[#This Row],[Ad Spend]]/Table1[[#This Row],[Conversions]])</f>
        <v>13.093287671232876</v>
      </c>
      <c r="M1948" s="8">
        <f>IF(Table1[[#This Row],[Ad Spend]]=0,0,Table1[[#This Row],[Revenue]]/Table1[[#This Row],[Ad Spend]])</f>
        <v>8.5003347945721437</v>
      </c>
      <c r="N1948">
        <f>YEAR(Table1[[#This Row],[Date]])</f>
        <v>2024</v>
      </c>
      <c r="O1948" t="str">
        <f>TEXT(Table1[[#This Row],[Date]],"mmm")</f>
        <v>Jan</v>
      </c>
      <c r="P1948">
        <f>MONTH(Table1[[#This Row],[Date]])</f>
        <v>1</v>
      </c>
    </row>
    <row r="1949" spans="1:16" x14ac:dyDescent="0.25">
      <c r="A1949" t="s">
        <v>1968</v>
      </c>
      <c r="B1949" t="s">
        <v>9</v>
      </c>
      <c r="C1949" t="s">
        <v>12</v>
      </c>
      <c r="D1949" s="1">
        <v>45587</v>
      </c>
      <c r="E1949">
        <v>148147</v>
      </c>
      <c r="F1949">
        <v>4563</v>
      </c>
      <c r="G1949">
        <v>418</v>
      </c>
      <c r="H1949" s="4">
        <v>1628.22</v>
      </c>
      <c r="I1949" s="4">
        <v>45784.62</v>
      </c>
      <c r="J1949" s="7">
        <f>Table1[[#This Row],[Clicks]]/Table1[[#This Row],[Impressions]]</f>
        <v>3.0800488703787453E-2</v>
      </c>
      <c r="K1949" s="7">
        <f>IFERROR(Table1[[#This Row],[Conversions]]/Table1[[#This Row],[Clicks]],0)</f>
        <v>9.1606399298706995E-2</v>
      </c>
      <c r="L1949" s="6">
        <f>IF(Table1[[#This Row],[Conversions]]=0,0,Table1[[#This Row],[Ad Spend]]/Table1[[#This Row],[Conversions]])</f>
        <v>3.8952631578947368</v>
      </c>
      <c r="M1949" s="8">
        <f>IF(Table1[[#This Row],[Ad Spend]]=0,0,Table1[[#This Row],[Revenue]]/Table1[[#This Row],[Ad Spend]])</f>
        <v>28.119431035118104</v>
      </c>
      <c r="N1949">
        <f>YEAR(Table1[[#This Row],[Date]])</f>
        <v>2024</v>
      </c>
      <c r="O1949" t="str">
        <f>TEXT(Table1[[#This Row],[Date]],"mmm")</f>
        <v>Oct</v>
      </c>
      <c r="P1949">
        <f>MONTH(Table1[[#This Row],[Date]])</f>
        <v>10</v>
      </c>
    </row>
    <row r="1950" spans="1:16" x14ac:dyDescent="0.25">
      <c r="A1950" t="s">
        <v>1969</v>
      </c>
      <c r="B1950" t="s">
        <v>31</v>
      </c>
      <c r="C1950" t="s">
        <v>19</v>
      </c>
      <c r="D1950" s="1">
        <v>45507</v>
      </c>
      <c r="E1950">
        <v>29370</v>
      </c>
      <c r="F1950">
        <v>1646</v>
      </c>
      <c r="G1950">
        <v>90</v>
      </c>
      <c r="H1950" s="4">
        <v>449.86</v>
      </c>
      <c r="I1950" s="4">
        <v>2418.73</v>
      </c>
      <c r="J1950" s="7">
        <f>Table1[[#This Row],[Clicks]]/Table1[[#This Row],[Impressions]]</f>
        <v>5.6043581886278518E-2</v>
      </c>
      <c r="K1950" s="7">
        <f>IFERROR(Table1[[#This Row],[Conversions]]/Table1[[#This Row],[Clicks]],0)</f>
        <v>5.4678007290400975E-2</v>
      </c>
      <c r="L1950" s="6">
        <f>IF(Table1[[#This Row],[Conversions]]=0,0,Table1[[#This Row],[Ad Spend]]/Table1[[#This Row],[Conversions]])</f>
        <v>4.9984444444444449</v>
      </c>
      <c r="M1950" s="8">
        <f>IF(Table1[[#This Row],[Ad Spend]]=0,0,Table1[[#This Row],[Revenue]]/Table1[[#This Row],[Ad Spend]])</f>
        <v>5.3766282843551325</v>
      </c>
      <c r="N1950">
        <f>YEAR(Table1[[#This Row],[Date]])</f>
        <v>2024</v>
      </c>
      <c r="O1950" t="str">
        <f>TEXT(Table1[[#This Row],[Date]],"mmm")</f>
        <v>Aug</v>
      </c>
      <c r="P1950">
        <f>MONTH(Table1[[#This Row],[Date]])</f>
        <v>8</v>
      </c>
    </row>
    <row r="1951" spans="1:16" x14ac:dyDescent="0.25">
      <c r="A1951" t="s">
        <v>1970</v>
      </c>
      <c r="B1951" t="s">
        <v>31</v>
      </c>
      <c r="C1951" t="s">
        <v>10</v>
      </c>
      <c r="D1951" s="1">
        <v>45536</v>
      </c>
      <c r="E1951">
        <v>16147</v>
      </c>
      <c r="F1951">
        <v>691</v>
      </c>
      <c r="G1951">
        <v>46</v>
      </c>
      <c r="H1951" s="4">
        <v>2801.43</v>
      </c>
      <c r="I1951" s="4">
        <v>2135.6999999999998</v>
      </c>
      <c r="J1951" s="7">
        <f>Table1[[#This Row],[Clicks]]/Table1[[#This Row],[Impressions]]</f>
        <v>4.2794327119588776E-2</v>
      </c>
      <c r="K1951" s="7">
        <f>IFERROR(Table1[[#This Row],[Conversions]]/Table1[[#This Row],[Clicks]],0)</f>
        <v>6.6570188133140376E-2</v>
      </c>
      <c r="L1951" s="6">
        <f>IF(Table1[[#This Row],[Conversions]]=0,0,Table1[[#This Row],[Ad Spend]]/Table1[[#This Row],[Conversions]])</f>
        <v>60.900652173913038</v>
      </c>
      <c r="M1951" s="8">
        <f>IF(Table1[[#This Row],[Ad Spend]]=0,0,Table1[[#This Row],[Revenue]]/Table1[[#This Row],[Ad Spend]])</f>
        <v>0.76236065152440002</v>
      </c>
      <c r="N1951">
        <f>YEAR(Table1[[#This Row],[Date]])</f>
        <v>2024</v>
      </c>
      <c r="O1951" t="str">
        <f>TEXT(Table1[[#This Row],[Date]],"mmm")</f>
        <v>Sept</v>
      </c>
      <c r="P1951">
        <f>MONTH(Table1[[#This Row],[Date]])</f>
        <v>9</v>
      </c>
    </row>
    <row r="1952" spans="1:16" x14ac:dyDescent="0.25">
      <c r="A1952" t="s">
        <v>1971</v>
      </c>
      <c r="B1952" t="s">
        <v>14</v>
      </c>
      <c r="C1952" t="s">
        <v>10</v>
      </c>
      <c r="D1952" s="1">
        <v>45463</v>
      </c>
      <c r="E1952">
        <v>49139</v>
      </c>
      <c r="F1952">
        <v>1128</v>
      </c>
      <c r="G1952">
        <v>157</v>
      </c>
      <c r="H1952" s="4">
        <v>3563.35</v>
      </c>
      <c r="I1952" s="4">
        <v>4770.82</v>
      </c>
      <c r="J1952" s="7">
        <f>Table1[[#This Row],[Clicks]]/Table1[[#This Row],[Impressions]]</f>
        <v>2.2955290095443538E-2</v>
      </c>
      <c r="K1952" s="7">
        <f>IFERROR(Table1[[#This Row],[Conversions]]/Table1[[#This Row],[Clicks]],0)</f>
        <v>0.13918439716312056</v>
      </c>
      <c r="L1952" s="6">
        <f>IF(Table1[[#This Row],[Conversions]]=0,0,Table1[[#This Row],[Ad Spend]]/Table1[[#This Row],[Conversions]])</f>
        <v>22.696496815286622</v>
      </c>
      <c r="M1952" s="8">
        <f>IF(Table1[[#This Row],[Ad Spend]]=0,0,Table1[[#This Row],[Revenue]]/Table1[[#This Row],[Ad Spend]])</f>
        <v>1.3388580970154489</v>
      </c>
      <c r="N1952">
        <f>YEAR(Table1[[#This Row],[Date]])</f>
        <v>2024</v>
      </c>
      <c r="O1952" t="str">
        <f>TEXT(Table1[[#This Row],[Date]],"mmm")</f>
        <v>Jun</v>
      </c>
      <c r="P1952">
        <f>MONTH(Table1[[#This Row],[Date]])</f>
        <v>6</v>
      </c>
    </row>
    <row r="1953" spans="1:16" x14ac:dyDescent="0.25">
      <c r="A1953" t="s">
        <v>1972</v>
      </c>
      <c r="B1953" t="s">
        <v>31</v>
      </c>
      <c r="C1953" t="s">
        <v>17</v>
      </c>
      <c r="D1953" s="1">
        <v>45403</v>
      </c>
      <c r="E1953">
        <v>38203</v>
      </c>
      <c r="F1953">
        <v>834</v>
      </c>
      <c r="G1953">
        <v>120</v>
      </c>
      <c r="H1953" s="4">
        <v>4346.3599999999997</v>
      </c>
      <c r="I1953" s="4">
        <v>8516.2099999999991</v>
      </c>
      <c r="J1953" s="7">
        <f>Table1[[#This Row],[Clicks]]/Table1[[#This Row],[Impressions]]</f>
        <v>2.1830746276470435E-2</v>
      </c>
      <c r="K1953" s="7">
        <f>IFERROR(Table1[[#This Row],[Conversions]]/Table1[[#This Row],[Clicks]],0)</f>
        <v>0.14388489208633093</v>
      </c>
      <c r="L1953" s="6">
        <f>IF(Table1[[#This Row],[Conversions]]=0,0,Table1[[#This Row],[Ad Spend]]/Table1[[#This Row],[Conversions]])</f>
        <v>36.219666666666662</v>
      </c>
      <c r="M1953" s="8">
        <f>IF(Table1[[#This Row],[Ad Spend]]=0,0,Table1[[#This Row],[Revenue]]/Table1[[#This Row],[Ad Spend]])</f>
        <v>1.9593890059728141</v>
      </c>
      <c r="N1953">
        <f>YEAR(Table1[[#This Row],[Date]])</f>
        <v>2024</v>
      </c>
      <c r="O1953" t="str">
        <f>TEXT(Table1[[#This Row],[Date]],"mmm")</f>
        <v>Apr</v>
      </c>
      <c r="P1953">
        <f>MONTH(Table1[[#This Row],[Date]])</f>
        <v>4</v>
      </c>
    </row>
    <row r="1954" spans="1:16" x14ac:dyDescent="0.25">
      <c r="A1954" t="s">
        <v>1973</v>
      </c>
      <c r="B1954" t="s">
        <v>21</v>
      </c>
      <c r="C1954" t="s">
        <v>10</v>
      </c>
      <c r="D1954" s="1">
        <v>45640</v>
      </c>
      <c r="E1954">
        <v>142094</v>
      </c>
      <c r="F1954">
        <v>10124</v>
      </c>
      <c r="G1954">
        <v>961</v>
      </c>
      <c r="H1954" s="4">
        <v>3703.29</v>
      </c>
      <c r="I1954" s="4">
        <v>100120.84</v>
      </c>
      <c r="J1954" s="7">
        <f>Table1[[#This Row],[Clicks]]/Table1[[#This Row],[Impressions]]</f>
        <v>7.1248610075020757E-2</v>
      </c>
      <c r="K1954" s="7">
        <f>IFERROR(Table1[[#This Row],[Conversions]]/Table1[[#This Row],[Clicks]],0)</f>
        <v>9.4922955353615168E-2</v>
      </c>
      <c r="L1954" s="6">
        <f>IF(Table1[[#This Row],[Conversions]]=0,0,Table1[[#This Row],[Ad Spend]]/Table1[[#This Row],[Conversions]])</f>
        <v>3.853579604578564</v>
      </c>
      <c r="M1954" s="8">
        <f>IF(Table1[[#This Row],[Ad Spend]]=0,0,Table1[[#This Row],[Revenue]]/Table1[[#This Row],[Ad Spend]])</f>
        <v>27.035646681734349</v>
      </c>
      <c r="N1954">
        <f>YEAR(Table1[[#This Row],[Date]])</f>
        <v>2024</v>
      </c>
      <c r="O1954" t="str">
        <f>TEXT(Table1[[#This Row],[Date]],"mmm")</f>
        <v>Dec</v>
      </c>
      <c r="P1954">
        <f>MONTH(Table1[[#This Row],[Date]])</f>
        <v>12</v>
      </c>
    </row>
    <row r="1955" spans="1:16" x14ac:dyDescent="0.25">
      <c r="A1955" t="s">
        <v>1974</v>
      </c>
      <c r="B1955" t="s">
        <v>41</v>
      </c>
      <c r="C1955" t="s">
        <v>12</v>
      </c>
      <c r="D1955" s="1">
        <v>45413</v>
      </c>
      <c r="E1955">
        <v>20563</v>
      </c>
      <c r="F1955">
        <v>824</v>
      </c>
      <c r="G1955">
        <v>82</v>
      </c>
      <c r="H1955" s="4">
        <v>2064.52</v>
      </c>
      <c r="I1955" s="4">
        <v>8405.2099999999991</v>
      </c>
      <c r="J1955" s="7">
        <f>Table1[[#This Row],[Clicks]]/Table1[[#This Row],[Impressions]]</f>
        <v>4.0071973933764528E-2</v>
      </c>
      <c r="K1955" s="7">
        <f>IFERROR(Table1[[#This Row],[Conversions]]/Table1[[#This Row],[Clicks]],0)</f>
        <v>9.9514563106796114E-2</v>
      </c>
      <c r="L1955" s="6">
        <f>IF(Table1[[#This Row],[Conversions]]=0,0,Table1[[#This Row],[Ad Spend]]/Table1[[#This Row],[Conversions]])</f>
        <v>25.177073170731706</v>
      </c>
      <c r="M1955" s="8">
        <f>IF(Table1[[#This Row],[Ad Spend]]=0,0,Table1[[#This Row],[Revenue]]/Table1[[#This Row],[Ad Spend]])</f>
        <v>4.0712659601263246</v>
      </c>
      <c r="N1955">
        <f>YEAR(Table1[[#This Row],[Date]])</f>
        <v>2024</v>
      </c>
      <c r="O1955" t="str">
        <f>TEXT(Table1[[#This Row],[Date]],"mmm")</f>
        <v>May</v>
      </c>
      <c r="P1955">
        <f>MONTH(Table1[[#This Row],[Date]])</f>
        <v>5</v>
      </c>
    </row>
    <row r="1956" spans="1:16" x14ac:dyDescent="0.25">
      <c r="A1956" t="s">
        <v>1975</v>
      </c>
      <c r="B1956" t="s">
        <v>34</v>
      </c>
      <c r="C1956" t="s">
        <v>19</v>
      </c>
      <c r="D1956" s="1">
        <v>45361</v>
      </c>
      <c r="E1956">
        <v>111042</v>
      </c>
      <c r="F1956">
        <v>8679</v>
      </c>
      <c r="G1956">
        <v>637</v>
      </c>
      <c r="H1956" s="4">
        <v>2975.99</v>
      </c>
      <c r="I1956" s="4">
        <v>29898.25</v>
      </c>
      <c r="J1956" s="7">
        <f>Table1[[#This Row],[Clicks]]/Table1[[#This Row],[Impressions]]</f>
        <v>7.81596152807046E-2</v>
      </c>
      <c r="K1956" s="7">
        <f>IFERROR(Table1[[#This Row],[Conversions]]/Table1[[#This Row],[Clicks]],0)</f>
        <v>7.3395552483004958E-2</v>
      </c>
      <c r="L1956" s="6">
        <f>IF(Table1[[#This Row],[Conversions]]=0,0,Table1[[#This Row],[Ad Spend]]/Table1[[#This Row],[Conversions]])</f>
        <v>4.6718838304552586</v>
      </c>
      <c r="M1956" s="8">
        <f>IF(Table1[[#This Row],[Ad Spend]]=0,0,Table1[[#This Row],[Revenue]]/Table1[[#This Row],[Ad Spend]])</f>
        <v>10.046488731480954</v>
      </c>
      <c r="N1956">
        <f>YEAR(Table1[[#This Row],[Date]])</f>
        <v>2024</v>
      </c>
      <c r="O1956" t="str">
        <f>TEXT(Table1[[#This Row],[Date]],"mmm")</f>
        <v>Mar</v>
      </c>
      <c r="P1956">
        <f>MONTH(Table1[[#This Row],[Date]])</f>
        <v>3</v>
      </c>
    </row>
    <row r="1957" spans="1:16" x14ac:dyDescent="0.25">
      <c r="A1957" t="s">
        <v>1976</v>
      </c>
      <c r="B1957" t="s">
        <v>9</v>
      </c>
      <c r="C1957" t="s">
        <v>17</v>
      </c>
      <c r="D1957" s="1">
        <v>45422</v>
      </c>
      <c r="E1957">
        <v>135463</v>
      </c>
      <c r="F1957">
        <v>1368</v>
      </c>
      <c r="G1957">
        <v>47</v>
      </c>
      <c r="H1957" s="4">
        <v>3035.54</v>
      </c>
      <c r="I1957" s="4">
        <v>4449.8900000000003</v>
      </c>
      <c r="J1957" s="7">
        <f>Table1[[#This Row],[Clicks]]/Table1[[#This Row],[Impressions]]</f>
        <v>1.0098698537608055E-2</v>
      </c>
      <c r="K1957" s="7">
        <f>IFERROR(Table1[[#This Row],[Conversions]]/Table1[[#This Row],[Clicks]],0)</f>
        <v>3.4356725146198829E-2</v>
      </c>
      <c r="L1957" s="6">
        <f>IF(Table1[[#This Row],[Conversions]]=0,0,Table1[[#This Row],[Ad Spend]]/Table1[[#This Row],[Conversions]])</f>
        <v>64.585957446808507</v>
      </c>
      <c r="M1957" s="8">
        <f>IF(Table1[[#This Row],[Ad Spend]]=0,0,Table1[[#This Row],[Revenue]]/Table1[[#This Row],[Ad Spend]])</f>
        <v>1.4659302792913289</v>
      </c>
      <c r="N1957">
        <f>YEAR(Table1[[#This Row],[Date]])</f>
        <v>2024</v>
      </c>
      <c r="O1957" t="str">
        <f>TEXT(Table1[[#This Row],[Date]],"mmm")</f>
        <v>May</v>
      </c>
      <c r="P1957">
        <f>MONTH(Table1[[#This Row],[Date]])</f>
        <v>5</v>
      </c>
    </row>
    <row r="1958" spans="1:16" x14ac:dyDescent="0.25">
      <c r="A1958" t="s">
        <v>1977</v>
      </c>
      <c r="B1958" t="s">
        <v>16</v>
      </c>
      <c r="C1958" t="s">
        <v>12</v>
      </c>
      <c r="D1958" s="1">
        <v>45386</v>
      </c>
      <c r="E1958">
        <v>36451</v>
      </c>
      <c r="F1958">
        <v>2832</v>
      </c>
      <c r="G1958">
        <v>148</v>
      </c>
      <c r="H1958" s="4">
        <v>3613.13</v>
      </c>
      <c r="I1958" s="4">
        <v>6376.66</v>
      </c>
      <c r="J1958" s="7">
        <f>Table1[[#This Row],[Clicks]]/Table1[[#This Row],[Impressions]]</f>
        <v>7.7693341746454148E-2</v>
      </c>
      <c r="K1958" s="7">
        <f>IFERROR(Table1[[#This Row],[Conversions]]/Table1[[#This Row],[Clicks]],0)</f>
        <v>5.2259887005649715E-2</v>
      </c>
      <c r="L1958" s="6">
        <f>IF(Table1[[#This Row],[Conversions]]=0,0,Table1[[#This Row],[Ad Spend]]/Table1[[#This Row],[Conversions]])</f>
        <v>24.413040540540543</v>
      </c>
      <c r="M1958" s="8">
        <f>IF(Table1[[#This Row],[Ad Spend]]=0,0,Table1[[#This Row],[Revenue]]/Table1[[#This Row],[Ad Spend]])</f>
        <v>1.7648576165263912</v>
      </c>
      <c r="N1958">
        <f>YEAR(Table1[[#This Row],[Date]])</f>
        <v>2024</v>
      </c>
      <c r="O1958" t="str">
        <f>TEXT(Table1[[#This Row],[Date]],"mmm")</f>
        <v>Apr</v>
      </c>
      <c r="P1958">
        <f>MONTH(Table1[[#This Row],[Date]])</f>
        <v>4</v>
      </c>
    </row>
    <row r="1959" spans="1:16" x14ac:dyDescent="0.25">
      <c r="A1959" t="s">
        <v>1978</v>
      </c>
      <c r="B1959" t="s">
        <v>14</v>
      </c>
      <c r="C1959" t="s">
        <v>10</v>
      </c>
      <c r="D1959" s="1">
        <v>45666</v>
      </c>
      <c r="E1959">
        <v>23926</v>
      </c>
      <c r="F1959">
        <v>1384</v>
      </c>
      <c r="G1959">
        <v>51</v>
      </c>
      <c r="H1959" s="4">
        <v>1247.05</v>
      </c>
      <c r="I1959" s="4">
        <v>5912.94</v>
      </c>
      <c r="J1959" s="7">
        <f>Table1[[#This Row],[Clicks]]/Table1[[#This Row],[Impressions]]</f>
        <v>5.7845022151634208E-2</v>
      </c>
      <c r="K1959" s="7">
        <f>IFERROR(Table1[[#This Row],[Conversions]]/Table1[[#This Row],[Clicks]],0)</f>
        <v>3.6849710982658962E-2</v>
      </c>
      <c r="L1959" s="6">
        <f>IF(Table1[[#This Row],[Conversions]]=0,0,Table1[[#This Row],[Ad Spend]]/Table1[[#This Row],[Conversions]])</f>
        <v>24.451960784313723</v>
      </c>
      <c r="M1959" s="8">
        <f>IF(Table1[[#This Row],[Ad Spend]]=0,0,Table1[[#This Row],[Revenue]]/Table1[[#This Row],[Ad Spend]])</f>
        <v>4.7415420392125416</v>
      </c>
      <c r="N1959">
        <f>YEAR(Table1[[#This Row],[Date]])</f>
        <v>2025</v>
      </c>
      <c r="O1959" t="str">
        <f>TEXT(Table1[[#This Row],[Date]],"mmm")</f>
        <v>Jan</v>
      </c>
      <c r="P1959">
        <f>MONTH(Table1[[#This Row],[Date]])</f>
        <v>1</v>
      </c>
    </row>
    <row r="1960" spans="1:16" x14ac:dyDescent="0.25">
      <c r="A1960" t="s">
        <v>1979</v>
      </c>
      <c r="B1960" t="s">
        <v>31</v>
      </c>
      <c r="C1960" t="s">
        <v>37</v>
      </c>
      <c r="D1960" s="1">
        <v>45659</v>
      </c>
      <c r="E1960">
        <v>34038</v>
      </c>
      <c r="F1960">
        <v>2317</v>
      </c>
      <c r="G1960">
        <v>50</v>
      </c>
      <c r="H1960" s="4">
        <v>713.38</v>
      </c>
      <c r="I1960" s="4">
        <v>2031.67</v>
      </c>
      <c r="J1960" s="7">
        <f>Table1[[#This Row],[Clicks]]/Table1[[#This Row],[Impressions]]</f>
        <v>6.8070979493507253E-2</v>
      </c>
      <c r="K1960" s="7">
        <f>IFERROR(Table1[[#This Row],[Conversions]]/Table1[[#This Row],[Clicks]],0)</f>
        <v>2.1579628830384119E-2</v>
      </c>
      <c r="L1960" s="6">
        <f>IF(Table1[[#This Row],[Conversions]]=0,0,Table1[[#This Row],[Ad Spend]]/Table1[[#This Row],[Conversions]])</f>
        <v>14.2676</v>
      </c>
      <c r="M1960" s="8">
        <f>IF(Table1[[#This Row],[Ad Spend]]=0,0,Table1[[#This Row],[Revenue]]/Table1[[#This Row],[Ad Spend]])</f>
        <v>2.8479491995850741</v>
      </c>
      <c r="N1960">
        <f>YEAR(Table1[[#This Row],[Date]])</f>
        <v>2025</v>
      </c>
      <c r="O1960" t="str">
        <f>TEXT(Table1[[#This Row],[Date]],"mmm")</f>
        <v>Jan</v>
      </c>
      <c r="P1960">
        <f>MONTH(Table1[[#This Row],[Date]])</f>
        <v>1</v>
      </c>
    </row>
    <row r="1961" spans="1:16" x14ac:dyDescent="0.25">
      <c r="A1961" t="s">
        <v>1980</v>
      </c>
      <c r="B1961" t="s">
        <v>16</v>
      </c>
      <c r="C1961" t="s">
        <v>37</v>
      </c>
      <c r="D1961" s="1">
        <v>45662</v>
      </c>
      <c r="E1961">
        <v>37307</v>
      </c>
      <c r="F1961">
        <v>2641</v>
      </c>
      <c r="G1961">
        <v>164</v>
      </c>
      <c r="H1961" s="4">
        <v>2173.41</v>
      </c>
      <c r="I1961" s="4">
        <v>14096.13</v>
      </c>
      <c r="J1961" s="7">
        <f>Table1[[#This Row],[Clicks]]/Table1[[#This Row],[Impressions]]</f>
        <v>7.079100436915324E-2</v>
      </c>
      <c r="K1961" s="7">
        <f>IFERROR(Table1[[#This Row],[Conversions]]/Table1[[#This Row],[Clicks]],0)</f>
        <v>6.209769026883756E-2</v>
      </c>
      <c r="L1961" s="6">
        <f>IF(Table1[[#This Row],[Conversions]]=0,0,Table1[[#This Row],[Ad Spend]]/Table1[[#This Row],[Conversions]])</f>
        <v>13.2525</v>
      </c>
      <c r="M1961" s="8">
        <f>IF(Table1[[#This Row],[Ad Spend]]=0,0,Table1[[#This Row],[Revenue]]/Table1[[#This Row],[Ad Spend]])</f>
        <v>6.4857205957458559</v>
      </c>
      <c r="N1961">
        <f>YEAR(Table1[[#This Row],[Date]])</f>
        <v>2025</v>
      </c>
      <c r="O1961" t="str">
        <f>TEXT(Table1[[#This Row],[Date]],"mmm")</f>
        <v>Jan</v>
      </c>
      <c r="P1961">
        <f>MONTH(Table1[[#This Row],[Date]])</f>
        <v>1</v>
      </c>
    </row>
    <row r="1962" spans="1:16" x14ac:dyDescent="0.25">
      <c r="A1962" t="s">
        <v>1981</v>
      </c>
      <c r="B1962" t="s">
        <v>34</v>
      </c>
      <c r="C1962" t="s">
        <v>17</v>
      </c>
      <c r="D1962" s="1">
        <v>45631</v>
      </c>
      <c r="E1962">
        <v>57834</v>
      </c>
      <c r="F1962">
        <v>4050</v>
      </c>
      <c r="G1962">
        <v>157</v>
      </c>
      <c r="H1962" s="4">
        <v>2068.21</v>
      </c>
      <c r="I1962" s="4">
        <v>6091.61</v>
      </c>
      <c r="J1962" s="7">
        <f>Table1[[#This Row],[Clicks]]/Table1[[#This Row],[Impressions]]</f>
        <v>7.0028011204481794E-2</v>
      </c>
      <c r="K1962" s="7">
        <f>IFERROR(Table1[[#This Row],[Conversions]]/Table1[[#This Row],[Clicks]],0)</f>
        <v>3.8765432098765429E-2</v>
      </c>
      <c r="L1962" s="6">
        <f>IF(Table1[[#This Row],[Conversions]]=0,0,Table1[[#This Row],[Ad Spend]]/Table1[[#This Row],[Conversions]])</f>
        <v>13.173312101910827</v>
      </c>
      <c r="M1962" s="8">
        <f>IF(Table1[[#This Row],[Ad Spend]]=0,0,Table1[[#This Row],[Revenue]]/Table1[[#This Row],[Ad Spend]])</f>
        <v>2.9453537116637092</v>
      </c>
      <c r="N1962">
        <f>YEAR(Table1[[#This Row],[Date]])</f>
        <v>2024</v>
      </c>
      <c r="O1962" t="str">
        <f>TEXT(Table1[[#This Row],[Date]],"mmm")</f>
        <v>Dec</v>
      </c>
      <c r="P1962">
        <f>MONTH(Table1[[#This Row],[Date]])</f>
        <v>12</v>
      </c>
    </row>
    <row r="1963" spans="1:16" x14ac:dyDescent="0.25">
      <c r="A1963" t="s">
        <v>1982</v>
      </c>
      <c r="B1963" t="s">
        <v>14</v>
      </c>
      <c r="C1963" t="s">
        <v>17</v>
      </c>
      <c r="D1963" s="1">
        <v>45542</v>
      </c>
      <c r="E1963">
        <v>76800</v>
      </c>
      <c r="F1963">
        <v>3119</v>
      </c>
      <c r="G1963">
        <v>164</v>
      </c>
      <c r="H1963" s="4">
        <v>2279.81</v>
      </c>
      <c r="I1963" s="4">
        <v>5881.12</v>
      </c>
      <c r="J1963" s="7">
        <f>Table1[[#This Row],[Clicks]]/Table1[[#This Row],[Impressions]]</f>
        <v>4.0611979166666666E-2</v>
      </c>
      <c r="K1963" s="7">
        <f>IFERROR(Table1[[#This Row],[Conversions]]/Table1[[#This Row],[Clicks]],0)</f>
        <v>5.2580955434434112E-2</v>
      </c>
      <c r="L1963" s="6">
        <f>IF(Table1[[#This Row],[Conversions]]=0,0,Table1[[#This Row],[Ad Spend]]/Table1[[#This Row],[Conversions]])</f>
        <v>13.901280487804877</v>
      </c>
      <c r="M1963" s="8">
        <f>IF(Table1[[#This Row],[Ad Spend]]=0,0,Table1[[#This Row],[Revenue]]/Table1[[#This Row],[Ad Spend]])</f>
        <v>2.5796535676218633</v>
      </c>
      <c r="N1963">
        <f>YEAR(Table1[[#This Row],[Date]])</f>
        <v>2024</v>
      </c>
      <c r="O1963" t="str">
        <f>TEXT(Table1[[#This Row],[Date]],"mmm")</f>
        <v>Sept</v>
      </c>
      <c r="P1963">
        <f>MONTH(Table1[[#This Row],[Date]])</f>
        <v>9</v>
      </c>
    </row>
    <row r="1964" spans="1:16" x14ac:dyDescent="0.25">
      <c r="A1964" t="s">
        <v>1983</v>
      </c>
      <c r="B1964" t="s">
        <v>31</v>
      </c>
      <c r="C1964" t="s">
        <v>17</v>
      </c>
      <c r="D1964" s="1">
        <v>45560</v>
      </c>
      <c r="E1964">
        <v>80778</v>
      </c>
      <c r="F1964">
        <v>1960</v>
      </c>
      <c r="G1964">
        <v>67</v>
      </c>
      <c r="H1964" s="4">
        <v>1578.61</v>
      </c>
      <c r="I1964" s="4">
        <v>3239.09</v>
      </c>
      <c r="J1964" s="7">
        <f>Table1[[#This Row],[Clicks]]/Table1[[#This Row],[Impressions]]</f>
        <v>2.4264032286018471E-2</v>
      </c>
      <c r="K1964" s="7">
        <f>IFERROR(Table1[[#This Row],[Conversions]]/Table1[[#This Row],[Clicks]],0)</f>
        <v>3.4183673469387756E-2</v>
      </c>
      <c r="L1964" s="6">
        <f>IF(Table1[[#This Row],[Conversions]]=0,0,Table1[[#This Row],[Ad Spend]]/Table1[[#This Row],[Conversions]])</f>
        <v>23.561343283582087</v>
      </c>
      <c r="M1964" s="8">
        <f>IF(Table1[[#This Row],[Ad Spend]]=0,0,Table1[[#This Row],[Revenue]]/Table1[[#This Row],[Ad Spend]])</f>
        <v>2.0518620811980162</v>
      </c>
      <c r="N1964">
        <f>YEAR(Table1[[#This Row],[Date]])</f>
        <v>2024</v>
      </c>
      <c r="O1964" t="str">
        <f>TEXT(Table1[[#This Row],[Date]],"mmm")</f>
        <v>Sept</v>
      </c>
      <c r="P1964">
        <f>MONTH(Table1[[#This Row],[Date]])</f>
        <v>9</v>
      </c>
    </row>
    <row r="1965" spans="1:16" x14ac:dyDescent="0.25">
      <c r="A1965" t="s">
        <v>1984</v>
      </c>
      <c r="B1965" t="s">
        <v>16</v>
      </c>
      <c r="C1965" t="s">
        <v>17</v>
      </c>
      <c r="D1965" s="1">
        <v>45685</v>
      </c>
      <c r="E1965">
        <v>8609</v>
      </c>
      <c r="F1965">
        <v>371</v>
      </c>
      <c r="G1965">
        <v>44</v>
      </c>
      <c r="H1965" s="4">
        <v>513.41999999999996</v>
      </c>
      <c r="I1965" s="4">
        <v>2879.49</v>
      </c>
      <c r="J1965" s="7">
        <f>Table1[[#This Row],[Clicks]]/Table1[[#This Row],[Impressions]]</f>
        <v>4.3094436055290973E-2</v>
      </c>
      <c r="K1965" s="7">
        <f>IFERROR(Table1[[#This Row],[Conversions]]/Table1[[#This Row],[Clicks]],0)</f>
        <v>0.11859838274932614</v>
      </c>
      <c r="L1965" s="6">
        <f>IF(Table1[[#This Row],[Conversions]]=0,0,Table1[[#This Row],[Ad Spend]]/Table1[[#This Row],[Conversions]])</f>
        <v>11.668636363636363</v>
      </c>
      <c r="M1965" s="8">
        <f>IF(Table1[[#This Row],[Ad Spend]]=0,0,Table1[[#This Row],[Revenue]]/Table1[[#This Row],[Ad Spend]])</f>
        <v>5.6084492228584786</v>
      </c>
      <c r="N1965">
        <f>YEAR(Table1[[#This Row],[Date]])</f>
        <v>2025</v>
      </c>
      <c r="O1965" t="str">
        <f>TEXT(Table1[[#This Row],[Date]],"mmm")</f>
        <v>Jan</v>
      </c>
      <c r="P1965">
        <f>MONTH(Table1[[#This Row],[Date]])</f>
        <v>1</v>
      </c>
    </row>
    <row r="1966" spans="1:16" x14ac:dyDescent="0.25">
      <c r="A1966" t="s">
        <v>1985</v>
      </c>
      <c r="B1966" t="s">
        <v>34</v>
      </c>
      <c r="C1966" t="s">
        <v>37</v>
      </c>
      <c r="D1966" s="1">
        <v>45522</v>
      </c>
      <c r="E1966">
        <v>57671</v>
      </c>
      <c r="F1966">
        <v>3355</v>
      </c>
      <c r="G1966">
        <v>187</v>
      </c>
      <c r="H1966" s="4">
        <v>2488.81</v>
      </c>
      <c r="I1966" s="4">
        <v>11044.12</v>
      </c>
      <c r="J1966" s="7">
        <f>Table1[[#This Row],[Clicks]]/Table1[[#This Row],[Impressions]]</f>
        <v>5.8174819233236807E-2</v>
      </c>
      <c r="K1966" s="7">
        <f>IFERROR(Table1[[#This Row],[Conversions]]/Table1[[#This Row],[Clicks]],0)</f>
        <v>5.5737704918032788E-2</v>
      </c>
      <c r="L1966" s="6">
        <f>IF(Table1[[#This Row],[Conversions]]=0,0,Table1[[#This Row],[Ad Spend]]/Table1[[#This Row],[Conversions]])</f>
        <v>13.309144385026737</v>
      </c>
      <c r="M1966" s="8">
        <f>IF(Table1[[#This Row],[Ad Spend]]=0,0,Table1[[#This Row],[Revenue]]/Table1[[#This Row],[Ad Spend]])</f>
        <v>4.4375102960852777</v>
      </c>
      <c r="N1966">
        <f>YEAR(Table1[[#This Row],[Date]])</f>
        <v>2024</v>
      </c>
      <c r="O1966" t="str">
        <f>TEXT(Table1[[#This Row],[Date]],"mmm")</f>
        <v>Aug</v>
      </c>
      <c r="P1966">
        <f>MONTH(Table1[[#This Row],[Date]])</f>
        <v>8</v>
      </c>
    </row>
    <row r="1967" spans="1:16" x14ac:dyDescent="0.25">
      <c r="A1967" t="s">
        <v>1986</v>
      </c>
      <c r="B1967" t="s">
        <v>16</v>
      </c>
      <c r="C1967" t="s">
        <v>17</v>
      </c>
      <c r="D1967" s="1">
        <v>45404</v>
      </c>
      <c r="E1967">
        <v>119852</v>
      </c>
      <c r="F1967">
        <v>8789</v>
      </c>
      <c r="G1967">
        <v>195</v>
      </c>
      <c r="H1967" s="4">
        <v>1325.22</v>
      </c>
      <c r="I1967" s="4">
        <v>13375.1</v>
      </c>
      <c r="J1967" s="7">
        <f>Table1[[#This Row],[Clicks]]/Table1[[#This Row],[Impressions]]</f>
        <v>7.3332109601842277E-2</v>
      </c>
      <c r="K1967" s="7">
        <f>IFERROR(Table1[[#This Row],[Conversions]]/Table1[[#This Row],[Clicks]],0)</f>
        <v>2.218682443964046E-2</v>
      </c>
      <c r="L1967" s="6">
        <f>IF(Table1[[#This Row],[Conversions]]=0,0,Table1[[#This Row],[Ad Spend]]/Table1[[#This Row],[Conversions]])</f>
        <v>6.7960000000000003</v>
      </c>
      <c r="M1967" s="8">
        <f>IF(Table1[[#This Row],[Ad Spend]]=0,0,Table1[[#This Row],[Revenue]]/Table1[[#This Row],[Ad Spend]])</f>
        <v>10.092739318754623</v>
      </c>
      <c r="N1967">
        <f>YEAR(Table1[[#This Row],[Date]])</f>
        <v>2024</v>
      </c>
      <c r="O1967" t="str">
        <f>TEXT(Table1[[#This Row],[Date]],"mmm")</f>
        <v>Apr</v>
      </c>
      <c r="P1967">
        <f>MONTH(Table1[[#This Row],[Date]])</f>
        <v>4</v>
      </c>
    </row>
    <row r="1968" spans="1:16" x14ac:dyDescent="0.25">
      <c r="A1968" t="s">
        <v>1987</v>
      </c>
      <c r="B1968" t="s">
        <v>14</v>
      </c>
      <c r="C1968" t="s">
        <v>12</v>
      </c>
      <c r="D1968" s="1">
        <v>45552</v>
      </c>
      <c r="E1968">
        <v>42930</v>
      </c>
      <c r="F1968">
        <v>759</v>
      </c>
      <c r="G1968">
        <v>86</v>
      </c>
      <c r="H1968" s="4">
        <v>2705.74</v>
      </c>
      <c r="I1968" s="4">
        <v>7653.21</v>
      </c>
      <c r="J1968" s="7">
        <f>Table1[[#This Row],[Clicks]]/Table1[[#This Row],[Impressions]]</f>
        <v>1.7679944095038435E-2</v>
      </c>
      <c r="K1968" s="7">
        <f>IFERROR(Table1[[#This Row],[Conversions]]/Table1[[#This Row],[Clicks]],0)</f>
        <v>0.11330698287220026</v>
      </c>
      <c r="L1968" s="6">
        <f>IF(Table1[[#This Row],[Conversions]]=0,0,Table1[[#This Row],[Ad Spend]]/Table1[[#This Row],[Conversions]])</f>
        <v>31.462093023255811</v>
      </c>
      <c r="M1968" s="8">
        <f>IF(Table1[[#This Row],[Ad Spend]]=0,0,Table1[[#This Row],[Revenue]]/Table1[[#This Row],[Ad Spend]])</f>
        <v>2.8285090215615694</v>
      </c>
      <c r="N1968">
        <f>YEAR(Table1[[#This Row],[Date]])</f>
        <v>2024</v>
      </c>
      <c r="O1968" t="str">
        <f>TEXT(Table1[[#This Row],[Date]],"mmm")</f>
        <v>Sept</v>
      </c>
      <c r="P1968">
        <f>MONTH(Table1[[#This Row],[Date]])</f>
        <v>9</v>
      </c>
    </row>
    <row r="1969" spans="1:16" x14ac:dyDescent="0.25">
      <c r="A1969" t="s">
        <v>1988</v>
      </c>
      <c r="B1969" t="s">
        <v>34</v>
      </c>
      <c r="C1969" t="s">
        <v>12</v>
      </c>
      <c r="D1969" s="1">
        <v>45701</v>
      </c>
      <c r="E1969">
        <v>86321</v>
      </c>
      <c r="F1969">
        <v>5373</v>
      </c>
      <c r="G1969">
        <v>121</v>
      </c>
      <c r="H1969" s="4">
        <v>2922.35</v>
      </c>
      <c r="I1969" s="4">
        <v>13126.18</v>
      </c>
      <c r="J1969" s="7">
        <f>Table1[[#This Row],[Clicks]]/Table1[[#This Row],[Impressions]]</f>
        <v>6.2244413294563317E-2</v>
      </c>
      <c r="K1969" s="7">
        <f>IFERROR(Table1[[#This Row],[Conversions]]/Table1[[#This Row],[Clicks]],0)</f>
        <v>2.252000744463056E-2</v>
      </c>
      <c r="L1969" s="6">
        <f>IF(Table1[[#This Row],[Conversions]]=0,0,Table1[[#This Row],[Ad Spend]]/Table1[[#This Row],[Conversions]])</f>
        <v>24.151652892561984</v>
      </c>
      <c r="M1969" s="8">
        <f>IF(Table1[[#This Row],[Ad Spend]]=0,0,Table1[[#This Row],[Revenue]]/Table1[[#This Row],[Ad Spend]])</f>
        <v>4.491652266155663</v>
      </c>
      <c r="N1969">
        <f>YEAR(Table1[[#This Row],[Date]])</f>
        <v>2025</v>
      </c>
      <c r="O1969" t="str">
        <f>TEXT(Table1[[#This Row],[Date]],"mmm")</f>
        <v>Feb</v>
      </c>
      <c r="P1969">
        <f>MONTH(Table1[[#This Row],[Date]])</f>
        <v>2</v>
      </c>
    </row>
    <row r="1970" spans="1:16" x14ac:dyDescent="0.25">
      <c r="A1970" t="s">
        <v>1989</v>
      </c>
      <c r="B1970" t="s">
        <v>14</v>
      </c>
      <c r="C1970" t="s">
        <v>19</v>
      </c>
      <c r="D1970" s="1">
        <v>45421</v>
      </c>
      <c r="E1970">
        <v>69040</v>
      </c>
      <c r="F1970">
        <v>4352</v>
      </c>
      <c r="G1970">
        <v>465</v>
      </c>
      <c r="H1970" s="4">
        <v>2868.6</v>
      </c>
      <c r="I1970" s="4">
        <v>37832.129999999997</v>
      </c>
      <c r="J1970" s="7">
        <f>Table1[[#This Row],[Clicks]]/Table1[[#This Row],[Impressions]]</f>
        <v>6.3035921205098489E-2</v>
      </c>
      <c r="K1970" s="7">
        <f>IFERROR(Table1[[#This Row],[Conversions]]/Table1[[#This Row],[Clicks]],0)</f>
        <v>0.10684742647058823</v>
      </c>
      <c r="L1970" s="6">
        <f>IF(Table1[[#This Row],[Conversions]]=0,0,Table1[[#This Row],[Ad Spend]]/Table1[[#This Row],[Conversions]])</f>
        <v>6.169032258064516</v>
      </c>
      <c r="M1970" s="8">
        <f>IF(Table1[[#This Row],[Ad Spend]]=0,0,Table1[[#This Row],[Revenue]]/Table1[[#This Row],[Ad Spend]])</f>
        <v>13.188360175695461</v>
      </c>
      <c r="N1970">
        <f>YEAR(Table1[[#This Row],[Date]])</f>
        <v>2024</v>
      </c>
      <c r="O1970" t="str">
        <f>TEXT(Table1[[#This Row],[Date]],"mmm")</f>
        <v>May</v>
      </c>
      <c r="P1970">
        <f>MONTH(Table1[[#This Row],[Date]])</f>
        <v>5</v>
      </c>
    </row>
    <row r="1971" spans="1:16" x14ac:dyDescent="0.25">
      <c r="A1971" t="s">
        <v>1990</v>
      </c>
      <c r="B1971" t="s">
        <v>16</v>
      </c>
      <c r="C1971" t="s">
        <v>17</v>
      </c>
      <c r="D1971" s="1">
        <v>45562</v>
      </c>
      <c r="E1971">
        <v>5883</v>
      </c>
      <c r="F1971">
        <v>120</v>
      </c>
      <c r="G1971">
        <v>2</v>
      </c>
      <c r="H1971" s="4">
        <v>3888.77</v>
      </c>
      <c r="I1971" s="4">
        <v>193.94</v>
      </c>
      <c r="J1971" s="7">
        <f>Table1[[#This Row],[Clicks]]/Table1[[#This Row],[Impressions]]</f>
        <v>2.0397756246812851E-2</v>
      </c>
      <c r="K1971" s="7">
        <f>IFERROR(Table1[[#This Row],[Conversions]]/Table1[[#This Row],[Clicks]],0)</f>
        <v>1.6666666666666666E-2</v>
      </c>
      <c r="L1971" s="6">
        <f>IF(Table1[[#This Row],[Conversions]]=0,0,Table1[[#This Row],[Ad Spend]]/Table1[[#This Row],[Conversions]])</f>
        <v>1944.385</v>
      </c>
      <c r="M1971" s="8">
        <f>IF(Table1[[#This Row],[Ad Spend]]=0,0,Table1[[#This Row],[Revenue]]/Table1[[#This Row],[Ad Spend]])</f>
        <v>4.9871810366774072E-2</v>
      </c>
      <c r="N1971">
        <f>YEAR(Table1[[#This Row],[Date]])</f>
        <v>2024</v>
      </c>
      <c r="O1971" t="str">
        <f>TEXT(Table1[[#This Row],[Date]],"mmm")</f>
        <v>Sept</v>
      </c>
      <c r="P1971">
        <f>MONTH(Table1[[#This Row],[Date]])</f>
        <v>9</v>
      </c>
    </row>
    <row r="1972" spans="1:16" x14ac:dyDescent="0.25">
      <c r="A1972" t="s">
        <v>1991</v>
      </c>
      <c r="B1972" t="s">
        <v>21</v>
      </c>
      <c r="C1972" t="s">
        <v>12</v>
      </c>
      <c r="D1972" s="1">
        <v>45466</v>
      </c>
      <c r="E1972">
        <v>5382</v>
      </c>
      <c r="F1972">
        <v>235</v>
      </c>
      <c r="G1972">
        <v>10</v>
      </c>
      <c r="H1972" s="4">
        <v>3716.57</v>
      </c>
      <c r="I1972" s="4">
        <v>920.88</v>
      </c>
      <c r="J1972" s="7">
        <f>Table1[[#This Row],[Clicks]]/Table1[[#This Row],[Impressions]]</f>
        <v>4.366406540319584E-2</v>
      </c>
      <c r="K1972" s="7">
        <f>IFERROR(Table1[[#This Row],[Conversions]]/Table1[[#This Row],[Clicks]],0)</f>
        <v>4.2553191489361701E-2</v>
      </c>
      <c r="L1972" s="6">
        <f>IF(Table1[[#This Row],[Conversions]]=0,0,Table1[[#This Row],[Ad Spend]]/Table1[[#This Row],[Conversions]])</f>
        <v>371.65700000000004</v>
      </c>
      <c r="M1972" s="8">
        <f>IF(Table1[[#This Row],[Ad Spend]]=0,0,Table1[[#This Row],[Revenue]]/Table1[[#This Row],[Ad Spend]])</f>
        <v>0.24777684800770602</v>
      </c>
      <c r="N1972">
        <f>YEAR(Table1[[#This Row],[Date]])</f>
        <v>2024</v>
      </c>
      <c r="O1972" t="str">
        <f>TEXT(Table1[[#This Row],[Date]],"mmm")</f>
        <v>Jun</v>
      </c>
      <c r="P1972">
        <f>MONTH(Table1[[#This Row],[Date]])</f>
        <v>6</v>
      </c>
    </row>
    <row r="1973" spans="1:16" x14ac:dyDescent="0.25">
      <c r="A1973" t="s">
        <v>1992</v>
      </c>
      <c r="B1973" t="s">
        <v>21</v>
      </c>
      <c r="C1973" t="s">
        <v>19</v>
      </c>
      <c r="D1973" s="1">
        <v>45648</v>
      </c>
      <c r="E1973">
        <v>76287</v>
      </c>
      <c r="F1973">
        <v>3893</v>
      </c>
      <c r="G1973">
        <v>396</v>
      </c>
      <c r="H1973" s="4">
        <v>3415.21</v>
      </c>
      <c r="I1973" s="4">
        <v>45961.9</v>
      </c>
      <c r="J1973" s="7">
        <f>Table1[[#This Row],[Clicks]]/Table1[[#This Row],[Impressions]]</f>
        <v>5.1030975133377905E-2</v>
      </c>
      <c r="K1973" s="7">
        <f>IFERROR(Table1[[#This Row],[Conversions]]/Table1[[#This Row],[Clicks]],0)</f>
        <v>0.10172103776008219</v>
      </c>
      <c r="L1973" s="6">
        <f>IF(Table1[[#This Row],[Conversions]]=0,0,Table1[[#This Row],[Ad Spend]]/Table1[[#This Row],[Conversions]])</f>
        <v>8.6242676767676762</v>
      </c>
      <c r="M1973" s="8">
        <f>IF(Table1[[#This Row],[Ad Spend]]=0,0,Table1[[#This Row],[Revenue]]/Table1[[#This Row],[Ad Spend]])</f>
        <v>13.458001118525655</v>
      </c>
      <c r="N1973">
        <f>YEAR(Table1[[#This Row],[Date]])</f>
        <v>2024</v>
      </c>
      <c r="O1973" t="str">
        <f>TEXT(Table1[[#This Row],[Date]],"mmm")</f>
        <v>Dec</v>
      </c>
      <c r="P1973">
        <f>MONTH(Table1[[#This Row],[Date]])</f>
        <v>12</v>
      </c>
    </row>
    <row r="1974" spans="1:16" x14ac:dyDescent="0.25">
      <c r="A1974" t="s">
        <v>1993</v>
      </c>
      <c r="B1974" t="s">
        <v>47</v>
      </c>
      <c r="C1974" t="s">
        <v>10</v>
      </c>
      <c r="D1974" s="1">
        <v>45486</v>
      </c>
      <c r="E1974">
        <v>128693</v>
      </c>
      <c r="F1974">
        <v>6913</v>
      </c>
      <c r="G1974">
        <v>938</v>
      </c>
      <c r="H1974" s="4">
        <v>1758.63</v>
      </c>
      <c r="I1974" s="4">
        <v>99221.31</v>
      </c>
      <c r="J1974" s="7">
        <f>Table1[[#This Row],[Clicks]]/Table1[[#This Row],[Impressions]]</f>
        <v>5.3716985383820408E-2</v>
      </c>
      <c r="K1974" s="7">
        <f>IFERROR(Table1[[#This Row],[Conversions]]/Table1[[#This Row],[Clicks]],0)</f>
        <v>0.13568638796470417</v>
      </c>
      <c r="L1974" s="6">
        <f>IF(Table1[[#This Row],[Conversions]]=0,0,Table1[[#This Row],[Ad Spend]]/Table1[[#This Row],[Conversions]])</f>
        <v>1.8748720682302773</v>
      </c>
      <c r="M1974" s="8">
        <f>IF(Table1[[#This Row],[Ad Spend]]=0,0,Table1[[#This Row],[Revenue]]/Table1[[#This Row],[Ad Spend]])</f>
        <v>56.419661895907602</v>
      </c>
      <c r="N1974">
        <f>YEAR(Table1[[#This Row],[Date]])</f>
        <v>2024</v>
      </c>
      <c r="O1974" t="str">
        <f>TEXT(Table1[[#This Row],[Date]],"mmm")</f>
        <v>Jul</v>
      </c>
      <c r="P1974">
        <f>MONTH(Table1[[#This Row],[Date]])</f>
        <v>7</v>
      </c>
    </row>
    <row r="1975" spans="1:16" x14ac:dyDescent="0.25">
      <c r="A1975" t="s">
        <v>1994</v>
      </c>
      <c r="B1975" t="s">
        <v>47</v>
      </c>
      <c r="C1975" t="s">
        <v>17</v>
      </c>
      <c r="D1975" s="1">
        <v>45680</v>
      </c>
      <c r="E1975">
        <v>68220</v>
      </c>
      <c r="F1975">
        <v>3225</v>
      </c>
      <c r="G1975">
        <v>271</v>
      </c>
      <c r="H1975" s="4">
        <v>2267.9499999999998</v>
      </c>
      <c r="I1975" s="4">
        <v>20662</v>
      </c>
      <c r="J1975" s="7">
        <f>Table1[[#This Row],[Clicks]]/Table1[[#This Row],[Impressions]]</f>
        <v>4.7273526824978013E-2</v>
      </c>
      <c r="K1975" s="7">
        <f>IFERROR(Table1[[#This Row],[Conversions]]/Table1[[#This Row],[Clicks]],0)</f>
        <v>8.4031007751937989E-2</v>
      </c>
      <c r="L1975" s="6">
        <f>IF(Table1[[#This Row],[Conversions]]=0,0,Table1[[#This Row],[Ad Spend]]/Table1[[#This Row],[Conversions]])</f>
        <v>8.3688191881918819</v>
      </c>
      <c r="M1975" s="8">
        <f>IF(Table1[[#This Row],[Ad Spend]]=0,0,Table1[[#This Row],[Revenue]]/Table1[[#This Row],[Ad Spend]])</f>
        <v>9.1104301241209029</v>
      </c>
      <c r="N1975">
        <f>YEAR(Table1[[#This Row],[Date]])</f>
        <v>2025</v>
      </c>
      <c r="O1975" t="str">
        <f>TEXT(Table1[[#This Row],[Date]],"mmm")</f>
        <v>Jan</v>
      </c>
      <c r="P1975">
        <f>MONTH(Table1[[#This Row],[Date]])</f>
        <v>1</v>
      </c>
    </row>
    <row r="1976" spans="1:16" x14ac:dyDescent="0.25">
      <c r="A1976" t="s">
        <v>1995</v>
      </c>
      <c r="B1976" t="s">
        <v>9</v>
      </c>
      <c r="C1976" t="s">
        <v>10</v>
      </c>
      <c r="D1976" s="1">
        <v>45581</v>
      </c>
      <c r="E1976">
        <v>40912</v>
      </c>
      <c r="F1976">
        <v>1071</v>
      </c>
      <c r="G1976">
        <v>142</v>
      </c>
      <c r="H1976" s="4">
        <v>1183.8</v>
      </c>
      <c r="I1976" s="4">
        <v>8695.51</v>
      </c>
      <c r="J1976" s="7">
        <f>Table1[[#This Row],[Clicks]]/Table1[[#This Row],[Impressions]]</f>
        <v>2.6178138443488461E-2</v>
      </c>
      <c r="K1976" s="7">
        <f>IFERROR(Table1[[#This Row],[Conversions]]/Table1[[#This Row],[Clicks]],0)</f>
        <v>0.13258636788048553</v>
      </c>
      <c r="L1976" s="6">
        <f>IF(Table1[[#This Row],[Conversions]]=0,0,Table1[[#This Row],[Ad Spend]]/Table1[[#This Row],[Conversions]])</f>
        <v>8.3366197183098585</v>
      </c>
      <c r="M1976" s="8">
        <f>IF(Table1[[#This Row],[Ad Spend]]=0,0,Table1[[#This Row],[Revenue]]/Table1[[#This Row],[Ad Spend]])</f>
        <v>7.3454215239060661</v>
      </c>
      <c r="N1976">
        <f>YEAR(Table1[[#This Row],[Date]])</f>
        <v>2024</v>
      </c>
      <c r="O1976" t="str">
        <f>TEXT(Table1[[#This Row],[Date]],"mmm")</f>
        <v>Oct</v>
      </c>
      <c r="P1976">
        <f>MONTH(Table1[[#This Row],[Date]])</f>
        <v>10</v>
      </c>
    </row>
    <row r="1977" spans="1:16" x14ac:dyDescent="0.25">
      <c r="A1977" t="s">
        <v>1996</v>
      </c>
      <c r="B1977" t="s">
        <v>9</v>
      </c>
      <c r="C1977" t="s">
        <v>10</v>
      </c>
      <c r="D1977" s="1">
        <v>45640</v>
      </c>
      <c r="E1977">
        <v>148803</v>
      </c>
      <c r="F1977">
        <v>6084</v>
      </c>
      <c r="G1977">
        <v>229</v>
      </c>
      <c r="H1977" s="4">
        <v>3742.52</v>
      </c>
      <c r="I1977" s="4">
        <v>9582.9699999999993</v>
      </c>
      <c r="J1977" s="7">
        <f>Table1[[#This Row],[Clicks]]/Table1[[#This Row],[Impressions]]</f>
        <v>4.0886272454184393E-2</v>
      </c>
      <c r="K1977" s="7">
        <f>IFERROR(Table1[[#This Row],[Conversions]]/Table1[[#This Row],[Clicks]],0)</f>
        <v>3.7639710716633794E-2</v>
      </c>
      <c r="L1977" s="6">
        <f>IF(Table1[[#This Row],[Conversions]]=0,0,Table1[[#This Row],[Ad Spend]]/Table1[[#This Row],[Conversions]])</f>
        <v>16.342882096069868</v>
      </c>
      <c r="M1977" s="8">
        <f>IF(Table1[[#This Row],[Ad Spend]]=0,0,Table1[[#This Row],[Revenue]]/Table1[[#This Row],[Ad Spend]])</f>
        <v>2.5605661425991042</v>
      </c>
      <c r="N1977">
        <f>YEAR(Table1[[#This Row],[Date]])</f>
        <v>2024</v>
      </c>
      <c r="O1977" t="str">
        <f>TEXT(Table1[[#This Row],[Date]],"mmm")</f>
        <v>Dec</v>
      </c>
      <c r="P1977">
        <f>MONTH(Table1[[#This Row],[Date]])</f>
        <v>12</v>
      </c>
    </row>
    <row r="1978" spans="1:16" x14ac:dyDescent="0.25">
      <c r="A1978" t="s">
        <v>1997</v>
      </c>
      <c r="B1978" t="s">
        <v>9</v>
      </c>
      <c r="C1978" t="s">
        <v>10</v>
      </c>
      <c r="D1978" s="1">
        <v>45423</v>
      </c>
      <c r="E1978">
        <v>8066</v>
      </c>
      <c r="F1978">
        <v>599</v>
      </c>
      <c r="G1978">
        <v>43</v>
      </c>
      <c r="H1978" s="4">
        <v>4958.3100000000004</v>
      </c>
      <c r="I1978" s="4">
        <v>3624.98</v>
      </c>
      <c r="J1978" s="7">
        <f>Table1[[#This Row],[Clicks]]/Table1[[#This Row],[Impressions]]</f>
        <v>7.4262335730225643E-2</v>
      </c>
      <c r="K1978" s="7">
        <f>IFERROR(Table1[[#This Row],[Conversions]]/Table1[[#This Row],[Clicks]],0)</f>
        <v>7.178631051752922E-2</v>
      </c>
      <c r="L1978" s="6">
        <f>IF(Table1[[#This Row],[Conversions]]=0,0,Table1[[#This Row],[Ad Spend]]/Table1[[#This Row],[Conversions]])</f>
        <v>115.30953488372094</v>
      </c>
      <c r="M1978" s="8">
        <f>IF(Table1[[#This Row],[Ad Spend]]=0,0,Table1[[#This Row],[Revenue]]/Table1[[#This Row],[Ad Spend]])</f>
        <v>0.73109184379355052</v>
      </c>
      <c r="N1978">
        <f>YEAR(Table1[[#This Row],[Date]])</f>
        <v>2024</v>
      </c>
      <c r="O1978" t="str">
        <f>TEXT(Table1[[#This Row],[Date]],"mmm")</f>
        <v>May</v>
      </c>
      <c r="P1978">
        <f>MONTH(Table1[[#This Row],[Date]])</f>
        <v>5</v>
      </c>
    </row>
    <row r="1979" spans="1:16" x14ac:dyDescent="0.25">
      <c r="A1979" t="s">
        <v>1998</v>
      </c>
      <c r="B1979" t="s">
        <v>41</v>
      </c>
      <c r="C1979" t="s">
        <v>37</v>
      </c>
      <c r="D1979" s="1">
        <v>45339</v>
      </c>
      <c r="E1979">
        <v>94342</v>
      </c>
      <c r="F1979">
        <v>7042</v>
      </c>
      <c r="G1979">
        <v>700</v>
      </c>
      <c r="H1979" s="4">
        <v>648.85</v>
      </c>
      <c r="I1979" s="4">
        <v>31522.17</v>
      </c>
      <c r="J1979" s="7">
        <f>Table1[[#This Row],[Clicks]]/Table1[[#This Row],[Impressions]]</f>
        <v>7.464331898836149E-2</v>
      </c>
      <c r="K1979" s="7">
        <f>IFERROR(Table1[[#This Row],[Conversions]]/Table1[[#This Row],[Clicks]],0)</f>
        <v>9.9403578528827044E-2</v>
      </c>
      <c r="L1979" s="6">
        <f>IF(Table1[[#This Row],[Conversions]]=0,0,Table1[[#This Row],[Ad Spend]]/Table1[[#This Row],[Conversions]])</f>
        <v>0.92692857142857144</v>
      </c>
      <c r="M1979" s="8">
        <f>IF(Table1[[#This Row],[Ad Spend]]=0,0,Table1[[#This Row],[Revenue]]/Table1[[#This Row],[Ad Spend]])</f>
        <v>48.581598212221621</v>
      </c>
      <c r="N1979">
        <f>YEAR(Table1[[#This Row],[Date]])</f>
        <v>2024</v>
      </c>
      <c r="O1979" t="str">
        <f>TEXT(Table1[[#This Row],[Date]],"mmm")</f>
        <v>Feb</v>
      </c>
      <c r="P1979">
        <f>MONTH(Table1[[#This Row],[Date]])</f>
        <v>2</v>
      </c>
    </row>
    <row r="1980" spans="1:16" x14ac:dyDescent="0.25">
      <c r="A1980" t="s">
        <v>1999</v>
      </c>
      <c r="B1980" t="s">
        <v>14</v>
      </c>
      <c r="C1980" t="s">
        <v>10</v>
      </c>
      <c r="D1980" s="1">
        <v>45535</v>
      </c>
      <c r="E1980">
        <v>77635</v>
      </c>
      <c r="F1980">
        <v>3716</v>
      </c>
      <c r="G1980">
        <v>391</v>
      </c>
      <c r="H1980" s="4">
        <v>3540.17</v>
      </c>
      <c r="I1980" s="4">
        <v>8068.54</v>
      </c>
      <c r="J1980" s="7">
        <f>Table1[[#This Row],[Clicks]]/Table1[[#This Row],[Impressions]]</f>
        <v>4.7865009338571518E-2</v>
      </c>
      <c r="K1980" s="7">
        <f>IFERROR(Table1[[#This Row],[Conversions]]/Table1[[#This Row],[Clicks]],0)</f>
        <v>0.10522066738428418</v>
      </c>
      <c r="L1980" s="6">
        <f>IF(Table1[[#This Row],[Conversions]]=0,0,Table1[[#This Row],[Ad Spend]]/Table1[[#This Row],[Conversions]])</f>
        <v>9.0541432225063936</v>
      </c>
      <c r="M1980" s="8">
        <f>IF(Table1[[#This Row],[Ad Spend]]=0,0,Table1[[#This Row],[Revenue]]/Table1[[#This Row],[Ad Spend]])</f>
        <v>2.2791391373860579</v>
      </c>
      <c r="N1980">
        <f>YEAR(Table1[[#This Row],[Date]])</f>
        <v>2024</v>
      </c>
      <c r="O1980" t="str">
        <f>TEXT(Table1[[#This Row],[Date]],"mmm")</f>
        <v>Aug</v>
      </c>
      <c r="P1980">
        <f>MONTH(Table1[[#This Row],[Date]])</f>
        <v>8</v>
      </c>
    </row>
    <row r="1981" spans="1:16" x14ac:dyDescent="0.25">
      <c r="A1981" t="s">
        <v>2000</v>
      </c>
      <c r="B1981" t="s">
        <v>41</v>
      </c>
      <c r="C1981" t="s">
        <v>37</v>
      </c>
      <c r="D1981" s="1">
        <v>45699</v>
      </c>
      <c r="E1981">
        <v>112953</v>
      </c>
      <c r="F1981">
        <v>8146</v>
      </c>
      <c r="G1981">
        <v>268</v>
      </c>
      <c r="H1981" s="4">
        <v>2617.7600000000002</v>
      </c>
      <c r="I1981" s="4">
        <v>11506.02</v>
      </c>
      <c r="J1981" s="7">
        <f>Table1[[#This Row],[Clicks]]/Table1[[#This Row],[Impressions]]</f>
        <v>7.2118491762060324E-2</v>
      </c>
      <c r="K1981" s="7">
        <f>IFERROR(Table1[[#This Row],[Conversions]]/Table1[[#This Row],[Clicks]],0)</f>
        <v>3.2899582617235454E-2</v>
      </c>
      <c r="L1981" s="6">
        <f>IF(Table1[[#This Row],[Conversions]]=0,0,Table1[[#This Row],[Ad Spend]]/Table1[[#This Row],[Conversions]])</f>
        <v>9.7677611940298519</v>
      </c>
      <c r="M1981" s="8">
        <f>IF(Table1[[#This Row],[Ad Spend]]=0,0,Table1[[#This Row],[Revenue]]/Table1[[#This Row],[Ad Spend]])</f>
        <v>4.3953685593790111</v>
      </c>
      <c r="N1981">
        <f>YEAR(Table1[[#This Row],[Date]])</f>
        <v>2025</v>
      </c>
      <c r="O1981" t="str">
        <f>TEXT(Table1[[#This Row],[Date]],"mmm")</f>
        <v>Feb</v>
      </c>
      <c r="P1981">
        <f>MONTH(Table1[[#This Row],[Date]])</f>
        <v>2</v>
      </c>
    </row>
    <row r="1982" spans="1:16" x14ac:dyDescent="0.25">
      <c r="A1982" t="s">
        <v>2001</v>
      </c>
      <c r="B1982" t="s">
        <v>34</v>
      </c>
      <c r="C1982" t="s">
        <v>10</v>
      </c>
      <c r="D1982" s="1">
        <v>45510</v>
      </c>
      <c r="E1982">
        <v>96477</v>
      </c>
      <c r="F1982">
        <v>7276</v>
      </c>
      <c r="G1982">
        <v>858</v>
      </c>
      <c r="H1982" s="4">
        <v>2870.18</v>
      </c>
      <c r="I1982" s="4">
        <v>31256.46</v>
      </c>
      <c r="J1982" s="7">
        <f>Table1[[#This Row],[Clicks]]/Table1[[#This Row],[Impressions]]</f>
        <v>7.5416938752241466E-2</v>
      </c>
      <c r="K1982" s="7">
        <f>IFERROR(Table1[[#This Row],[Conversions]]/Table1[[#This Row],[Clicks]],0)</f>
        <v>0.11792193512919186</v>
      </c>
      <c r="L1982" s="6">
        <f>IF(Table1[[#This Row],[Conversions]]=0,0,Table1[[#This Row],[Ad Spend]]/Table1[[#This Row],[Conversions]])</f>
        <v>3.3451981351981348</v>
      </c>
      <c r="M1982" s="8">
        <f>IF(Table1[[#This Row],[Ad Spend]]=0,0,Table1[[#This Row],[Revenue]]/Table1[[#This Row],[Ad Spend]])</f>
        <v>10.890069612358808</v>
      </c>
      <c r="N1982">
        <f>YEAR(Table1[[#This Row],[Date]])</f>
        <v>2024</v>
      </c>
      <c r="O1982" t="str">
        <f>TEXT(Table1[[#This Row],[Date]],"mmm")</f>
        <v>Aug</v>
      </c>
      <c r="P1982">
        <f>MONTH(Table1[[#This Row],[Date]])</f>
        <v>8</v>
      </c>
    </row>
    <row r="1983" spans="1:16" x14ac:dyDescent="0.25">
      <c r="A1983" t="s">
        <v>2002</v>
      </c>
      <c r="B1983" t="s">
        <v>9</v>
      </c>
      <c r="C1983" t="s">
        <v>12</v>
      </c>
      <c r="D1983" s="1">
        <v>45302</v>
      </c>
      <c r="E1983">
        <v>77157</v>
      </c>
      <c r="F1983">
        <v>1811</v>
      </c>
      <c r="G1983">
        <v>229</v>
      </c>
      <c r="H1983" s="4">
        <v>1324.25</v>
      </c>
      <c r="I1983" s="4">
        <v>5615.18</v>
      </c>
      <c r="J1983" s="7">
        <f>Table1[[#This Row],[Clicks]]/Table1[[#This Row],[Impressions]]</f>
        <v>2.3471622795080162E-2</v>
      </c>
      <c r="K1983" s="7">
        <f>IFERROR(Table1[[#This Row],[Conversions]]/Table1[[#This Row],[Clicks]],0)</f>
        <v>0.12644947542794036</v>
      </c>
      <c r="L1983" s="6">
        <f>IF(Table1[[#This Row],[Conversions]]=0,0,Table1[[#This Row],[Ad Spend]]/Table1[[#This Row],[Conversions]])</f>
        <v>5.7827510917030569</v>
      </c>
      <c r="M1983" s="8">
        <f>IF(Table1[[#This Row],[Ad Spend]]=0,0,Table1[[#This Row],[Revenue]]/Table1[[#This Row],[Ad Spend]])</f>
        <v>4.240271851991694</v>
      </c>
      <c r="N1983">
        <f>YEAR(Table1[[#This Row],[Date]])</f>
        <v>2024</v>
      </c>
      <c r="O1983" t="str">
        <f>TEXT(Table1[[#This Row],[Date]],"mmm")</f>
        <v>Jan</v>
      </c>
      <c r="P1983">
        <f>MONTH(Table1[[#This Row],[Date]])</f>
        <v>1</v>
      </c>
    </row>
    <row r="1984" spans="1:16" x14ac:dyDescent="0.25">
      <c r="A1984" t="s">
        <v>2003</v>
      </c>
      <c r="B1984" t="s">
        <v>16</v>
      </c>
      <c r="C1984" t="s">
        <v>37</v>
      </c>
      <c r="D1984" s="1">
        <v>45715</v>
      </c>
      <c r="E1984">
        <v>59806</v>
      </c>
      <c r="F1984">
        <v>1425</v>
      </c>
      <c r="G1984">
        <v>83</v>
      </c>
      <c r="H1984" s="4">
        <v>494.12</v>
      </c>
      <c r="I1984" s="4">
        <v>5390.58</v>
      </c>
      <c r="J1984" s="7">
        <f>Table1[[#This Row],[Clicks]]/Table1[[#This Row],[Impressions]]</f>
        <v>2.3827040765140622E-2</v>
      </c>
      <c r="K1984" s="7">
        <f>IFERROR(Table1[[#This Row],[Conversions]]/Table1[[#This Row],[Clicks]],0)</f>
        <v>5.8245614035087719E-2</v>
      </c>
      <c r="L1984" s="6">
        <f>IF(Table1[[#This Row],[Conversions]]=0,0,Table1[[#This Row],[Ad Spend]]/Table1[[#This Row],[Conversions]])</f>
        <v>5.9532530120481928</v>
      </c>
      <c r="M1984" s="8">
        <f>IF(Table1[[#This Row],[Ad Spend]]=0,0,Table1[[#This Row],[Revenue]]/Table1[[#This Row],[Ad Spend]])</f>
        <v>10.909455193070508</v>
      </c>
      <c r="N1984">
        <f>YEAR(Table1[[#This Row],[Date]])</f>
        <v>2025</v>
      </c>
      <c r="O1984" t="str">
        <f>TEXT(Table1[[#This Row],[Date]],"mmm")</f>
        <v>Feb</v>
      </c>
      <c r="P1984">
        <f>MONTH(Table1[[#This Row],[Date]])</f>
        <v>2</v>
      </c>
    </row>
    <row r="1985" spans="1:16" x14ac:dyDescent="0.25">
      <c r="A1985" t="s">
        <v>2004</v>
      </c>
      <c r="B1985" t="s">
        <v>16</v>
      </c>
      <c r="C1985" t="s">
        <v>10</v>
      </c>
      <c r="D1985" s="1">
        <v>45352</v>
      </c>
      <c r="E1985">
        <v>58520</v>
      </c>
      <c r="F1985">
        <v>2087</v>
      </c>
      <c r="G1985">
        <v>247</v>
      </c>
      <c r="H1985" s="4">
        <v>3853.24</v>
      </c>
      <c r="I1985" s="4">
        <v>25558.240000000002</v>
      </c>
      <c r="J1985" s="7">
        <f>Table1[[#This Row],[Clicks]]/Table1[[#This Row],[Impressions]]</f>
        <v>3.566302118933698E-2</v>
      </c>
      <c r="K1985" s="7">
        <f>IFERROR(Table1[[#This Row],[Conversions]]/Table1[[#This Row],[Clicks]],0)</f>
        <v>0.11835170100622903</v>
      </c>
      <c r="L1985" s="6">
        <f>IF(Table1[[#This Row],[Conversions]]=0,0,Table1[[#This Row],[Ad Spend]]/Table1[[#This Row],[Conversions]])</f>
        <v>15.600161943319836</v>
      </c>
      <c r="M1985" s="8">
        <f>IF(Table1[[#This Row],[Ad Spend]]=0,0,Table1[[#This Row],[Revenue]]/Table1[[#This Row],[Ad Spend]])</f>
        <v>6.6329219046828136</v>
      </c>
      <c r="N1985">
        <f>YEAR(Table1[[#This Row],[Date]])</f>
        <v>2024</v>
      </c>
      <c r="O1985" t="str">
        <f>TEXT(Table1[[#This Row],[Date]],"mmm")</f>
        <v>Mar</v>
      </c>
      <c r="P1985">
        <f>MONTH(Table1[[#This Row],[Date]])</f>
        <v>3</v>
      </c>
    </row>
    <row r="1986" spans="1:16" x14ac:dyDescent="0.25">
      <c r="A1986" t="s">
        <v>2005</v>
      </c>
      <c r="B1986" t="s">
        <v>21</v>
      </c>
      <c r="C1986" t="s">
        <v>37</v>
      </c>
      <c r="D1986" s="1">
        <v>45644</v>
      </c>
      <c r="E1986">
        <v>21585</v>
      </c>
      <c r="F1986">
        <v>1475</v>
      </c>
      <c r="G1986">
        <v>60</v>
      </c>
      <c r="H1986" s="4">
        <v>2014.81</v>
      </c>
      <c r="I1986" s="4">
        <v>2228.25</v>
      </c>
      <c r="J1986" s="7">
        <f>Table1[[#This Row],[Clicks]]/Table1[[#This Row],[Impressions]]</f>
        <v>6.8334491545054429E-2</v>
      </c>
      <c r="K1986" s="7">
        <f>IFERROR(Table1[[#This Row],[Conversions]]/Table1[[#This Row],[Clicks]],0)</f>
        <v>4.0677966101694912E-2</v>
      </c>
      <c r="L1986" s="6">
        <f>IF(Table1[[#This Row],[Conversions]]=0,0,Table1[[#This Row],[Ad Spend]]/Table1[[#This Row],[Conversions]])</f>
        <v>33.580166666666663</v>
      </c>
      <c r="M1986" s="8">
        <f>IF(Table1[[#This Row],[Ad Spend]]=0,0,Table1[[#This Row],[Revenue]]/Table1[[#This Row],[Ad Spend]])</f>
        <v>1.1059355472724475</v>
      </c>
      <c r="N1986">
        <f>YEAR(Table1[[#This Row],[Date]])</f>
        <v>2024</v>
      </c>
      <c r="O1986" t="str">
        <f>TEXT(Table1[[#This Row],[Date]],"mmm")</f>
        <v>Dec</v>
      </c>
      <c r="P1986">
        <f>MONTH(Table1[[#This Row],[Date]])</f>
        <v>12</v>
      </c>
    </row>
    <row r="1987" spans="1:16" x14ac:dyDescent="0.25">
      <c r="A1987" t="s">
        <v>2006</v>
      </c>
      <c r="B1987" t="s">
        <v>31</v>
      </c>
      <c r="C1987" t="s">
        <v>12</v>
      </c>
      <c r="D1987" s="1">
        <v>45381</v>
      </c>
      <c r="E1987">
        <v>115193</v>
      </c>
      <c r="F1987">
        <v>2027</v>
      </c>
      <c r="G1987">
        <v>241</v>
      </c>
      <c r="H1987" s="4">
        <v>1216.57</v>
      </c>
      <c r="I1987" s="4">
        <v>8525.1299999999992</v>
      </c>
      <c r="J1987" s="7">
        <f>Table1[[#This Row],[Clicks]]/Table1[[#This Row],[Impressions]]</f>
        <v>1.7596555346244998E-2</v>
      </c>
      <c r="K1987" s="7">
        <f>IFERROR(Table1[[#This Row],[Conversions]]/Table1[[#This Row],[Clicks]],0)</f>
        <v>0.11889491859891466</v>
      </c>
      <c r="L1987" s="6">
        <f>IF(Table1[[#This Row],[Conversions]]=0,0,Table1[[#This Row],[Ad Spend]]/Table1[[#This Row],[Conversions]])</f>
        <v>5.0480082987551862</v>
      </c>
      <c r="M1987" s="8">
        <f>IF(Table1[[#This Row],[Ad Spend]]=0,0,Table1[[#This Row],[Revenue]]/Table1[[#This Row],[Ad Spend]])</f>
        <v>7.0075129256845061</v>
      </c>
      <c r="N1987">
        <f>YEAR(Table1[[#This Row],[Date]])</f>
        <v>2024</v>
      </c>
      <c r="O1987" t="str">
        <f>TEXT(Table1[[#This Row],[Date]],"mmm")</f>
        <v>Mar</v>
      </c>
      <c r="P1987">
        <f>MONTH(Table1[[#This Row],[Date]])</f>
        <v>3</v>
      </c>
    </row>
    <row r="1988" spans="1:16" x14ac:dyDescent="0.25">
      <c r="A1988" t="s">
        <v>2007</v>
      </c>
      <c r="B1988" t="s">
        <v>9</v>
      </c>
      <c r="C1988" t="s">
        <v>17</v>
      </c>
      <c r="D1988" s="1">
        <v>45409</v>
      </c>
      <c r="E1988">
        <v>48565</v>
      </c>
      <c r="F1988">
        <v>1390</v>
      </c>
      <c r="G1988">
        <v>121</v>
      </c>
      <c r="H1988" s="4">
        <v>2863.99</v>
      </c>
      <c r="I1988" s="4">
        <v>10613.42</v>
      </c>
      <c r="J1988" s="7">
        <f>Table1[[#This Row],[Clicks]]/Table1[[#This Row],[Impressions]]</f>
        <v>2.8621435189951611E-2</v>
      </c>
      <c r="K1988" s="7">
        <f>IFERROR(Table1[[#This Row],[Conversions]]/Table1[[#This Row],[Clicks]],0)</f>
        <v>8.7050359712230213E-2</v>
      </c>
      <c r="L1988" s="6">
        <f>IF(Table1[[#This Row],[Conversions]]=0,0,Table1[[#This Row],[Ad Spend]]/Table1[[#This Row],[Conversions]])</f>
        <v>23.669338842975204</v>
      </c>
      <c r="M1988" s="8">
        <f>IF(Table1[[#This Row],[Ad Spend]]=0,0,Table1[[#This Row],[Revenue]]/Table1[[#This Row],[Ad Spend]])</f>
        <v>3.7058160119274164</v>
      </c>
      <c r="N1988">
        <f>YEAR(Table1[[#This Row],[Date]])</f>
        <v>2024</v>
      </c>
      <c r="O1988" t="str">
        <f>TEXT(Table1[[#This Row],[Date]],"mmm")</f>
        <v>Apr</v>
      </c>
      <c r="P1988">
        <f>MONTH(Table1[[#This Row],[Date]])</f>
        <v>4</v>
      </c>
    </row>
    <row r="1989" spans="1:16" x14ac:dyDescent="0.25">
      <c r="A1989" t="s">
        <v>2008</v>
      </c>
      <c r="B1989" t="s">
        <v>47</v>
      </c>
      <c r="C1989" t="s">
        <v>17</v>
      </c>
      <c r="D1989" s="1">
        <v>45372</v>
      </c>
      <c r="E1989">
        <v>144682</v>
      </c>
      <c r="F1989">
        <v>8136</v>
      </c>
      <c r="G1989">
        <v>390</v>
      </c>
      <c r="H1989" s="4">
        <v>2355.48</v>
      </c>
      <c r="I1989" s="4">
        <v>14513.27</v>
      </c>
      <c r="J1989" s="7">
        <f>Table1[[#This Row],[Clicks]]/Table1[[#This Row],[Impressions]]</f>
        <v>5.6233671085553147E-2</v>
      </c>
      <c r="K1989" s="7">
        <f>IFERROR(Table1[[#This Row],[Conversions]]/Table1[[#This Row],[Clicks]],0)</f>
        <v>4.7935103244837761E-2</v>
      </c>
      <c r="L1989" s="6">
        <f>IF(Table1[[#This Row],[Conversions]]=0,0,Table1[[#This Row],[Ad Spend]]/Table1[[#This Row],[Conversions]])</f>
        <v>6.0396923076923077</v>
      </c>
      <c r="M1989" s="8">
        <f>IF(Table1[[#This Row],[Ad Spend]]=0,0,Table1[[#This Row],[Revenue]]/Table1[[#This Row],[Ad Spend]])</f>
        <v>6.1614915006707767</v>
      </c>
      <c r="N1989">
        <f>YEAR(Table1[[#This Row],[Date]])</f>
        <v>2024</v>
      </c>
      <c r="O1989" t="str">
        <f>TEXT(Table1[[#This Row],[Date]],"mmm")</f>
        <v>Mar</v>
      </c>
      <c r="P1989">
        <f>MONTH(Table1[[#This Row],[Date]])</f>
        <v>3</v>
      </c>
    </row>
    <row r="1990" spans="1:16" x14ac:dyDescent="0.25">
      <c r="A1990" t="s">
        <v>2009</v>
      </c>
      <c r="B1990" t="s">
        <v>41</v>
      </c>
      <c r="C1990" t="s">
        <v>19</v>
      </c>
      <c r="D1990" s="1">
        <v>45453</v>
      </c>
      <c r="E1990">
        <v>73217</v>
      </c>
      <c r="F1990">
        <v>3839</v>
      </c>
      <c r="G1990">
        <v>539</v>
      </c>
      <c r="H1990" s="4">
        <v>4031.85</v>
      </c>
      <c r="I1990" s="4">
        <v>55820.12</v>
      </c>
      <c r="J1990" s="7">
        <f>Table1[[#This Row],[Clicks]]/Table1[[#This Row],[Impressions]]</f>
        <v>5.2433178087056283E-2</v>
      </c>
      <c r="K1990" s="7">
        <f>IFERROR(Table1[[#This Row],[Conversions]]/Table1[[#This Row],[Clicks]],0)</f>
        <v>0.14040114613180515</v>
      </c>
      <c r="L1990" s="6">
        <f>IF(Table1[[#This Row],[Conversions]]=0,0,Table1[[#This Row],[Ad Spend]]/Table1[[#This Row],[Conversions]])</f>
        <v>7.4802411873840446</v>
      </c>
      <c r="M1990" s="8">
        <f>IF(Table1[[#This Row],[Ad Spend]]=0,0,Table1[[#This Row],[Revenue]]/Table1[[#This Row],[Ad Spend]])</f>
        <v>13.844790852834308</v>
      </c>
      <c r="N1990">
        <f>YEAR(Table1[[#This Row],[Date]])</f>
        <v>2024</v>
      </c>
      <c r="O1990" t="str">
        <f>TEXT(Table1[[#This Row],[Date]],"mmm")</f>
        <v>Jun</v>
      </c>
      <c r="P1990">
        <f>MONTH(Table1[[#This Row],[Date]])</f>
        <v>6</v>
      </c>
    </row>
    <row r="1991" spans="1:16" x14ac:dyDescent="0.25">
      <c r="A1991" t="s">
        <v>2010</v>
      </c>
      <c r="B1991" t="s">
        <v>14</v>
      </c>
      <c r="C1991" t="s">
        <v>17</v>
      </c>
      <c r="D1991" s="1">
        <v>45443</v>
      </c>
      <c r="E1991">
        <v>103441</v>
      </c>
      <c r="F1991">
        <v>6628</v>
      </c>
      <c r="G1991">
        <v>533</v>
      </c>
      <c r="H1991" s="4">
        <v>636.91999999999996</v>
      </c>
      <c r="I1991" s="4">
        <v>41648.75</v>
      </c>
      <c r="J1991" s="7">
        <f>Table1[[#This Row],[Clicks]]/Table1[[#This Row],[Impressions]]</f>
        <v>6.407517328718787E-2</v>
      </c>
      <c r="K1991" s="7">
        <f>IFERROR(Table1[[#This Row],[Conversions]]/Table1[[#This Row],[Clicks]],0)</f>
        <v>8.0416415208207609E-2</v>
      </c>
      <c r="L1991" s="6">
        <f>IF(Table1[[#This Row],[Conversions]]=0,0,Table1[[#This Row],[Ad Spend]]/Table1[[#This Row],[Conversions]])</f>
        <v>1.1949718574108816</v>
      </c>
      <c r="M1991" s="8">
        <f>IF(Table1[[#This Row],[Ad Spend]]=0,0,Table1[[#This Row],[Revenue]]/Table1[[#This Row],[Ad Spend]])</f>
        <v>65.390865414808772</v>
      </c>
      <c r="N1991">
        <f>YEAR(Table1[[#This Row],[Date]])</f>
        <v>2024</v>
      </c>
      <c r="O1991" t="str">
        <f>TEXT(Table1[[#This Row],[Date]],"mmm")</f>
        <v>May</v>
      </c>
      <c r="P1991">
        <f>MONTH(Table1[[#This Row],[Date]])</f>
        <v>5</v>
      </c>
    </row>
    <row r="1992" spans="1:16" x14ac:dyDescent="0.25">
      <c r="A1992" t="s">
        <v>2011</v>
      </c>
      <c r="B1992" t="s">
        <v>16</v>
      </c>
      <c r="C1992" t="s">
        <v>10</v>
      </c>
      <c r="D1992" s="1">
        <v>45409</v>
      </c>
      <c r="E1992">
        <v>144865</v>
      </c>
      <c r="F1992">
        <v>11077</v>
      </c>
      <c r="G1992">
        <v>384</v>
      </c>
      <c r="H1992" s="4">
        <v>2500.7399999999998</v>
      </c>
      <c r="I1992" s="4">
        <v>42598.39</v>
      </c>
      <c r="J1992" s="7">
        <f>Table1[[#This Row],[Clicks]]/Table1[[#This Row],[Impressions]]</f>
        <v>7.6464294343009012E-2</v>
      </c>
      <c r="K1992" s="7">
        <f>IFERROR(Table1[[#This Row],[Conversions]]/Table1[[#This Row],[Clicks]],0)</f>
        <v>3.4666425927597722E-2</v>
      </c>
      <c r="L1992" s="6">
        <f>IF(Table1[[#This Row],[Conversions]]=0,0,Table1[[#This Row],[Ad Spend]]/Table1[[#This Row],[Conversions]])</f>
        <v>6.5123437499999994</v>
      </c>
      <c r="M1992" s="8">
        <f>IF(Table1[[#This Row],[Ad Spend]]=0,0,Table1[[#This Row],[Revenue]]/Table1[[#This Row],[Ad Spend]])</f>
        <v>17.034313843102442</v>
      </c>
      <c r="N1992">
        <f>YEAR(Table1[[#This Row],[Date]])</f>
        <v>2024</v>
      </c>
      <c r="O1992" t="str">
        <f>TEXT(Table1[[#This Row],[Date]],"mmm")</f>
        <v>Apr</v>
      </c>
      <c r="P1992">
        <f>MONTH(Table1[[#This Row],[Date]])</f>
        <v>4</v>
      </c>
    </row>
    <row r="1993" spans="1:16" x14ac:dyDescent="0.25">
      <c r="A1993" t="s">
        <v>2012</v>
      </c>
      <c r="B1993" t="s">
        <v>16</v>
      </c>
      <c r="C1993" t="s">
        <v>10</v>
      </c>
      <c r="D1993" s="1">
        <v>45557</v>
      </c>
      <c r="E1993">
        <v>52131</v>
      </c>
      <c r="F1993">
        <v>2488</v>
      </c>
      <c r="G1993">
        <v>124</v>
      </c>
      <c r="H1993" s="4">
        <v>806.85</v>
      </c>
      <c r="I1993" s="4">
        <v>13739.22</v>
      </c>
      <c r="J1993" s="7">
        <f>Table1[[#This Row],[Clicks]]/Table1[[#This Row],[Impressions]]</f>
        <v>4.7725921236884003E-2</v>
      </c>
      <c r="K1993" s="7">
        <f>IFERROR(Table1[[#This Row],[Conversions]]/Table1[[#This Row],[Clicks]],0)</f>
        <v>4.9839228295819937E-2</v>
      </c>
      <c r="L1993" s="6">
        <f>IF(Table1[[#This Row],[Conversions]]=0,0,Table1[[#This Row],[Ad Spend]]/Table1[[#This Row],[Conversions]])</f>
        <v>6.5068548387096774</v>
      </c>
      <c r="M1993" s="8">
        <f>IF(Table1[[#This Row],[Ad Spend]]=0,0,Table1[[#This Row],[Revenue]]/Table1[[#This Row],[Ad Spend]])</f>
        <v>17.028220858895704</v>
      </c>
      <c r="N1993">
        <f>YEAR(Table1[[#This Row],[Date]])</f>
        <v>2024</v>
      </c>
      <c r="O1993" t="str">
        <f>TEXT(Table1[[#This Row],[Date]],"mmm")</f>
        <v>Sept</v>
      </c>
      <c r="P1993">
        <f>MONTH(Table1[[#This Row],[Date]])</f>
        <v>9</v>
      </c>
    </row>
    <row r="1994" spans="1:16" x14ac:dyDescent="0.25">
      <c r="A1994" t="s">
        <v>2013</v>
      </c>
      <c r="B1994" t="s">
        <v>9</v>
      </c>
      <c r="C1994" t="s">
        <v>37</v>
      </c>
      <c r="D1994" s="1">
        <v>45567</v>
      </c>
      <c r="E1994">
        <v>149776</v>
      </c>
      <c r="F1994">
        <v>2373</v>
      </c>
      <c r="G1994">
        <v>209</v>
      </c>
      <c r="H1994" s="4">
        <v>648.98</v>
      </c>
      <c r="I1994" s="4">
        <v>9637.83</v>
      </c>
      <c r="J1994" s="7">
        <f>Table1[[#This Row],[Clicks]]/Table1[[#This Row],[Impressions]]</f>
        <v>1.5843659865398995E-2</v>
      </c>
      <c r="K1994" s="7">
        <f>IFERROR(Table1[[#This Row],[Conversions]]/Table1[[#This Row],[Clicks]],0)</f>
        <v>8.807416772018542E-2</v>
      </c>
      <c r="L1994" s="6">
        <f>IF(Table1[[#This Row],[Conversions]]=0,0,Table1[[#This Row],[Ad Spend]]/Table1[[#This Row],[Conversions]])</f>
        <v>3.1051674641148326</v>
      </c>
      <c r="M1994" s="8">
        <f>IF(Table1[[#This Row],[Ad Spend]]=0,0,Table1[[#This Row],[Revenue]]/Table1[[#This Row],[Ad Spend]])</f>
        <v>14.850734999537735</v>
      </c>
      <c r="N1994">
        <f>YEAR(Table1[[#This Row],[Date]])</f>
        <v>2024</v>
      </c>
      <c r="O1994" t="str">
        <f>TEXT(Table1[[#This Row],[Date]],"mmm")</f>
        <v>Oct</v>
      </c>
      <c r="P1994">
        <f>MONTH(Table1[[#This Row],[Date]])</f>
        <v>10</v>
      </c>
    </row>
    <row r="1995" spans="1:16" x14ac:dyDescent="0.25">
      <c r="A1995" t="s">
        <v>2014</v>
      </c>
      <c r="B1995" t="s">
        <v>16</v>
      </c>
      <c r="C1995" t="s">
        <v>37</v>
      </c>
      <c r="D1995" s="1">
        <v>45314</v>
      </c>
      <c r="E1995">
        <v>117124</v>
      </c>
      <c r="F1995">
        <v>5192</v>
      </c>
      <c r="G1995">
        <v>669</v>
      </c>
      <c r="H1995" s="4">
        <v>870.62</v>
      </c>
      <c r="I1995" s="4">
        <v>66232.88</v>
      </c>
      <c r="J1995" s="7">
        <f>Table1[[#This Row],[Clicks]]/Table1[[#This Row],[Impressions]]</f>
        <v>4.4329087121341482E-2</v>
      </c>
      <c r="K1995" s="7">
        <f>IFERROR(Table1[[#This Row],[Conversions]]/Table1[[#This Row],[Clicks]],0)</f>
        <v>0.12885208012326657</v>
      </c>
      <c r="L1995" s="6">
        <f>IF(Table1[[#This Row],[Conversions]]=0,0,Table1[[#This Row],[Ad Spend]]/Table1[[#This Row],[Conversions]])</f>
        <v>1.3013751868460388</v>
      </c>
      <c r="M1995" s="8">
        <f>IF(Table1[[#This Row],[Ad Spend]]=0,0,Table1[[#This Row],[Revenue]]/Table1[[#This Row],[Ad Spend]])</f>
        <v>76.075532379224001</v>
      </c>
      <c r="N1995">
        <f>YEAR(Table1[[#This Row],[Date]])</f>
        <v>2024</v>
      </c>
      <c r="O1995" t="str">
        <f>TEXT(Table1[[#This Row],[Date]],"mmm")</f>
        <v>Jan</v>
      </c>
      <c r="P1995">
        <f>MONTH(Table1[[#This Row],[Date]])</f>
        <v>1</v>
      </c>
    </row>
    <row r="1996" spans="1:16" x14ac:dyDescent="0.25">
      <c r="A1996" t="s">
        <v>2015</v>
      </c>
      <c r="B1996" t="s">
        <v>9</v>
      </c>
      <c r="C1996" t="s">
        <v>12</v>
      </c>
      <c r="D1996" s="1">
        <v>45367</v>
      </c>
      <c r="E1996">
        <v>120958</v>
      </c>
      <c r="F1996">
        <v>1814</v>
      </c>
      <c r="G1996">
        <v>206</v>
      </c>
      <c r="H1996" s="4">
        <v>2824.29</v>
      </c>
      <c r="I1996" s="4">
        <v>19317.47</v>
      </c>
      <c r="J1996" s="7">
        <f>Table1[[#This Row],[Clicks]]/Table1[[#This Row],[Impressions]]</f>
        <v>1.4996941086988872E-2</v>
      </c>
      <c r="K1996" s="7">
        <f>IFERROR(Table1[[#This Row],[Conversions]]/Table1[[#This Row],[Clicks]],0)</f>
        <v>0.11356119073869901</v>
      </c>
      <c r="L1996" s="6">
        <f>IF(Table1[[#This Row],[Conversions]]=0,0,Table1[[#This Row],[Ad Spend]]/Table1[[#This Row],[Conversions]])</f>
        <v>13.710145631067961</v>
      </c>
      <c r="M1996" s="8">
        <f>IF(Table1[[#This Row],[Ad Spend]]=0,0,Table1[[#This Row],[Revenue]]/Table1[[#This Row],[Ad Spend]])</f>
        <v>6.8397614975799232</v>
      </c>
      <c r="N1996">
        <f>YEAR(Table1[[#This Row],[Date]])</f>
        <v>2024</v>
      </c>
      <c r="O1996" t="str">
        <f>TEXT(Table1[[#This Row],[Date]],"mmm")</f>
        <v>Mar</v>
      </c>
      <c r="P1996">
        <f>MONTH(Table1[[#This Row],[Date]])</f>
        <v>3</v>
      </c>
    </row>
    <row r="1997" spans="1:16" x14ac:dyDescent="0.25">
      <c r="A1997" t="s">
        <v>2016</v>
      </c>
      <c r="B1997" t="s">
        <v>47</v>
      </c>
      <c r="C1997" t="s">
        <v>17</v>
      </c>
      <c r="D1997" s="1">
        <v>45376</v>
      </c>
      <c r="E1997">
        <v>77433</v>
      </c>
      <c r="F1997">
        <v>6155</v>
      </c>
      <c r="G1997">
        <v>393</v>
      </c>
      <c r="H1997" s="4">
        <v>358.91</v>
      </c>
      <c r="I1997" s="4">
        <v>8313.11</v>
      </c>
      <c r="J1997" s="7">
        <f>Table1[[#This Row],[Clicks]]/Table1[[#This Row],[Impressions]]</f>
        <v>7.9488073560368314E-2</v>
      </c>
      <c r="K1997" s="7">
        <f>IFERROR(Table1[[#This Row],[Conversions]]/Table1[[#This Row],[Clicks]],0)</f>
        <v>6.3850528025995126E-2</v>
      </c>
      <c r="L1997" s="6">
        <f>IF(Table1[[#This Row],[Conversions]]=0,0,Table1[[#This Row],[Ad Spend]]/Table1[[#This Row],[Conversions]])</f>
        <v>0.91325699745547084</v>
      </c>
      <c r="M1997" s="8">
        <f>IF(Table1[[#This Row],[Ad Spend]]=0,0,Table1[[#This Row],[Revenue]]/Table1[[#This Row],[Ad Spend]])</f>
        <v>23.162101919701318</v>
      </c>
      <c r="N1997">
        <f>YEAR(Table1[[#This Row],[Date]])</f>
        <v>2024</v>
      </c>
      <c r="O1997" t="str">
        <f>TEXT(Table1[[#This Row],[Date]],"mmm")</f>
        <v>Mar</v>
      </c>
      <c r="P1997">
        <f>MONTH(Table1[[#This Row],[Date]])</f>
        <v>3</v>
      </c>
    </row>
    <row r="1998" spans="1:16" x14ac:dyDescent="0.25">
      <c r="A1998" t="s">
        <v>2017</v>
      </c>
      <c r="B1998" t="s">
        <v>31</v>
      </c>
      <c r="C1998" t="s">
        <v>10</v>
      </c>
      <c r="D1998" s="1">
        <v>45706</v>
      </c>
      <c r="E1998">
        <v>12955</v>
      </c>
      <c r="F1998">
        <v>205</v>
      </c>
      <c r="G1998">
        <v>8</v>
      </c>
      <c r="H1998" s="4">
        <v>3762.55</v>
      </c>
      <c r="I1998" s="4">
        <v>669.63</v>
      </c>
      <c r="J1998" s="7">
        <f>Table1[[#This Row],[Clicks]]/Table1[[#This Row],[Impressions]]</f>
        <v>1.5824006175221922E-2</v>
      </c>
      <c r="K1998" s="7">
        <f>IFERROR(Table1[[#This Row],[Conversions]]/Table1[[#This Row],[Clicks]],0)</f>
        <v>3.9024390243902439E-2</v>
      </c>
      <c r="L1998" s="6">
        <f>IF(Table1[[#This Row],[Conversions]]=0,0,Table1[[#This Row],[Ad Spend]]/Table1[[#This Row],[Conversions]])</f>
        <v>470.31875000000002</v>
      </c>
      <c r="M1998" s="8">
        <f>IF(Table1[[#This Row],[Ad Spend]]=0,0,Table1[[#This Row],[Revenue]]/Table1[[#This Row],[Ad Spend]])</f>
        <v>0.17797238574902657</v>
      </c>
      <c r="N1998">
        <f>YEAR(Table1[[#This Row],[Date]])</f>
        <v>2025</v>
      </c>
      <c r="O1998" t="str">
        <f>TEXT(Table1[[#This Row],[Date]],"mmm")</f>
        <v>Feb</v>
      </c>
      <c r="P1998">
        <f>MONTH(Table1[[#This Row],[Date]])</f>
        <v>2</v>
      </c>
    </row>
    <row r="1999" spans="1:16" x14ac:dyDescent="0.25">
      <c r="A1999" t="s">
        <v>2018</v>
      </c>
      <c r="B1999" t="s">
        <v>9</v>
      </c>
      <c r="C1999" t="s">
        <v>10</v>
      </c>
      <c r="D1999" s="1">
        <v>45644</v>
      </c>
      <c r="E1999">
        <v>54917</v>
      </c>
      <c r="F1999">
        <v>2397</v>
      </c>
      <c r="G1999">
        <v>298</v>
      </c>
      <c r="H1999" s="4">
        <v>2307.1</v>
      </c>
      <c r="I1999" s="4">
        <v>32609.97</v>
      </c>
      <c r="J1999" s="7">
        <f>Table1[[#This Row],[Clicks]]/Table1[[#This Row],[Impressions]]</f>
        <v>4.3647686508731361E-2</v>
      </c>
      <c r="K1999" s="7">
        <f>IFERROR(Table1[[#This Row],[Conversions]]/Table1[[#This Row],[Clicks]],0)</f>
        <v>0.12432206925323321</v>
      </c>
      <c r="L1999" s="6">
        <f>IF(Table1[[#This Row],[Conversions]]=0,0,Table1[[#This Row],[Ad Spend]]/Table1[[#This Row],[Conversions]])</f>
        <v>7.7419463087248319</v>
      </c>
      <c r="M1999" s="8">
        <f>IF(Table1[[#This Row],[Ad Spend]]=0,0,Table1[[#This Row],[Revenue]]/Table1[[#This Row],[Ad Spend]])</f>
        <v>14.13461488448702</v>
      </c>
      <c r="N1999">
        <f>YEAR(Table1[[#This Row],[Date]])</f>
        <v>2024</v>
      </c>
      <c r="O1999" t="str">
        <f>TEXT(Table1[[#This Row],[Date]],"mmm")</f>
        <v>Dec</v>
      </c>
      <c r="P1999">
        <f>MONTH(Table1[[#This Row],[Date]])</f>
        <v>12</v>
      </c>
    </row>
    <row r="2000" spans="1:16" x14ac:dyDescent="0.25">
      <c r="A2000" t="s">
        <v>2019</v>
      </c>
      <c r="B2000" t="s">
        <v>47</v>
      </c>
      <c r="C2000" t="s">
        <v>10</v>
      </c>
      <c r="D2000" s="1">
        <v>45695</v>
      </c>
      <c r="E2000">
        <v>11774</v>
      </c>
      <c r="F2000">
        <v>710</v>
      </c>
      <c r="G2000">
        <v>105</v>
      </c>
      <c r="H2000" s="4">
        <v>1701.65</v>
      </c>
      <c r="I2000" s="4">
        <v>9157.8700000000008</v>
      </c>
      <c r="J2000" s="7">
        <f>Table1[[#This Row],[Clicks]]/Table1[[#This Row],[Impressions]]</f>
        <v>6.0302361134703587E-2</v>
      </c>
      <c r="K2000" s="7">
        <f>IFERROR(Table1[[#This Row],[Conversions]]/Table1[[#This Row],[Clicks]],0)</f>
        <v>0.14788732394366197</v>
      </c>
      <c r="L2000" s="6">
        <f>IF(Table1[[#This Row],[Conversions]]=0,0,Table1[[#This Row],[Ad Spend]]/Table1[[#This Row],[Conversions]])</f>
        <v>16.206190476190478</v>
      </c>
      <c r="M2000" s="8">
        <f>IF(Table1[[#This Row],[Ad Spend]]=0,0,Table1[[#This Row],[Revenue]]/Table1[[#This Row],[Ad Spend]])</f>
        <v>5.3817588810860046</v>
      </c>
      <c r="N2000">
        <f>YEAR(Table1[[#This Row],[Date]])</f>
        <v>2025</v>
      </c>
      <c r="O2000" t="str">
        <f>TEXT(Table1[[#This Row],[Date]],"mmm")</f>
        <v>Feb</v>
      </c>
      <c r="P2000">
        <f>MONTH(Table1[[#This Row],[Date]])</f>
        <v>2</v>
      </c>
    </row>
    <row r="2001" spans="1:16" x14ac:dyDescent="0.25">
      <c r="A2001" t="s">
        <v>2020</v>
      </c>
      <c r="B2001" t="s">
        <v>34</v>
      </c>
      <c r="C2001" t="s">
        <v>19</v>
      </c>
      <c r="D2001" s="1">
        <v>45425</v>
      </c>
      <c r="E2001">
        <v>46752</v>
      </c>
      <c r="F2001">
        <v>745</v>
      </c>
      <c r="G2001">
        <v>93</v>
      </c>
      <c r="H2001" s="4">
        <v>3081.67</v>
      </c>
      <c r="I2001" s="4">
        <v>7220.38</v>
      </c>
      <c r="J2001" s="7">
        <f>Table1[[#This Row],[Clicks]]/Table1[[#This Row],[Impressions]]</f>
        <v>1.5935147159479808E-2</v>
      </c>
      <c r="K2001" s="7">
        <f>IFERROR(Table1[[#This Row],[Conversions]]/Table1[[#This Row],[Clicks]],0)</f>
        <v>0.12483221476510067</v>
      </c>
      <c r="L2001" s="6">
        <f>IF(Table1[[#This Row],[Conversions]]=0,0,Table1[[#This Row],[Ad Spend]]/Table1[[#This Row],[Conversions]])</f>
        <v>33.136236559139789</v>
      </c>
      <c r="M2001" s="8">
        <f>IF(Table1[[#This Row],[Ad Spend]]=0,0,Table1[[#This Row],[Revenue]]/Table1[[#This Row],[Ad Spend]])</f>
        <v>2.3430088231381037</v>
      </c>
      <c r="N2001">
        <f>YEAR(Table1[[#This Row],[Date]])</f>
        <v>2024</v>
      </c>
      <c r="O2001" t="str">
        <f>TEXT(Table1[[#This Row],[Date]],"mmm")</f>
        <v>May</v>
      </c>
      <c r="P2001">
        <f>MONTH(Table1[[#This Row],[Date]])</f>
        <v>5</v>
      </c>
    </row>
  </sheetData>
  <conditionalFormatting sqref="A1:A1048576">
    <cfRule type="duplicateValues" dxfId="0" priority="1"/>
  </conditionalFormatting>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DC0A2-BA68-4EAA-88DA-D308AA760D39}">
  <dimension ref="A1:P49"/>
  <sheetViews>
    <sheetView showGridLines="0" topLeftCell="G19" zoomScale="80" zoomScaleNormal="80" workbookViewId="0">
      <selection activeCell="E32" sqref="E32"/>
    </sheetView>
  </sheetViews>
  <sheetFormatPr defaultRowHeight="15" x14ac:dyDescent="0.25"/>
  <cols>
    <col min="1" max="1" width="17.28515625" bestFit="1" customWidth="1"/>
    <col min="2" max="2" width="17.85546875" customWidth="1"/>
    <col min="3" max="3" width="16.5703125" style="4" bestFit="1" customWidth="1"/>
    <col min="4" max="4" width="15" style="4" bestFit="1" customWidth="1"/>
    <col min="5" max="5" width="26.7109375" bestFit="1" customWidth="1"/>
    <col min="6" max="6" width="23.140625" bestFit="1" customWidth="1"/>
    <col min="7" max="7" width="16" style="4" bestFit="1" customWidth="1"/>
    <col min="8" max="8" width="23.140625" bestFit="1" customWidth="1"/>
    <col min="9" max="9" width="16" style="4" bestFit="1" customWidth="1"/>
    <col min="10" max="10" width="16.5703125" style="12" bestFit="1" customWidth="1"/>
    <col min="11" max="11" width="26.7109375" bestFit="1" customWidth="1"/>
    <col min="12" max="13" width="14.140625" bestFit="1" customWidth="1"/>
    <col min="14" max="14" width="16" bestFit="1" customWidth="1"/>
    <col min="15" max="15" width="15.85546875" bestFit="1" customWidth="1"/>
    <col min="16" max="16" width="16.5703125" bestFit="1" customWidth="1"/>
  </cols>
  <sheetData>
    <row r="1" spans="1:16" x14ac:dyDescent="0.25">
      <c r="A1" s="13" t="s">
        <v>2031</v>
      </c>
      <c r="F1" s="13" t="s">
        <v>2035</v>
      </c>
      <c r="L1" s="13" t="s">
        <v>2037</v>
      </c>
      <c r="M1" s="4"/>
      <c r="O1" s="4"/>
      <c r="P1" s="12"/>
    </row>
    <row r="2" spans="1:16" x14ac:dyDescent="0.25">
      <c r="M2" s="4"/>
      <c r="O2" s="4"/>
      <c r="P2" s="12"/>
    </row>
    <row r="3" spans="1:16" x14ac:dyDescent="0.25">
      <c r="A3" s="10" t="s">
        <v>2029</v>
      </c>
      <c r="B3" s="4" t="s">
        <v>2033</v>
      </c>
      <c r="C3" t="s">
        <v>2032</v>
      </c>
      <c r="D3" s="4" t="s">
        <v>2034</v>
      </c>
      <c r="F3" s="10" t="s">
        <v>2029</v>
      </c>
      <c r="G3" s="4" t="s">
        <v>2033</v>
      </c>
      <c r="H3" t="s">
        <v>2032</v>
      </c>
      <c r="I3" s="4" t="s">
        <v>2034</v>
      </c>
      <c r="J3" s="12" t="s">
        <v>2036</v>
      </c>
      <c r="L3" s="10" t="s">
        <v>2029</v>
      </c>
      <c r="M3" s="4" t="s">
        <v>2033</v>
      </c>
      <c r="N3" t="s">
        <v>2032</v>
      </c>
      <c r="O3" s="4" t="s">
        <v>2034</v>
      </c>
    </row>
    <row r="4" spans="1:16" x14ac:dyDescent="0.25">
      <c r="A4" s="11" t="s">
        <v>12</v>
      </c>
      <c r="B4" s="4">
        <v>7767664.7200000072</v>
      </c>
      <c r="C4" s="12">
        <v>109913</v>
      </c>
      <c r="D4" s="4">
        <v>999200.94999999984</v>
      </c>
      <c r="F4" s="11" t="s">
        <v>47</v>
      </c>
      <c r="G4" s="4">
        <v>5876151.7499999991</v>
      </c>
      <c r="H4" s="12">
        <v>82464</v>
      </c>
      <c r="I4" s="4">
        <v>680584.10999999975</v>
      </c>
      <c r="J4" s="12">
        <v>15.59865203275219</v>
      </c>
      <c r="L4" s="11" t="s">
        <v>2038</v>
      </c>
      <c r="M4" s="4">
        <v>5429032.240000003</v>
      </c>
      <c r="N4" s="12">
        <v>78529</v>
      </c>
      <c r="O4" s="4">
        <v>677817.33000000019</v>
      </c>
    </row>
    <row r="5" spans="1:16" x14ac:dyDescent="0.25">
      <c r="A5" s="11" t="s">
        <v>17</v>
      </c>
      <c r="B5" s="4">
        <v>8919626.77999999</v>
      </c>
      <c r="C5" s="12">
        <v>127871</v>
      </c>
      <c r="D5" s="4">
        <v>1062118.2299999997</v>
      </c>
      <c r="F5" s="11" t="s">
        <v>41</v>
      </c>
      <c r="G5" s="4">
        <v>5001328.719999996</v>
      </c>
      <c r="H5" s="12">
        <v>68329</v>
      </c>
      <c r="I5" s="4">
        <v>592818.19000000053</v>
      </c>
      <c r="J5" s="12">
        <v>14.540769065296617</v>
      </c>
      <c r="L5" s="11" t="s">
        <v>2039</v>
      </c>
      <c r="M5" s="4">
        <v>5432642.4099999946</v>
      </c>
      <c r="N5" s="12">
        <v>73520</v>
      </c>
      <c r="O5" s="4">
        <v>688756.28</v>
      </c>
    </row>
    <row r="6" spans="1:16" x14ac:dyDescent="0.25">
      <c r="A6" s="11" t="s">
        <v>10</v>
      </c>
      <c r="B6" s="4">
        <v>9148694.3600000013</v>
      </c>
      <c r="C6" s="12">
        <v>121094</v>
      </c>
      <c r="D6" s="4">
        <v>1088176.6099999994</v>
      </c>
      <c r="F6" s="11" t="s">
        <v>21</v>
      </c>
      <c r="G6" s="4">
        <v>5296928.3900000025</v>
      </c>
      <c r="H6" s="12">
        <v>72928</v>
      </c>
      <c r="I6" s="4">
        <v>607557.07999999996</v>
      </c>
      <c r="J6" s="12">
        <v>12.862275200557171</v>
      </c>
      <c r="L6" s="11" t="s">
        <v>2040</v>
      </c>
      <c r="M6" s="4">
        <v>3333589.2400000007</v>
      </c>
      <c r="N6" s="12">
        <v>46831</v>
      </c>
      <c r="O6" s="4">
        <v>351179.13999999996</v>
      </c>
    </row>
    <row r="7" spans="1:16" x14ac:dyDescent="0.25">
      <c r="A7" s="11" t="s">
        <v>37</v>
      </c>
      <c r="B7" s="4">
        <v>8726840.4000000004</v>
      </c>
      <c r="C7" s="12">
        <v>125101</v>
      </c>
      <c r="D7" s="4">
        <v>1098464.4500000009</v>
      </c>
      <c r="F7" s="11" t="s">
        <v>9</v>
      </c>
      <c r="G7" s="4">
        <v>5658537.7599999998</v>
      </c>
      <c r="H7" s="12">
        <v>74591</v>
      </c>
      <c r="I7" s="4">
        <v>654540.55000000016</v>
      </c>
      <c r="J7" s="12">
        <v>15.028686606772636</v>
      </c>
      <c r="L7" s="11" t="s">
        <v>2041</v>
      </c>
      <c r="M7" s="4">
        <v>3339954</v>
      </c>
      <c r="N7" s="12">
        <v>46173</v>
      </c>
      <c r="O7" s="4">
        <v>404961.39</v>
      </c>
    </row>
    <row r="8" spans="1:16" x14ac:dyDescent="0.25">
      <c r="A8" s="11" t="s">
        <v>19</v>
      </c>
      <c r="B8" s="4">
        <v>8054448.4100000039</v>
      </c>
      <c r="C8" s="12">
        <v>114769</v>
      </c>
      <c r="D8" s="4">
        <v>956149.27000000014</v>
      </c>
      <c r="F8" s="11" t="s">
        <v>14</v>
      </c>
      <c r="G8" s="4">
        <v>5427155.1900000013</v>
      </c>
      <c r="H8" s="12">
        <v>75427</v>
      </c>
      <c r="I8" s="4">
        <v>646173.72000000032</v>
      </c>
      <c r="J8" s="12">
        <v>13.091477688736612</v>
      </c>
      <c r="L8" s="11" t="s">
        <v>2042</v>
      </c>
      <c r="M8" s="4">
        <v>2885578.7700000009</v>
      </c>
      <c r="N8" s="12">
        <v>41464</v>
      </c>
      <c r="O8" s="4">
        <v>393455.61000000016</v>
      </c>
    </row>
    <row r="9" spans="1:16" x14ac:dyDescent="0.25">
      <c r="A9" s="11" t="s">
        <v>2030</v>
      </c>
      <c r="B9" s="4">
        <v>42617274.670000002</v>
      </c>
      <c r="C9" s="12">
        <v>598748</v>
      </c>
      <c r="D9" s="4">
        <v>5204109.5100000007</v>
      </c>
      <c r="F9" s="11" t="s">
        <v>34</v>
      </c>
      <c r="G9" s="4">
        <v>5059368.5700000012</v>
      </c>
      <c r="H9" s="12">
        <v>74319</v>
      </c>
      <c r="I9" s="4">
        <v>651363.89000000048</v>
      </c>
      <c r="J9" s="12">
        <v>14.20348120172955</v>
      </c>
      <c r="L9" s="11" t="s">
        <v>2043</v>
      </c>
      <c r="M9" s="4">
        <v>2937007.3099999977</v>
      </c>
      <c r="N9" s="12">
        <v>40426</v>
      </c>
      <c r="O9" s="4">
        <v>354001.52999999974</v>
      </c>
    </row>
    <row r="10" spans="1:16" x14ac:dyDescent="0.25">
      <c r="F10" s="11" t="s">
        <v>16</v>
      </c>
      <c r="G10" s="4">
        <v>4826519.9799999986</v>
      </c>
      <c r="H10" s="12">
        <v>68945</v>
      </c>
      <c r="I10" s="4">
        <v>697997.84</v>
      </c>
      <c r="J10" s="12">
        <v>9.9456999402703978</v>
      </c>
      <c r="L10" s="11" t="s">
        <v>2044</v>
      </c>
      <c r="M10" s="4">
        <v>3407798.9499999993</v>
      </c>
      <c r="N10" s="12">
        <v>46166</v>
      </c>
      <c r="O10" s="4">
        <v>389697.24000000005</v>
      </c>
    </row>
    <row r="11" spans="1:16" x14ac:dyDescent="0.25">
      <c r="A11" s="13" t="s">
        <v>2050</v>
      </c>
      <c r="F11" s="11" t="s">
        <v>31</v>
      </c>
      <c r="G11" s="4">
        <v>5471284.3100000033</v>
      </c>
      <c r="H11" s="12">
        <v>81745</v>
      </c>
      <c r="I11" s="4">
        <v>673074.12999999966</v>
      </c>
      <c r="J11" s="12">
        <v>13.381132462479748</v>
      </c>
      <c r="L11" s="11" t="s">
        <v>2045</v>
      </c>
      <c r="M11" s="4">
        <v>2886554.1500000004</v>
      </c>
      <c r="N11" s="12">
        <v>40630</v>
      </c>
      <c r="O11" s="4">
        <v>378129.39999999991</v>
      </c>
    </row>
    <row r="12" spans="1:16" x14ac:dyDescent="0.25">
      <c r="F12" s="11" t="s">
        <v>2030</v>
      </c>
      <c r="G12" s="4">
        <v>42617274.670000009</v>
      </c>
      <c r="H12" s="12">
        <v>598748</v>
      </c>
      <c r="I12" s="4">
        <v>5204109.51</v>
      </c>
      <c r="J12" s="12">
        <v>13.574810582088411</v>
      </c>
      <c r="L12" s="11" t="s">
        <v>2046</v>
      </c>
      <c r="M12" s="4">
        <v>2959273.4000000008</v>
      </c>
      <c r="N12" s="12">
        <v>42664</v>
      </c>
      <c r="O12" s="4">
        <v>344542.62999999995</v>
      </c>
    </row>
    <row r="13" spans="1:16" x14ac:dyDescent="0.25">
      <c r="A13" s="10" t="s">
        <v>2029</v>
      </c>
      <c r="B13" t="s">
        <v>2052</v>
      </c>
      <c r="C13" t="s">
        <v>2036</v>
      </c>
      <c r="D13" t="s">
        <v>2051</v>
      </c>
      <c r="E13" t="s">
        <v>2053</v>
      </c>
      <c r="L13" s="11" t="s">
        <v>2047</v>
      </c>
      <c r="M13" s="4">
        <v>3044116.0299999979</v>
      </c>
      <c r="N13" s="12">
        <v>42664</v>
      </c>
      <c r="O13" s="4">
        <v>365892.50999999989</v>
      </c>
    </row>
    <row r="14" spans="1:16" x14ac:dyDescent="0.25">
      <c r="A14" s="11" t="s">
        <v>12</v>
      </c>
      <c r="B14" s="12">
        <v>30.449776199193483</v>
      </c>
      <c r="C14" s="12">
        <v>13.52347181669368</v>
      </c>
      <c r="D14" s="12">
        <v>4.3747567121424462E-2</v>
      </c>
      <c r="E14" s="12">
        <v>8.4422938971697489E-2</v>
      </c>
      <c r="L14" s="11" t="s">
        <v>2048</v>
      </c>
      <c r="M14" s="4">
        <v>3130587.6699999995</v>
      </c>
      <c r="N14" s="12">
        <v>44226</v>
      </c>
      <c r="O14" s="4">
        <v>380345.03000000014</v>
      </c>
    </row>
    <row r="15" spans="1:16" x14ac:dyDescent="0.25">
      <c r="A15" s="11" t="s">
        <v>17</v>
      </c>
      <c r="B15" s="12">
        <v>38.812142207339932</v>
      </c>
      <c r="C15" s="12">
        <v>13.887466535073804</v>
      </c>
      <c r="D15" s="12">
        <v>4.5473188567206668E-2</v>
      </c>
      <c r="E15" s="12">
        <v>8.4874393246194377E-2</v>
      </c>
      <c r="L15" s="11" t="s">
        <v>2049</v>
      </c>
      <c r="M15" s="4">
        <v>3831140.5000000009</v>
      </c>
      <c r="N15" s="12">
        <v>55455</v>
      </c>
      <c r="O15" s="4">
        <v>475331.41999999993</v>
      </c>
    </row>
    <row r="16" spans="1:16" x14ac:dyDescent="0.25">
      <c r="A16" s="11" t="s">
        <v>10</v>
      </c>
      <c r="B16" s="12">
        <v>27.102012898475603</v>
      </c>
      <c r="C16" s="12">
        <v>13.762592360585739</v>
      </c>
      <c r="D16" s="12">
        <v>4.364232219243383E-2</v>
      </c>
      <c r="E16" s="12">
        <v>8.5128056636320656E-2</v>
      </c>
      <c r="L16" s="11" t="s">
        <v>2030</v>
      </c>
      <c r="M16" s="4">
        <v>42617274.670000002</v>
      </c>
      <c r="N16" s="12">
        <v>598748</v>
      </c>
      <c r="O16" s="4">
        <v>5204109.5100000007</v>
      </c>
    </row>
    <row r="17" spans="1:14" x14ac:dyDescent="0.25">
      <c r="A17" s="11" t="s">
        <v>37</v>
      </c>
      <c r="B17" s="12">
        <v>26.059554361495721</v>
      </c>
      <c r="C17" s="12">
        <v>13.407548161809467</v>
      </c>
      <c r="D17" s="12">
        <v>4.4914602789489312E-2</v>
      </c>
      <c r="E17" s="12">
        <v>8.3115956358841434E-2</v>
      </c>
      <c r="J17" s="4"/>
      <c r="K17" s="4"/>
    </row>
    <row r="18" spans="1:14" x14ac:dyDescent="0.25">
      <c r="A18" s="11" t="s">
        <v>19</v>
      </c>
      <c r="B18" s="12">
        <v>34.271713965394341</v>
      </c>
      <c r="C18" s="12">
        <v>13.273760857438571</v>
      </c>
      <c r="D18" s="12">
        <v>4.40816201892264E-2</v>
      </c>
      <c r="E18" s="12">
        <v>8.5947542636296115E-2</v>
      </c>
      <c r="J18" s="4"/>
      <c r="K18" s="4"/>
    </row>
    <row r="19" spans="1:14" x14ac:dyDescent="0.25">
      <c r="A19" s="11" t="s">
        <v>2030</v>
      </c>
      <c r="B19" s="12">
        <v>31.307627533036094</v>
      </c>
      <c r="C19" s="12">
        <v>13.574810582088434</v>
      </c>
      <c r="D19" s="12">
        <v>4.4392800042816698E-2</v>
      </c>
      <c r="E19" s="12">
        <v>8.4681366671554778E-2</v>
      </c>
      <c r="J19"/>
    </row>
    <row r="20" spans="1:14" x14ac:dyDescent="0.25">
      <c r="J20"/>
      <c r="M20" s="13" t="s">
        <v>2055</v>
      </c>
    </row>
    <row r="21" spans="1:14" x14ac:dyDescent="0.25">
      <c r="J21"/>
    </row>
    <row r="22" spans="1:14" x14ac:dyDescent="0.25">
      <c r="A22" s="15" t="s">
        <v>2033</v>
      </c>
      <c r="B22" s="17">
        <f>GETPIVOTDATA("Total Revenue",$A$3)</f>
        <v>42617274.670000002</v>
      </c>
      <c r="J22"/>
      <c r="M22" s="10" t="s">
        <v>2029</v>
      </c>
      <c r="N22" t="s">
        <v>2033</v>
      </c>
    </row>
    <row r="23" spans="1:14" x14ac:dyDescent="0.25">
      <c r="A23" s="16" t="s">
        <v>2034</v>
      </c>
      <c r="B23" s="17">
        <f>GETPIVOTDATA("Total Ad Spend",$A$3)</f>
        <v>5204109.5100000007</v>
      </c>
      <c r="J23"/>
      <c r="M23" s="11" t="s">
        <v>2038</v>
      </c>
      <c r="N23" s="4">
        <v>5429032.240000003</v>
      </c>
    </row>
    <row r="24" spans="1:14" x14ac:dyDescent="0.25">
      <c r="A24" s="16" t="s">
        <v>2032</v>
      </c>
      <c r="B24" s="14">
        <f>GETPIVOTDATA("Total Conversions",$A$3)</f>
        <v>598748</v>
      </c>
      <c r="J24"/>
      <c r="M24" s="11" t="s">
        <v>2039</v>
      </c>
      <c r="N24" s="4">
        <v>5432642.4099999946</v>
      </c>
    </row>
    <row r="25" spans="1:14" x14ac:dyDescent="0.25">
      <c r="A25" s="16" t="s">
        <v>2054</v>
      </c>
      <c r="B25" s="18">
        <f>GETPIVOTDATA("Average of ROAS",$A$13)</f>
        <v>13.574810582088434</v>
      </c>
      <c r="J25"/>
      <c r="M25" s="11" t="s">
        <v>2040</v>
      </c>
      <c r="N25" s="4">
        <v>3333589.2400000007</v>
      </c>
    </row>
    <row r="26" spans="1:14" x14ac:dyDescent="0.25">
      <c r="M26" s="11" t="s">
        <v>2041</v>
      </c>
      <c r="N26" s="4">
        <v>3339954</v>
      </c>
    </row>
    <row r="27" spans="1:14" x14ac:dyDescent="0.25">
      <c r="M27" s="11" t="s">
        <v>2042</v>
      </c>
      <c r="N27" s="4">
        <v>2885578.7700000009</v>
      </c>
    </row>
    <row r="28" spans="1:14" x14ac:dyDescent="0.25">
      <c r="A28" s="13" t="s">
        <v>2031</v>
      </c>
      <c r="H28" s="13" t="s">
        <v>2035</v>
      </c>
      <c r="I28"/>
      <c r="M28" s="11" t="s">
        <v>2043</v>
      </c>
      <c r="N28" s="4">
        <v>2937007.3099999977</v>
      </c>
    </row>
    <row r="29" spans="1:14" x14ac:dyDescent="0.25">
      <c r="I29"/>
      <c r="M29" s="11" t="s">
        <v>2044</v>
      </c>
      <c r="N29" s="4">
        <v>3407798.9499999993</v>
      </c>
    </row>
    <row r="30" spans="1:14" x14ac:dyDescent="0.25">
      <c r="A30" s="10" t="s">
        <v>2029</v>
      </c>
      <c r="B30" t="s">
        <v>2033</v>
      </c>
      <c r="H30" s="10" t="s">
        <v>2029</v>
      </c>
      <c r="I30" t="s">
        <v>2033</v>
      </c>
      <c r="M30" s="11" t="s">
        <v>2045</v>
      </c>
      <c r="N30" s="4">
        <v>2886554.1500000004</v>
      </c>
    </row>
    <row r="31" spans="1:14" x14ac:dyDescent="0.25">
      <c r="A31" s="11" t="s">
        <v>10</v>
      </c>
      <c r="B31" s="4">
        <v>9148694.3600000013</v>
      </c>
      <c r="H31" s="11" t="s">
        <v>47</v>
      </c>
      <c r="I31" s="4">
        <v>5876151.7499999991</v>
      </c>
      <c r="M31" s="11" t="s">
        <v>2046</v>
      </c>
      <c r="N31" s="4">
        <v>2959273.4000000008</v>
      </c>
    </row>
    <row r="32" spans="1:14" x14ac:dyDescent="0.25">
      <c r="A32" s="11" t="s">
        <v>17</v>
      </c>
      <c r="B32" s="4">
        <v>8919626.77999999</v>
      </c>
      <c r="H32" s="11" t="s">
        <v>9</v>
      </c>
      <c r="I32" s="4">
        <v>5658537.7599999998</v>
      </c>
      <c r="M32" s="11" t="s">
        <v>2047</v>
      </c>
      <c r="N32" s="4">
        <v>3044116.0299999979</v>
      </c>
    </row>
    <row r="33" spans="1:14" x14ac:dyDescent="0.25">
      <c r="A33" s="11" t="s">
        <v>37</v>
      </c>
      <c r="B33" s="4">
        <v>8726840.4000000004</v>
      </c>
      <c r="H33" s="11" t="s">
        <v>31</v>
      </c>
      <c r="I33" s="4">
        <v>5471284.3100000033</v>
      </c>
      <c r="M33" s="11" t="s">
        <v>2048</v>
      </c>
      <c r="N33" s="4">
        <v>3130587.6699999995</v>
      </c>
    </row>
    <row r="34" spans="1:14" x14ac:dyDescent="0.25">
      <c r="A34" s="11" t="s">
        <v>19</v>
      </c>
      <c r="B34" s="4">
        <v>8054448.4100000039</v>
      </c>
      <c r="H34" s="11" t="s">
        <v>14</v>
      </c>
      <c r="I34" s="4">
        <v>5427155.1900000013</v>
      </c>
      <c r="M34" s="11" t="s">
        <v>2049</v>
      </c>
      <c r="N34" s="4">
        <v>3831140.5000000009</v>
      </c>
    </row>
    <row r="35" spans="1:14" x14ac:dyDescent="0.25">
      <c r="A35" s="11" t="s">
        <v>12</v>
      </c>
      <c r="B35" s="4">
        <v>7767664.7200000072</v>
      </c>
      <c r="H35" s="11" t="s">
        <v>21</v>
      </c>
      <c r="I35" s="4">
        <v>5296928.3900000025</v>
      </c>
      <c r="M35" s="11" t="s">
        <v>2030</v>
      </c>
      <c r="N35" s="4">
        <v>42617274.670000002</v>
      </c>
    </row>
    <row r="36" spans="1:14" x14ac:dyDescent="0.25">
      <c r="A36" s="11" t="s">
        <v>2030</v>
      </c>
      <c r="B36" s="4">
        <v>42617274.670000002</v>
      </c>
      <c r="H36" s="11" t="s">
        <v>34</v>
      </c>
      <c r="I36" s="4">
        <v>5059368.5700000012</v>
      </c>
    </row>
    <row r="37" spans="1:14" x14ac:dyDescent="0.25">
      <c r="H37" s="11" t="s">
        <v>41</v>
      </c>
      <c r="I37" s="4">
        <v>5001328.719999996</v>
      </c>
    </row>
    <row r="38" spans="1:14" x14ac:dyDescent="0.25">
      <c r="H38" s="11" t="s">
        <v>16</v>
      </c>
      <c r="I38" s="4">
        <v>4826519.9799999986</v>
      </c>
    </row>
    <row r="39" spans="1:14" x14ac:dyDescent="0.25">
      <c r="H39" s="11" t="s">
        <v>2030</v>
      </c>
      <c r="I39" s="4">
        <v>42617274.670000002</v>
      </c>
    </row>
    <row r="41" spans="1:14" x14ac:dyDescent="0.25">
      <c r="H41" s="13" t="s">
        <v>2050</v>
      </c>
      <c r="I41"/>
      <c r="J41" s="4"/>
      <c r="K41" s="4"/>
    </row>
    <row r="42" spans="1:14" x14ac:dyDescent="0.25">
      <c r="I42"/>
      <c r="J42" s="4"/>
      <c r="K42" s="4"/>
    </row>
    <row r="43" spans="1:14" x14ac:dyDescent="0.25">
      <c r="H43" s="10" t="s">
        <v>2029</v>
      </c>
      <c r="I43" t="s">
        <v>2036</v>
      </c>
      <c r="J43"/>
    </row>
    <row r="44" spans="1:14" x14ac:dyDescent="0.25">
      <c r="H44" s="11" t="s">
        <v>17</v>
      </c>
      <c r="I44" s="12">
        <v>13.887466535073804</v>
      </c>
      <c r="J44"/>
    </row>
    <row r="45" spans="1:14" x14ac:dyDescent="0.25">
      <c r="H45" s="11" t="s">
        <v>10</v>
      </c>
      <c r="I45" s="12">
        <v>13.762592360585739</v>
      </c>
      <c r="J45"/>
    </row>
    <row r="46" spans="1:14" x14ac:dyDescent="0.25">
      <c r="H46" s="11" t="s">
        <v>12</v>
      </c>
      <c r="I46" s="12">
        <v>13.52347181669368</v>
      </c>
      <c r="J46"/>
    </row>
    <row r="47" spans="1:14" x14ac:dyDescent="0.25">
      <c r="H47" s="11" t="s">
        <v>37</v>
      </c>
      <c r="I47" s="12">
        <v>13.407548161809467</v>
      </c>
      <c r="J47"/>
    </row>
    <row r="48" spans="1:14" x14ac:dyDescent="0.25">
      <c r="H48" s="11" t="s">
        <v>19</v>
      </c>
      <c r="I48" s="12">
        <v>13.273760857438571</v>
      </c>
      <c r="J48"/>
    </row>
    <row r="49" spans="8:10" x14ac:dyDescent="0.25">
      <c r="H49" s="11" t="s">
        <v>2030</v>
      </c>
      <c r="I49" s="12">
        <v>13.574810582088434</v>
      </c>
      <c r="J4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23429-D596-4A0D-B6C2-2D61B3C91853}">
  <dimension ref="A1"/>
  <sheetViews>
    <sheetView showGridLines="0" tabSelected="1" zoomScale="80" zoomScaleNormal="80" workbookViewId="0">
      <selection activeCell="Q35" sqref="Q3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CampaignData</vt:lpstr>
      <vt:lpstr>Campaign_Analysis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Patience</dc:creator>
  <cp:lastModifiedBy>Patience Anono</cp:lastModifiedBy>
  <dcterms:created xsi:type="dcterms:W3CDTF">2026-03-13T06:45:24Z</dcterms:created>
  <dcterms:modified xsi:type="dcterms:W3CDTF">2026-03-13T16:32:45Z</dcterms:modified>
</cp:coreProperties>
</file>